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https://nevergray-my.sharepoint.com/personal/justin_nevergray_biz/Documents/SES/OpenSES/2021-07-27 4p2 Comparison/"/>
    </mc:Choice>
  </mc:AlternateContent>
  <xr:revisionPtr revIDLastSave="198" documentId="11_4B429E5D0BAE5E3A2C5235A4BDBAD7C62A34EE1E" xr6:coauthVersionLast="47" xr6:coauthVersionMax="47" xr10:uidLastSave="{99CE3E86-9097-4ED9-B53D-E22C41F153A6}"/>
  <bookViews>
    <workbookView xWindow="8055" yWindow="5580" windowWidth="9690" windowHeight="8850" xr2:uid="{B7A9A8F1-4724-4EBA-97C4-A21B347CDDE7}"/>
  </bookViews>
  <sheets>
    <sheet name="Summary" sheetId="10" r:id="rId1"/>
    <sheet name="Legend" sheetId="11" r:id="rId2"/>
    <sheet name="SSA" sheetId="1" r:id="rId3"/>
    <sheet name="SST" sheetId="2" r:id="rId4"/>
    <sheet name="TRA" sheetId="3" r:id="rId5"/>
    <sheet name="SEG" sheetId="4" r:id="rId6"/>
    <sheet name="SUB" sheetId="5" r:id="rId7"/>
    <sheet name="PER" sheetId="6" r:id="rId8"/>
    <sheet name="TES" sheetId="7" r:id="rId9"/>
    <sheet name="HSA" sheetId="8" r:id="rId10"/>
    <sheet name="ECS" sheetId="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5" i="10" l="1" a="1"/>
  <c r="A15" i="10" s="1"/>
  <c r="L31" i="10" l="1"/>
  <c r="L47" i="10"/>
  <c r="K87" i="10"/>
  <c r="L30" i="10"/>
  <c r="L85" i="10"/>
  <c r="L53" i="10"/>
  <c r="L45" i="10"/>
  <c r="L37" i="10"/>
  <c r="L29" i="10"/>
  <c r="L21" i="10"/>
  <c r="L23" i="10"/>
  <c r="L46" i="10"/>
  <c r="K70" i="10"/>
  <c r="K53" i="10"/>
  <c r="K37" i="10"/>
  <c r="K29" i="10"/>
  <c r="K21" i="10"/>
  <c r="L87" i="10"/>
  <c r="K71" i="10"/>
  <c r="L54" i="10"/>
  <c r="K54" i="10"/>
  <c r="K93" i="10"/>
  <c r="L44" i="10"/>
  <c r="L20" i="10"/>
  <c r="L95" i="10"/>
  <c r="K23" i="10"/>
  <c r="K22" i="10"/>
  <c r="K85" i="10"/>
  <c r="K92" i="10"/>
  <c r="K52" i="10"/>
  <c r="K44" i="10"/>
  <c r="K36" i="10"/>
  <c r="K28" i="10"/>
  <c r="K20" i="10"/>
  <c r="L55" i="10"/>
  <c r="K47" i="10"/>
  <c r="L62" i="10"/>
  <c r="K86" i="10"/>
  <c r="K61" i="10"/>
  <c r="K60" i="10"/>
  <c r="L67" i="10"/>
  <c r="L43" i="10"/>
  <c r="L35" i="10"/>
  <c r="L27" i="10"/>
  <c r="L19" i="10"/>
  <c r="K31" i="10"/>
  <c r="K62" i="10"/>
  <c r="K69" i="10"/>
  <c r="L84" i="10"/>
  <c r="K68" i="10"/>
  <c r="L75" i="10"/>
  <c r="K91" i="10"/>
  <c r="K67" i="10"/>
  <c r="K59" i="10"/>
  <c r="K51" i="10"/>
  <c r="K43" i="10"/>
  <c r="K35" i="10"/>
  <c r="K27" i="10"/>
  <c r="K19" i="10"/>
  <c r="L71" i="10"/>
  <c r="K55" i="10"/>
  <c r="L70" i="10"/>
  <c r="K38" i="10"/>
  <c r="L69" i="10"/>
  <c r="L68" i="10"/>
  <c r="K76" i="10"/>
  <c r="L91" i="10"/>
  <c r="L59" i="10"/>
  <c r="K75" i="10"/>
  <c r="L98" i="10"/>
  <c r="L90" i="10"/>
  <c r="L82" i="10"/>
  <c r="L74" i="10"/>
  <c r="L66" i="10"/>
  <c r="L58" i="10"/>
  <c r="L50" i="10"/>
  <c r="L42" i="10"/>
  <c r="L34" i="10"/>
  <c r="L26" i="10"/>
  <c r="L18" i="10"/>
  <c r="K39" i="10"/>
  <c r="L94" i="10"/>
  <c r="K30" i="10"/>
  <c r="K45" i="10"/>
  <c r="L60" i="10"/>
  <c r="K84" i="10"/>
  <c r="L83" i="10"/>
  <c r="L51" i="10"/>
  <c r="K83" i="10"/>
  <c r="K98" i="10"/>
  <c r="K90" i="10"/>
  <c r="K82" i="10"/>
  <c r="K74" i="10"/>
  <c r="K66" i="10"/>
  <c r="K58" i="10"/>
  <c r="K50" i="10"/>
  <c r="K42" i="10"/>
  <c r="K34" i="10"/>
  <c r="K26" i="10"/>
  <c r="K18" i="10"/>
  <c r="L39" i="10"/>
  <c r="L38" i="10"/>
  <c r="K94" i="10"/>
  <c r="L93" i="10"/>
  <c r="L92" i="10"/>
  <c r="L28" i="10"/>
  <c r="L89" i="10"/>
  <c r="L81" i="10"/>
  <c r="L73" i="10"/>
  <c r="L65" i="10"/>
  <c r="L57" i="10"/>
  <c r="L49" i="10"/>
  <c r="L41" i="10"/>
  <c r="L33" i="10"/>
  <c r="L25" i="10"/>
  <c r="L17" i="10"/>
  <c r="L79" i="10"/>
  <c r="K95" i="10"/>
  <c r="L22" i="10"/>
  <c r="L61" i="10"/>
  <c r="L52" i="10"/>
  <c r="K65" i="10"/>
  <c r="K17" i="10"/>
  <c r="K63" i="10"/>
  <c r="L86" i="10"/>
  <c r="K46" i="10"/>
  <c r="K77" i="10"/>
  <c r="L76" i="10"/>
  <c r="L97" i="10"/>
  <c r="K89" i="10"/>
  <c r="L88" i="10"/>
  <c r="L56" i="10"/>
  <c r="L16" i="10"/>
  <c r="L63" i="10"/>
  <c r="K79" i="10"/>
  <c r="L78" i="10"/>
  <c r="K78" i="10"/>
  <c r="L77" i="10"/>
  <c r="L36" i="10"/>
  <c r="K97" i="10"/>
  <c r="K81" i="10"/>
  <c r="K73" i="10"/>
  <c r="K57" i="10"/>
  <c r="K49" i="10"/>
  <c r="K41" i="10"/>
  <c r="K33" i="10"/>
  <c r="K25" i="10"/>
  <c r="L96" i="10"/>
  <c r="L80" i="10"/>
  <c r="L72" i="10"/>
  <c r="L64" i="10"/>
  <c r="L48" i="10"/>
  <c r="L40" i="10"/>
  <c r="L32" i="10"/>
  <c r="L24" i="10"/>
  <c r="K96" i="10"/>
  <c r="K88" i="10"/>
  <c r="K80" i="10"/>
  <c r="K72" i="10"/>
  <c r="K64" i="10"/>
  <c r="K56" i="10"/>
  <c r="K48" i="10"/>
  <c r="K40" i="10"/>
  <c r="K32" i="10"/>
  <c r="K24" i="10"/>
  <c r="K16" i="10"/>
  <c r="BP4" i="10"/>
  <c r="BQ4" i="10"/>
  <c r="BR4" i="10"/>
  <c r="BS4" i="10"/>
  <c r="BT4" i="10"/>
  <c r="BU4" i="10"/>
  <c r="BP5" i="10"/>
  <c r="BQ5" i="10"/>
  <c r="BR5" i="10"/>
  <c r="BS5" i="10"/>
  <c r="BT5" i="10"/>
  <c r="BU5" i="10"/>
  <c r="BP6" i="10"/>
  <c r="BQ6" i="10"/>
  <c r="BR6" i="10"/>
  <c r="BS6" i="10"/>
  <c r="BT6" i="10"/>
  <c r="BU6" i="10"/>
  <c r="BP7" i="10"/>
  <c r="BQ7" i="10"/>
  <c r="BR7" i="10"/>
  <c r="BS7" i="10"/>
  <c r="BT7" i="10"/>
  <c r="BU7" i="10"/>
  <c r="BP8" i="10"/>
  <c r="BQ8" i="10"/>
  <c r="BR8" i="10"/>
  <c r="BS8" i="10"/>
  <c r="BT8" i="10"/>
  <c r="BU8" i="10"/>
  <c r="BP9" i="10"/>
  <c r="BQ9" i="10"/>
  <c r="BR9" i="10"/>
  <c r="BS9" i="10"/>
  <c r="BT9" i="10"/>
  <c r="BU9" i="10"/>
  <c r="BP10" i="10"/>
  <c r="BQ10" i="10"/>
  <c r="BR10" i="10"/>
  <c r="BS10" i="10"/>
  <c r="BT10" i="10"/>
  <c r="BU10" i="10"/>
  <c r="BP11" i="10"/>
  <c r="BQ11" i="10"/>
  <c r="BR11" i="10"/>
  <c r="BS11" i="10"/>
  <c r="BT11" i="10"/>
  <c r="BU11" i="10"/>
  <c r="BP12" i="10"/>
  <c r="BQ12" i="10"/>
  <c r="BR12" i="10"/>
  <c r="BS12" i="10"/>
  <c r="BT12" i="10"/>
  <c r="BU12" i="10"/>
  <c r="BL4" i="10"/>
  <c r="BM4" i="10"/>
  <c r="BN4" i="10"/>
  <c r="BO4" i="10"/>
  <c r="BL5" i="10"/>
  <c r="BM5" i="10"/>
  <c r="BN5" i="10"/>
  <c r="BO5" i="10"/>
  <c r="BL6" i="10"/>
  <c r="BM6" i="10"/>
  <c r="BN6" i="10"/>
  <c r="BO6" i="10"/>
  <c r="BL7" i="10"/>
  <c r="BM7" i="10"/>
  <c r="BN7" i="10"/>
  <c r="BO7" i="10"/>
  <c r="BL8" i="10"/>
  <c r="BM8" i="10"/>
  <c r="BN8" i="10"/>
  <c r="BO8" i="10"/>
  <c r="BL9" i="10"/>
  <c r="BM9" i="10"/>
  <c r="BN9" i="10"/>
  <c r="BO9" i="10"/>
  <c r="BL10" i="10"/>
  <c r="BM10" i="10"/>
  <c r="BN10" i="10"/>
  <c r="BO10" i="10"/>
  <c r="BL11" i="10"/>
  <c r="BM11" i="10"/>
  <c r="BN11" i="10"/>
  <c r="BO11" i="10"/>
  <c r="BL12" i="10"/>
  <c r="BM12" i="10"/>
  <c r="BN12" i="10"/>
  <c r="BO12" i="10"/>
  <c r="AZ4" i="10"/>
  <c r="BA4" i="10"/>
  <c r="BB4" i="10"/>
  <c r="BC4" i="10"/>
  <c r="BD4" i="10"/>
  <c r="BE4" i="10"/>
  <c r="BF4" i="10"/>
  <c r="BG4" i="10"/>
  <c r="BH4" i="10"/>
  <c r="BI4" i="10"/>
  <c r="BJ4" i="10"/>
  <c r="BK4" i="10"/>
  <c r="AZ5" i="10"/>
  <c r="BA5" i="10"/>
  <c r="BB5" i="10"/>
  <c r="BC5" i="10"/>
  <c r="BD5" i="10"/>
  <c r="BE5" i="10"/>
  <c r="BF5" i="10"/>
  <c r="BG5" i="10"/>
  <c r="BH5" i="10"/>
  <c r="BI5" i="10"/>
  <c r="BJ5" i="10"/>
  <c r="BK5" i="10"/>
  <c r="AZ6" i="10"/>
  <c r="BA6" i="10"/>
  <c r="BB6" i="10"/>
  <c r="BC6" i="10"/>
  <c r="BD6" i="10"/>
  <c r="BE6" i="10"/>
  <c r="BF6" i="10"/>
  <c r="BG6" i="10"/>
  <c r="BH6" i="10"/>
  <c r="BI6" i="10"/>
  <c r="BJ6" i="10"/>
  <c r="BK6" i="10"/>
  <c r="AZ7" i="10"/>
  <c r="BA7" i="10"/>
  <c r="BB7" i="10"/>
  <c r="BC7" i="10"/>
  <c r="BD7" i="10"/>
  <c r="BE7" i="10"/>
  <c r="BF7" i="10"/>
  <c r="BG7" i="10"/>
  <c r="BH7" i="10"/>
  <c r="BI7" i="10"/>
  <c r="BJ7" i="10"/>
  <c r="BK7" i="10"/>
  <c r="AZ8" i="10"/>
  <c r="BA8" i="10"/>
  <c r="BB8" i="10"/>
  <c r="BC8" i="10"/>
  <c r="BD8" i="10"/>
  <c r="BE8" i="10"/>
  <c r="BF8" i="10"/>
  <c r="BG8" i="10"/>
  <c r="BH8" i="10"/>
  <c r="BI8" i="10"/>
  <c r="BJ8" i="10"/>
  <c r="BK8" i="10"/>
  <c r="AZ9" i="10"/>
  <c r="BA9" i="10"/>
  <c r="BB9" i="10"/>
  <c r="BC9" i="10"/>
  <c r="BD9" i="10"/>
  <c r="BE9" i="10"/>
  <c r="BF9" i="10"/>
  <c r="BG9" i="10"/>
  <c r="BH9" i="10"/>
  <c r="BI9" i="10"/>
  <c r="BJ9" i="10"/>
  <c r="BK9" i="10"/>
  <c r="AZ10" i="10"/>
  <c r="BA10" i="10"/>
  <c r="BB10" i="10"/>
  <c r="BC10" i="10"/>
  <c r="BD10" i="10"/>
  <c r="BE10" i="10"/>
  <c r="BF10" i="10"/>
  <c r="BG10" i="10"/>
  <c r="BH10" i="10"/>
  <c r="BI10" i="10"/>
  <c r="BJ10" i="10"/>
  <c r="BK10" i="10"/>
  <c r="AZ11" i="10"/>
  <c r="BA11" i="10"/>
  <c r="BB11" i="10"/>
  <c r="BC11" i="10"/>
  <c r="BD11" i="10"/>
  <c r="BE11" i="10"/>
  <c r="BF11" i="10"/>
  <c r="BG11" i="10"/>
  <c r="BH11" i="10"/>
  <c r="BI11" i="10"/>
  <c r="BJ11" i="10"/>
  <c r="BK11" i="10"/>
  <c r="AZ12" i="10"/>
  <c r="BA12" i="10"/>
  <c r="BB12" i="10"/>
  <c r="BC12" i="10"/>
  <c r="BD12" i="10"/>
  <c r="BE12" i="10"/>
  <c r="BF12" i="10"/>
  <c r="BG12" i="10"/>
  <c r="BH12" i="10"/>
  <c r="BI12" i="10"/>
  <c r="BJ12" i="10"/>
  <c r="BK12" i="10"/>
  <c r="AO4" i="10"/>
  <c r="AP4" i="10"/>
  <c r="AQ4" i="10"/>
  <c r="AR4" i="10"/>
  <c r="AS4" i="10"/>
  <c r="AT4" i="10"/>
  <c r="AU4" i="10"/>
  <c r="AV4" i="10"/>
  <c r="AW4" i="10"/>
  <c r="AX4" i="10"/>
  <c r="AY4" i="10"/>
  <c r="AO5" i="10"/>
  <c r="AP5" i="10"/>
  <c r="AQ5" i="10"/>
  <c r="AR5" i="10"/>
  <c r="AS5" i="10"/>
  <c r="AT5" i="10"/>
  <c r="AU5" i="10"/>
  <c r="AV5" i="10"/>
  <c r="AW5" i="10"/>
  <c r="AX5" i="10"/>
  <c r="AY5" i="10"/>
  <c r="AO6" i="10"/>
  <c r="AP6" i="10"/>
  <c r="AQ6" i="10"/>
  <c r="AR6" i="10"/>
  <c r="AS6" i="10"/>
  <c r="AT6" i="10"/>
  <c r="AU6" i="10"/>
  <c r="AV6" i="10"/>
  <c r="AW6" i="10"/>
  <c r="AX6" i="10"/>
  <c r="AY6" i="10"/>
  <c r="AO7" i="10"/>
  <c r="AP7" i="10"/>
  <c r="AQ7" i="10"/>
  <c r="AR7" i="10"/>
  <c r="AS7" i="10"/>
  <c r="AT7" i="10"/>
  <c r="AU7" i="10"/>
  <c r="AV7" i="10"/>
  <c r="AW7" i="10"/>
  <c r="AX7" i="10"/>
  <c r="AY7" i="10"/>
  <c r="AO8" i="10"/>
  <c r="AP8" i="10"/>
  <c r="AQ8" i="10"/>
  <c r="AR8" i="10"/>
  <c r="AS8" i="10"/>
  <c r="AT8" i="10"/>
  <c r="AU8" i="10"/>
  <c r="AV8" i="10"/>
  <c r="AW8" i="10"/>
  <c r="AX8" i="10"/>
  <c r="AY8" i="10"/>
  <c r="AO9" i="10"/>
  <c r="AP9" i="10"/>
  <c r="AQ9" i="10"/>
  <c r="AR9" i="10"/>
  <c r="AS9" i="10"/>
  <c r="AT9" i="10"/>
  <c r="AU9" i="10"/>
  <c r="AV9" i="10"/>
  <c r="AW9" i="10"/>
  <c r="AX9" i="10"/>
  <c r="AY9" i="10"/>
  <c r="AO10" i="10"/>
  <c r="AP10" i="10"/>
  <c r="AQ10" i="10"/>
  <c r="AR10" i="10"/>
  <c r="AS10" i="10"/>
  <c r="AT10" i="10"/>
  <c r="AU10" i="10"/>
  <c r="AV10" i="10"/>
  <c r="AW10" i="10"/>
  <c r="AX10" i="10"/>
  <c r="AY10" i="10"/>
  <c r="AO11" i="10"/>
  <c r="AP11" i="10"/>
  <c r="AQ11" i="10"/>
  <c r="AR11" i="10"/>
  <c r="AS11" i="10"/>
  <c r="AT11" i="10"/>
  <c r="AU11" i="10"/>
  <c r="AV11" i="10"/>
  <c r="AW11" i="10"/>
  <c r="AX11" i="10"/>
  <c r="AY11" i="10"/>
  <c r="AO12" i="10"/>
  <c r="AP12" i="10"/>
  <c r="AQ12" i="10"/>
  <c r="AR12" i="10"/>
  <c r="AS12" i="10"/>
  <c r="AT12" i="10"/>
  <c r="AU12" i="10"/>
  <c r="AV12" i="10"/>
  <c r="AW12" i="10"/>
  <c r="AX12" i="10"/>
  <c r="AY12" i="10"/>
  <c r="Y4" i="10"/>
  <c r="Z4" i="10"/>
  <c r="AA4" i="10"/>
  <c r="AB4" i="10"/>
  <c r="AC4" i="10"/>
  <c r="AD4" i="10"/>
  <c r="AE4" i="10"/>
  <c r="AF4" i="10"/>
  <c r="AG4" i="10"/>
  <c r="AH4" i="10"/>
  <c r="AI4" i="10"/>
  <c r="AJ4" i="10"/>
  <c r="AK4" i="10"/>
  <c r="AL4" i="10"/>
  <c r="AM4" i="10"/>
  <c r="AN4" i="10"/>
  <c r="Y5" i="10"/>
  <c r="Z5" i="10"/>
  <c r="AA5" i="10"/>
  <c r="AB5" i="10"/>
  <c r="AC5" i="10"/>
  <c r="AD5" i="10"/>
  <c r="AE5" i="10"/>
  <c r="AF5" i="10"/>
  <c r="AG5" i="10"/>
  <c r="AH5" i="10"/>
  <c r="AI5" i="10"/>
  <c r="AJ5" i="10"/>
  <c r="AK5" i="10"/>
  <c r="AL5" i="10"/>
  <c r="AM5" i="10"/>
  <c r="AN5" i="10"/>
  <c r="Y6" i="10"/>
  <c r="Z6" i="10"/>
  <c r="AA6" i="10"/>
  <c r="AB6" i="10"/>
  <c r="AC6" i="10"/>
  <c r="AD6" i="10"/>
  <c r="AE6" i="10"/>
  <c r="AF6" i="10"/>
  <c r="AG6" i="10"/>
  <c r="AH6" i="10"/>
  <c r="AI6" i="10"/>
  <c r="AJ6" i="10"/>
  <c r="AK6" i="10"/>
  <c r="AL6" i="10"/>
  <c r="AM6" i="10"/>
  <c r="AN6" i="10"/>
  <c r="Y7" i="10"/>
  <c r="Z7" i="10"/>
  <c r="AA7" i="10"/>
  <c r="AB7" i="10"/>
  <c r="AC7" i="10"/>
  <c r="AD7" i="10"/>
  <c r="AE7" i="10"/>
  <c r="AF7" i="10"/>
  <c r="AG7" i="10"/>
  <c r="AH7" i="10"/>
  <c r="AI7" i="10"/>
  <c r="AJ7" i="10"/>
  <c r="AK7" i="10"/>
  <c r="AL7" i="10"/>
  <c r="AM7" i="10"/>
  <c r="AN7" i="10"/>
  <c r="Y8" i="10"/>
  <c r="Z8" i="10"/>
  <c r="AA8" i="10"/>
  <c r="AB8" i="10"/>
  <c r="AC8" i="10"/>
  <c r="AD8" i="10"/>
  <c r="AE8" i="10"/>
  <c r="AF8" i="10"/>
  <c r="AG8" i="10"/>
  <c r="AH8" i="10"/>
  <c r="AI8" i="10"/>
  <c r="AJ8" i="10"/>
  <c r="AK8" i="10"/>
  <c r="AL8" i="10"/>
  <c r="AM8" i="10"/>
  <c r="AN8" i="10"/>
  <c r="Y9" i="10"/>
  <c r="Z9" i="10"/>
  <c r="AA9" i="10"/>
  <c r="AB9" i="10"/>
  <c r="AC9" i="10"/>
  <c r="AD9" i="10"/>
  <c r="AE9" i="10"/>
  <c r="AF9" i="10"/>
  <c r="AG9" i="10"/>
  <c r="AH9" i="10"/>
  <c r="AI9" i="10"/>
  <c r="AJ9" i="10"/>
  <c r="AK9" i="10"/>
  <c r="AL9" i="10"/>
  <c r="AM9" i="10"/>
  <c r="AN9" i="10"/>
  <c r="Y10" i="10"/>
  <c r="Z10" i="10"/>
  <c r="AA10" i="10"/>
  <c r="AB10" i="10"/>
  <c r="AC10" i="10"/>
  <c r="AD10" i="10"/>
  <c r="AE10" i="10"/>
  <c r="AF10" i="10"/>
  <c r="AG10" i="10"/>
  <c r="AH10" i="10"/>
  <c r="AI10" i="10"/>
  <c r="AJ10" i="10"/>
  <c r="AK10" i="10"/>
  <c r="AL10" i="10"/>
  <c r="AM10" i="10"/>
  <c r="AN10" i="10"/>
  <c r="Y11" i="10"/>
  <c r="Z11" i="10"/>
  <c r="AA11" i="10"/>
  <c r="AB11" i="10"/>
  <c r="AC11" i="10"/>
  <c r="AD11" i="10"/>
  <c r="AE11" i="10"/>
  <c r="AF11" i="10"/>
  <c r="AG11" i="10"/>
  <c r="AH11" i="10"/>
  <c r="AI11" i="10"/>
  <c r="AJ11" i="10"/>
  <c r="AK11" i="10"/>
  <c r="AL11" i="10"/>
  <c r="AM11" i="10"/>
  <c r="AN11" i="10"/>
  <c r="Y12" i="10"/>
  <c r="Z12" i="10"/>
  <c r="AA12" i="10"/>
  <c r="AB12" i="10"/>
  <c r="AC12" i="10"/>
  <c r="AD12" i="10"/>
  <c r="AE12" i="10"/>
  <c r="AF12" i="10"/>
  <c r="AG12" i="10"/>
  <c r="AH12" i="10"/>
  <c r="AI12" i="10"/>
  <c r="AJ12" i="10"/>
  <c r="AK12" i="10"/>
  <c r="AL12" i="10"/>
  <c r="AM12" i="10"/>
  <c r="AN12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V4" i="10"/>
  <c r="W4" i="10"/>
  <c r="X4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E4" i="10"/>
  <c r="F4" i="10"/>
  <c r="G4" i="10"/>
  <c r="H4" i="10"/>
  <c r="E5" i="10"/>
  <c r="F5" i="10"/>
  <c r="G5" i="10"/>
  <c r="H5" i="10"/>
  <c r="E6" i="10"/>
  <c r="F6" i="10"/>
  <c r="G6" i="10"/>
  <c r="H6" i="10"/>
  <c r="E7" i="10"/>
  <c r="F7" i="10"/>
  <c r="G7" i="10"/>
  <c r="H7" i="10"/>
  <c r="E8" i="10"/>
  <c r="F8" i="10"/>
  <c r="G8" i="10"/>
  <c r="H8" i="10"/>
  <c r="E9" i="10"/>
  <c r="F9" i="10"/>
  <c r="G9" i="10"/>
  <c r="H9" i="10"/>
  <c r="E10" i="10"/>
  <c r="F10" i="10"/>
  <c r="G10" i="10"/>
  <c r="H10" i="10"/>
  <c r="E11" i="10"/>
  <c r="F11" i="10"/>
  <c r="G11" i="10"/>
  <c r="H11" i="10"/>
  <c r="E12" i="10"/>
  <c r="F12" i="10"/>
  <c r="G12" i="10"/>
  <c r="H12" i="10"/>
  <c r="C4" i="10"/>
  <c r="D4" i="10"/>
  <c r="B5" i="10"/>
  <c r="C5" i="10"/>
  <c r="D5" i="10"/>
  <c r="C6" i="10"/>
  <c r="D6" i="10"/>
  <c r="B7" i="10"/>
  <c r="C7" i="10"/>
  <c r="D7" i="10"/>
  <c r="B8" i="10"/>
  <c r="C8" i="10"/>
  <c r="D8" i="10"/>
  <c r="B9" i="10"/>
  <c r="C9" i="10"/>
  <c r="D9" i="10"/>
  <c r="B10" i="10"/>
  <c r="C10" i="10"/>
  <c r="D10" i="10"/>
  <c r="B11" i="10"/>
  <c r="C11" i="10"/>
  <c r="D11" i="10"/>
  <c r="C12" i="10"/>
  <c r="D12" i="10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<sst xmlns="http://schemas.openxmlformats.org/spreadsheetml/2006/main" count="1273" uniqueCount="283">
  <si>
    <t>Next-Vis Sheet: SSA</t>
  </si>
  <si>
    <t>Summary</t>
  </si>
  <si>
    <t>Percent Error = Absolute value of [(Difference) / (4p2\normal.PRN)] x 100%</t>
  </si>
  <si>
    <t>Difference = (4p2\normal4p2.out) - (4p2\normal.PRN)</t>
  </si>
  <si>
    <t>Airflow</t>
  </si>
  <si>
    <t>AirVel</t>
  </si>
  <si>
    <t>count</t>
  </si>
  <si>
    <t>mean</t>
  </si>
  <si>
    <t>std</t>
  </si>
  <si>
    <t>min</t>
  </si>
  <si>
    <t>25%</t>
  </si>
  <si>
    <t>50%</t>
  </si>
  <si>
    <t>75%</t>
  </si>
  <si>
    <t>max</t>
  </si>
  <si>
    <t>Data</t>
  </si>
  <si>
    <t>4p2\normal4p2.out</t>
  </si>
  <si>
    <t>4p2\normal.PRN</t>
  </si>
  <si>
    <t>Time</t>
  </si>
  <si>
    <t>Segment</t>
  </si>
  <si>
    <t>Next-Vis Sheet: SST</t>
  </si>
  <si>
    <t>AirTemp</t>
  </si>
  <si>
    <t>Humidity</t>
  </si>
  <si>
    <t>Sensible</t>
  </si>
  <si>
    <t>Latent</t>
  </si>
  <si>
    <t>Sub</t>
  </si>
  <si>
    <t>Next-Vis Sheet: TRA</t>
  </si>
  <si>
    <t>RTE</t>
  </si>
  <si>
    <t>TYP</t>
  </si>
  <si>
    <t>Location</t>
  </si>
  <si>
    <t>Speed</t>
  </si>
  <si>
    <t>Accel</t>
  </si>
  <si>
    <t>Draf_KN</t>
  </si>
  <si>
    <t>Draf_COEFF</t>
  </si>
  <si>
    <t>Tractive</t>
  </si>
  <si>
    <t>M_Current</t>
  </si>
  <si>
    <t>L_Current</t>
  </si>
  <si>
    <t>FLY</t>
  </si>
  <si>
    <t>M_Eff</t>
  </si>
  <si>
    <t>G_Accel</t>
  </si>
  <si>
    <t>G_Decel</t>
  </si>
  <si>
    <t>H_Gen</t>
  </si>
  <si>
    <t>H_Reject</t>
  </si>
  <si>
    <t>Number</t>
  </si>
  <si>
    <t>Next-Vis Sheet: SEG</t>
  </si>
  <si>
    <t>A_Max</t>
  </si>
  <si>
    <t>A_Max_T</t>
  </si>
  <si>
    <t>A_Min</t>
  </si>
  <si>
    <t>A_Min_T</t>
  </si>
  <si>
    <t>A_P</t>
  </si>
  <si>
    <t>A_N</t>
  </si>
  <si>
    <t>V_Max</t>
  </si>
  <si>
    <t>V_Max_T</t>
  </si>
  <si>
    <t>V_Min</t>
  </si>
  <si>
    <t>V_Min_T</t>
  </si>
  <si>
    <t>V_P</t>
  </si>
  <si>
    <t>V_N</t>
  </si>
  <si>
    <t>A_P_P</t>
  </si>
  <si>
    <t>A_P_N</t>
  </si>
  <si>
    <t>V_E</t>
  </si>
  <si>
    <t>V_EP</t>
  </si>
  <si>
    <t>Next-Vis Sheet: SUB</t>
  </si>
  <si>
    <t>T_Max</t>
  </si>
  <si>
    <t>T_Max_T</t>
  </si>
  <si>
    <t>T_Min</t>
  </si>
  <si>
    <t>T_Min_T</t>
  </si>
  <si>
    <t>T_P</t>
  </si>
  <si>
    <t>T_N</t>
  </si>
  <si>
    <t>W_Max</t>
  </si>
  <si>
    <t>W_Max_T</t>
  </si>
  <si>
    <t>W_Min</t>
  </si>
  <si>
    <t>W_Min_T</t>
  </si>
  <si>
    <t>W_A</t>
  </si>
  <si>
    <t>Next-Vis Sheet: PER</t>
  </si>
  <si>
    <t>TAP_1</t>
  </si>
  <si>
    <t>TAP_2</t>
  </si>
  <si>
    <t>TAP_3</t>
  </si>
  <si>
    <t>TAP_4</t>
  </si>
  <si>
    <t>TAP_5</t>
  </si>
  <si>
    <t>TAP_6</t>
  </si>
  <si>
    <t>TA_1</t>
  </si>
  <si>
    <t>TA_2</t>
  </si>
  <si>
    <t>TA_3</t>
  </si>
  <si>
    <t>TA_4</t>
  </si>
  <si>
    <t>TA_5</t>
  </si>
  <si>
    <t>TA_6</t>
  </si>
  <si>
    <t>Next-Vis Sheet: TES</t>
  </si>
  <si>
    <t>ET</t>
  </si>
  <si>
    <t>EF</t>
  </si>
  <si>
    <t>EA</t>
  </si>
  <si>
    <t>ER</t>
  </si>
  <si>
    <t>ES</t>
  </si>
  <si>
    <t>Next-Vis Sheet: HSA</t>
  </si>
  <si>
    <t>MWT</t>
  </si>
  <si>
    <t>EWT</t>
  </si>
  <si>
    <t>MAT</t>
  </si>
  <si>
    <t>EAT</t>
  </si>
  <si>
    <t>MH</t>
  </si>
  <si>
    <t>EH</t>
  </si>
  <si>
    <t>ZN</t>
  </si>
  <si>
    <t>Next-Vis Sheet: ECS</t>
  </si>
  <si>
    <t>TM_S</t>
  </si>
  <si>
    <t>TM_L</t>
  </si>
  <si>
    <t>SS_S</t>
  </si>
  <si>
    <t>SS_L</t>
  </si>
  <si>
    <t>HS_S</t>
  </si>
  <si>
    <t>A_S</t>
  </si>
  <si>
    <t>A_L</t>
  </si>
  <si>
    <t>EC_S</t>
  </si>
  <si>
    <t>EC_L</t>
  </si>
  <si>
    <t>TR_S</t>
  </si>
  <si>
    <t>TR_L</t>
  </si>
  <si>
    <t>TR_T</t>
  </si>
  <si>
    <t>Sheet</t>
  </si>
  <si>
    <t>Description</t>
  </si>
  <si>
    <t>SSA</t>
  </si>
  <si>
    <t>SST</t>
  </si>
  <si>
    <t>TRA</t>
  </si>
  <si>
    <t>Mean</t>
  </si>
  <si>
    <t>Max</t>
  </si>
  <si>
    <t>Column</t>
  </si>
  <si>
    <t>SUB</t>
  </si>
  <si>
    <t>SEG</t>
  </si>
  <si>
    <t>TES</t>
  </si>
  <si>
    <t>HAS</t>
  </si>
  <si>
    <t>ECS</t>
  </si>
  <si>
    <t>Sheet Name</t>
  </si>
  <si>
    <t>Heading</t>
  </si>
  <si>
    <t>Full description</t>
  </si>
  <si>
    <t>SI Unit</t>
  </si>
  <si>
    <t>IP Unit</t>
  </si>
  <si>
    <t>Note</t>
  </si>
  <si>
    <t>Second-by-second aerodynamic data</t>
  </si>
  <si>
    <t>Simulation Time</t>
  </si>
  <si>
    <t>Sec</t>
  </si>
  <si>
    <t>Segment numbers</t>
  </si>
  <si>
    <t>#</t>
  </si>
  <si>
    <t>ID</t>
  </si>
  <si>
    <t>Title</t>
  </si>
  <si>
    <t>Time-Segement (TTT-SSS)</t>
  </si>
  <si>
    <t>Section Air Flow Rate</t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</si>
  <si>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/s</t>
    </r>
  </si>
  <si>
    <t>kCFM</t>
  </si>
  <si>
    <t>CFM is divided by 1,000 to convert to kcfm</t>
  </si>
  <si>
    <t>Bulk Air Velocity</t>
  </si>
  <si>
    <t>m/s</t>
  </si>
  <si>
    <t>FPM</t>
  </si>
  <si>
    <t>Second-by-second thermodynamic data</t>
  </si>
  <si>
    <t>Sub-segment number</t>
  </si>
  <si>
    <t>Total Sensible Heat Load</t>
  </si>
  <si>
    <t>W</t>
  </si>
  <si>
    <t>BTU/sec</t>
  </si>
  <si>
    <t>Total Latent Heat Load</t>
  </si>
  <si>
    <t>Air Dry-Bulb Temperature</t>
  </si>
  <si>
    <t>°C</t>
  </si>
  <si>
    <t>°F</t>
  </si>
  <si>
    <t>1 - Humidity Ratio</t>
  </si>
  <si>
    <t>kg/kg</t>
  </si>
  <si>
    <t>WallTemp</t>
  </si>
  <si>
    <t>Wall Surface Temperature</t>
  </si>
  <si>
    <t>WallConvection</t>
  </si>
  <si>
    <t>Heat Transfer to Wall by Convection</t>
  </si>
  <si>
    <t>BTU/Hr</t>
  </si>
  <si>
    <t>WallRadiation</t>
  </si>
  <si>
    <t>Heat Transfer to Wall by Radiation</t>
  </si>
  <si>
    <t>FluidTemp</t>
  </si>
  <si>
    <t>Working Fluid Temperature</t>
  </si>
  <si>
    <t>FuildHeat</t>
  </si>
  <si>
    <t>Heat Absorbed by Cooling Pipe</t>
  </si>
  <si>
    <t>Secod-by-second Train data</t>
  </si>
  <si>
    <t>Train ID Number</t>
  </si>
  <si>
    <t>Train route</t>
  </si>
  <si>
    <t>Train Type</t>
  </si>
  <si>
    <t>Train Location</t>
  </si>
  <si>
    <t>m</t>
  </si>
  <si>
    <t>ft</t>
  </si>
  <si>
    <t>Train Speed</t>
  </si>
  <si>
    <t>kph</t>
  </si>
  <si>
    <t>mph</t>
  </si>
  <si>
    <t>Train Acceleration</t>
  </si>
  <si>
    <r>
      <t>m/s</t>
    </r>
    <r>
      <rPr>
        <vertAlign val="superscript"/>
        <sz val="11"/>
        <color theme="1"/>
        <rFont val="Calibri"/>
        <family val="2"/>
        <scheme val="minor"/>
      </rPr>
      <t>2</t>
    </r>
  </si>
  <si>
    <t>mph/sec</t>
  </si>
  <si>
    <t>Drag_KN</t>
  </si>
  <si>
    <t>Air Drag (KN)</t>
  </si>
  <si>
    <t>kN</t>
  </si>
  <si>
    <t>lbs</t>
  </si>
  <si>
    <t>Drag_COEFF</t>
  </si>
  <si>
    <t>Air Drag (COEFF)</t>
  </si>
  <si>
    <t>Tractive Effort</t>
  </si>
  <si>
    <t>N/motor</t>
  </si>
  <si>
    <t>lbs/motor</t>
  </si>
  <si>
    <t>Motor Current</t>
  </si>
  <si>
    <t>amps</t>
  </si>
  <si>
    <t>Line Current</t>
  </si>
  <si>
    <t>Fly Wheel</t>
  </si>
  <si>
    <t>RPM</t>
  </si>
  <si>
    <t>%</t>
  </si>
  <si>
    <t>Grid Temperature Acceleration</t>
  </si>
  <si>
    <t>Grid Temperature Deceleration</t>
  </si>
  <si>
    <t>Heat generated</t>
  </si>
  <si>
    <t>W/m</t>
  </si>
  <si>
    <t>BTU/SEC-FT</t>
  </si>
  <si>
    <t>Heat rejected</t>
  </si>
  <si>
    <t xml:space="preserve">SEG </t>
  </si>
  <si>
    <t>Summary of Aerodynamic Data</t>
  </si>
  <si>
    <t>End Time Of Summary Interval</t>
  </si>
  <si>
    <t>seconds</t>
  </si>
  <si>
    <t>Airflow rate maximum</t>
  </si>
  <si>
    <t>For SES41, cfm divided by 1,000 to convert to kcfm</t>
  </si>
  <si>
    <t>Time of airflow rate maximum</t>
  </si>
  <si>
    <t>Airflow rate minimum</t>
  </si>
  <si>
    <t>Time of airflow rate minimum</t>
  </si>
  <si>
    <t>Airflow rate average value - positive</t>
  </si>
  <si>
    <t>Airflow rate average value - negative</t>
  </si>
  <si>
    <t>Air velocity maximum</t>
  </si>
  <si>
    <t>Time of air velocity maximum</t>
  </si>
  <si>
    <t>Air velocity minimum</t>
  </si>
  <si>
    <t>Time of air velocity minimum</t>
  </si>
  <si>
    <t>Velocity average value - positive</t>
  </si>
  <si>
    <t>Velocity average value - negative</t>
  </si>
  <si>
    <t>Percent Of Time Airflow Is Positive</t>
  </si>
  <si>
    <t>Percent Of Time Airflow Is Negative</t>
  </si>
  <si>
    <t>Vent shafts only</t>
  </si>
  <si>
    <t>Percentage Of Time Outflow Velocity Exceeds Design Max</t>
  </si>
  <si>
    <t>Summary of Thermodynamic Data</t>
  </si>
  <si>
    <t/>
  </si>
  <si>
    <t>Dry-bulb temperature maximum</t>
  </si>
  <si>
    <t>Time of dry-bulb temperature maximum</t>
  </si>
  <si>
    <t>dry-bulb temperature minimum</t>
  </si>
  <si>
    <t>Time of dry-bulb temperature minimum</t>
  </si>
  <si>
    <t>Dry-bulb temperature Positive</t>
  </si>
  <si>
    <t>Dry-bulb temperature Negative</t>
  </si>
  <si>
    <t>1- Humidity ratio maximum (kg/kg)</t>
  </si>
  <si>
    <t>lb/lb</t>
  </si>
  <si>
    <t>Time of Humidity ration maximum</t>
  </si>
  <si>
    <t>Humidity ratio minimum</t>
  </si>
  <si>
    <t>Time of Humidity ratio minimum</t>
  </si>
  <si>
    <t>Average Humidity ratio</t>
  </si>
  <si>
    <t>PER</t>
  </si>
  <si>
    <t>Percentage of Time Temperature is Above</t>
  </si>
  <si>
    <t>Above temperature - 1</t>
  </si>
  <si>
    <t>Above temperature - 2</t>
  </si>
  <si>
    <t>Above temperature - 3</t>
  </si>
  <si>
    <t>Above temperature - 4</t>
  </si>
  <si>
    <t>Above temperature - 5</t>
  </si>
  <si>
    <t>Percentage of Time above temperature - 1</t>
  </si>
  <si>
    <t>Percentage of Time above temperature - 2</t>
  </si>
  <si>
    <t>Percentage of Time above temperature - 3</t>
  </si>
  <si>
    <t>Percentage of Time above temperature - 4</t>
  </si>
  <si>
    <t>Percentage of Time above temperature - 5</t>
  </si>
  <si>
    <t>Percentage of Time above temperature - 6</t>
  </si>
  <si>
    <t>TRAIN ENERGY SUMMARY</t>
  </si>
  <si>
    <t>Energy Sector</t>
  </si>
  <si>
    <t>Propulsion Energy From Third Rail</t>
  </si>
  <si>
    <t>KWh</t>
  </si>
  <si>
    <t>Propulsion Energy From Flywheel</t>
  </si>
  <si>
    <t>Energy Regenerated</t>
  </si>
  <si>
    <t>HSA</t>
  </si>
  <si>
    <t>Heat Sink Analysis (for uncontrolled zones)</t>
  </si>
  <si>
    <t>Morning Wall Temperature</t>
  </si>
  <si>
    <t>Evening Wall Temperature</t>
  </si>
  <si>
    <t>Morning Air Temperature</t>
  </si>
  <si>
    <t>Evening Air Temperature</t>
  </si>
  <si>
    <t>Morning Humidity Ratio</t>
  </si>
  <si>
    <t>Evening Humidity Ratio</t>
  </si>
  <si>
    <t>Environmental Control System Load Estimates</t>
  </si>
  <si>
    <t>BTU/HR</t>
  </si>
  <si>
    <t>Sensible Heat Load From Steady State Sources</t>
  </si>
  <si>
    <t>Latent Heat Load From Steady State Sources</t>
  </si>
  <si>
    <t>Sensible Heat Load From Heat Sink</t>
  </si>
  <si>
    <t>Sensible Heat Load From Airflow</t>
  </si>
  <si>
    <t>Latent Heat Load From Airflow</t>
  </si>
  <si>
    <t>Sensible Heat Load From ECS</t>
  </si>
  <si>
    <t>Latent Heat Load From ECS</t>
  </si>
  <si>
    <t>Estimated Sensible Heat Load From ECS</t>
  </si>
  <si>
    <t>Estimated Latent Heat Load From ECS</t>
  </si>
  <si>
    <t>Estimated Total Heat Load From ECS</t>
  </si>
  <si>
    <t>Unit</t>
  </si>
  <si>
    <t>Motor Efficiency</t>
  </si>
  <si>
    <t>Outflow velocity allowable before exceedance</t>
  </si>
  <si>
    <t>Above temperature - 6</t>
  </si>
  <si>
    <t>Auxiliary Energy Consumed</t>
  </si>
  <si>
    <t>Sensible Heat Load From Trains and Misc.</t>
  </si>
  <si>
    <t>Latent Heat Load From Trains and Misc.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</si>
</sst>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1"/>
      <color rgb="FF9C0006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5"/>
      </patternFill>
    </fill>
    <fill>
      <patternFill patternType="solid">
        <fgColor theme="5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theme="5" tint="0.79998168889431442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4" fillId="2" borderId="0" applyNumberFormat="0" applyBorder="0" applyAlignment="0" applyProtection="0"/>
    <xf numFmtId="0" fontId="7" fillId="3" borderId="0" applyNumberFormat="0" applyBorder="0" applyAlignment="0" applyProtection="0"/>
    <xf numFmtId="0" fontId="3" fillId="4" borderId="0" applyNumberFormat="0" applyBorder="0" applyAlignment="0" applyProtection="0"/>
  </cellStyleXfs>
  <cellXfs count="5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0" xfId="0" applyFont="1" applyBorder="1" applyAlignment="1">
      <alignment horizontal="center" vertical="top"/>
    </xf>
    <xf numFmtId="0" fontId="5" fillId="3" borderId="2" xfId="2" applyFont="1" applyBorder="1" applyAlignment="1">
      <alignment wrapText="1"/>
    </xf>
    <xf numFmtId="0" fontId="5" fillId="3" borderId="1" xfId="2" applyFont="1" applyBorder="1" applyAlignment="1">
      <alignment horizontal="center"/>
    </xf>
    <xf numFmtId="0" fontId="5" fillId="3" borderId="1" xfId="2" applyFont="1" applyBorder="1" applyAlignment="1">
      <alignment horizontal="center" wrapText="1"/>
    </xf>
    <xf numFmtId="0" fontId="0" fillId="4" borderId="3" xfId="3" applyFont="1" applyBorder="1" applyAlignment="1">
      <alignment horizontal="left"/>
    </xf>
    <xf numFmtId="0" fontId="0" fillId="5" borderId="4" xfId="3" applyFont="1" applyFill="1" applyBorder="1" applyAlignment="1">
      <alignment horizontal="left"/>
    </xf>
    <xf numFmtId="0" fontId="0" fillId="5" borderId="4" xfId="3" applyFont="1" applyFill="1" applyBorder="1" applyAlignment="1">
      <alignment horizontal="center" wrapText="1"/>
    </xf>
    <xf numFmtId="0" fontId="0" fillId="5" borderId="5" xfId="3" applyFont="1" applyFill="1" applyBorder="1" applyAlignment="1">
      <alignment horizontal="left" wrapText="1"/>
    </xf>
    <xf numFmtId="0" fontId="6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0" fillId="6" borderId="1" xfId="0" applyFill="1" applyBorder="1"/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0" fillId="4" borderId="4" xfId="3" applyFont="1" applyBorder="1" applyAlignment="1">
      <alignment horizontal="left"/>
    </xf>
    <xf numFmtId="0" fontId="0" fillId="4" borderId="4" xfId="3" applyFont="1" applyBorder="1" applyAlignment="1">
      <alignment horizontal="center" wrapText="1"/>
    </xf>
    <xf numFmtId="0" fontId="0" fillId="4" borderId="5" xfId="3" applyFont="1" applyBorder="1" applyAlignment="1">
      <alignment horizontal="left" wrapText="1"/>
    </xf>
    <xf numFmtId="0" fontId="0" fillId="0" borderId="0" xfId="0" applyAlignment="1">
      <alignment horizontal="center"/>
    </xf>
    <xf numFmtId="0" fontId="0" fillId="0" borderId="6" xfId="0" applyBorder="1"/>
    <xf numFmtId="0" fontId="0" fillId="4" borderId="4" xfId="3" applyFont="1" applyBorder="1" applyAlignment="1">
      <alignment horizontal="center"/>
    </xf>
    <xf numFmtId="0" fontId="0" fillId="4" borderId="5" xfId="3" applyFont="1" applyBorder="1" applyAlignment="1">
      <alignment horizontal="left"/>
    </xf>
    <xf numFmtId="0" fontId="0" fillId="0" borderId="1" xfId="0" quotePrefix="1" applyBorder="1"/>
    <xf numFmtId="0" fontId="0" fillId="5" borderId="1" xfId="0" applyFill="1" applyBorder="1"/>
    <xf numFmtId="0" fontId="0" fillId="6" borderId="1" xfId="0" applyFill="1" applyBorder="1" applyAlignment="1">
      <alignment horizontal="left"/>
    </xf>
    <xf numFmtId="0" fontId="0" fillId="9" borderId="1" xfId="0" applyFill="1" applyBorder="1" applyAlignment="1">
      <alignment horizontal="left"/>
    </xf>
    <xf numFmtId="0" fontId="0" fillId="9" borderId="1" xfId="0" applyFill="1" applyBorder="1" applyAlignment="1">
      <alignment horizontal="center"/>
    </xf>
    <xf numFmtId="0" fontId="4" fillId="2" borderId="0" xfId="1"/>
    <xf numFmtId="0" fontId="4" fillId="2" borderId="1" xfId="1" applyBorder="1" applyAlignment="1">
      <alignment horizontal="center" vertical="top"/>
    </xf>
    <xf numFmtId="0" fontId="9" fillId="2" borderId="0" xfId="1" applyFont="1"/>
    <xf numFmtId="0" fontId="7" fillId="0" borderId="8" xfId="0" applyFont="1" applyBorder="1"/>
    <xf numFmtId="0" fontId="7" fillId="0" borderId="9" xfId="0" applyFont="1" applyBorder="1"/>
    <xf numFmtId="0" fontId="1" fillId="10" borderId="1" xfId="0" applyFont="1" applyFill="1" applyBorder="1" applyAlignment="1">
      <alignment horizontal="center" vertical="top"/>
    </xf>
    <xf numFmtId="0" fontId="0" fillId="10" borderId="0" xfId="0" applyFill="1"/>
    <xf numFmtId="0" fontId="0" fillId="10" borderId="1" xfId="0" applyFill="1" applyBorder="1"/>
    <xf numFmtId="0" fontId="7" fillId="10" borderId="8" xfId="0" applyFont="1" applyFill="1" applyBorder="1"/>
    <xf numFmtId="0" fontId="7" fillId="10" borderId="9" xfId="0" applyFont="1" applyFill="1" applyBorder="1"/>
    <xf numFmtId="0" fontId="7" fillId="3" borderId="1" xfId="2" applyBorder="1" applyAlignment="1">
      <alignment horizontal="center" vertical="top"/>
    </xf>
    <xf numFmtId="0" fontId="7" fillId="3" borderId="1" xfId="2" applyBorder="1"/>
    <xf numFmtId="0" fontId="1" fillId="0" borderId="9" xfId="0" applyFont="1" applyBorder="1" applyAlignment="1">
      <alignment horizontal="center" vertical="top"/>
    </xf>
    <xf numFmtId="0" fontId="0" fillId="0" borderId="9" xfId="0" applyBorder="1"/>
    <xf numFmtId="0" fontId="0" fillId="0" borderId="8" xfId="0" applyBorder="1"/>
    <xf numFmtId="0" fontId="0" fillId="10" borderId="7" xfId="0" applyFill="1" applyBorder="1"/>
    <xf numFmtId="0" fontId="0" fillId="0" borderId="7" xfId="0" applyBorder="1"/>
  </cellXfs>
  <cellStyles count="4">
    <cellStyle name="60% - Accent2" xfId="3" builtinId="36"/>
    <cellStyle name="Accent2" xfId="2" builtinId="33"/>
    <cellStyle name="Bad" xfId="1" builtinId="27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F09415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5A233-4F58-47CD-A644-9C2F038C87FE}">
  <dimension ref="A1:CG98"/>
  <sheetViews>
    <sheetView tabSelected="1" topLeftCell="A14" workbookViewId="0">
      <selection activeCell="L98" sqref="A15:L98"/>
    </sheetView>
  </sheetViews>
  <sheetFormatPr defaultRowHeight="15" x14ac:dyDescent="0.25"/>
  <cols>
    <col min="2" max="2" width="13.28515625" customWidth="1"/>
    <col min="3" max="9" width="0" hidden="1" customWidth="1"/>
    <col min="11" max="11" width="52.85546875" customWidth="1"/>
  </cols>
  <sheetData>
    <row r="1" spans="1:85" hidden="1" x14ac:dyDescent="0.25">
      <c r="A1" t="s">
        <v>2</v>
      </c>
    </row>
    <row r="2" spans="1:85" hidden="1" x14ac:dyDescent="0.25"/>
    <row r="3" spans="1:85" hidden="1" x14ac:dyDescent="0.25">
      <c r="B3" t="s">
        <v>112</v>
      </c>
      <c r="C3" t="s">
        <v>114</v>
      </c>
      <c r="E3" t="s">
        <v>115</v>
      </c>
      <c r="I3" t="s">
        <v>116</v>
      </c>
      <c r="Y3" t="s">
        <v>121</v>
      </c>
      <c r="AO3" t="s">
        <v>120</v>
      </c>
      <c r="BL3" t="s">
        <v>122</v>
      </c>
      <c r="BP3" t="s">
        <v>123</v>
      </c>
      <c r="BV3" t="s">
        <v>124</v>
      </c>
    </row>
    <row r="4" spans="1:85" hidden="1" x14ac:dyDescent="0.25">
      <c r="B4" t="s">
        <v>119</v>
      </c>
      <c r="C4" s="3" t="str">
        <f>SSA!C4</f>
        <v>Airflow</v>
      </c>
      <c r="D4" s="3" t="str">
        <f>SSA!D4</f>
        <v>AirVel</v>
      </c>
      <c r="E4" s="3" t="str">
        <f>SST!D4</f>
        <v>AirTemp</v>
      </c>
      <c r="F4" s="3" t="str">
        <f>SST!E4</f>
        <v>Humidity</v>
      </c>
      <c r="G4" s="3" t="str">
        <f>SST!F4</f>
        <v>Sensible</v>
      </c>
      <c r="H4" s="3" t="str">
        <f>SST!G4</f>
        <v>Latent</v>
      </c>
      <c r="I4" s="3" t="str">
        <f>TRA!C4</f>
        <v>RTE</v>
      </c>
      <c r="J4" s="3" t="str">
        <f>TRA!D4</f>
        <v>TYP</v>
      </c>
      <c r="K4" s="3" t="str">
        <f>TRA!E4</f>
        <v>Location</v>
      </c>
      <c r="L4" s="3" t="str">
        <f>TRA!F4</f>
        <v>Speed</v>
      </c>
      <c r="M4" s="3" t="str">
        <f>TRA!G4</f>
        <v>Accel</v>
      </c>
      <c r="N4" s="3" t="str">
        <f>TRA!H4</f>
        <v>Drag_KN</v>
      </c>
      <c r="O4" s="3" t="str">
        <f>TRA!I4</f>
        <v>Drag_COEFF</v>
      </c>
      <c r="P4" s="3" t="str">
        <f>TRA!J4</f>
        <v>Tractive</v>
      </c>
      <c r="Q4" s="3" t="str">
        <f>TRA!K4</f>
        <v>M_Current</v>
      </c>
      <c r="R4" s="3" t="str">
        <f>TRA!L4</f>
        <v>L_Current</v>
      </c>
      <c r="S4" s="3" t="str">
        <f>TRA!M4</f>
        <v>FLY</v>
      </c>
      <c r="T4" s="3" t="str">
        <f>TRA!N4</f>
        <v>M_Eff</v>
      </c>
      <c r="U4" s="3" t="str">
        <f>TRA!O4</f>
        <v>G_Accel</v>
      </c>
      <c r="V4" s="3" t="str">
        <f>TRA!P4</f>
        <v>G_Decel</v>
      </c>
      <c r="W4" s="3" t="str">
        <f>TRA!Q4</f>
        <v>H_Gen</v>
      </c>
      <c r="X4" s="3" t="str">
        <f>TRA!R4</f>
        <v>H_Reject</v>
      </c>
      <c r="Y4" s="3" t="str">
        <f>SEG!V4</f>
        <v>A_Max</v>
      </c>
      <c r="Z4" s="3" t="str">
        <f>SEG!W4</f>
        <v>A_Max_T</v>
      </c>
      <c r="AA4" s="3" t="str">
        <f>SEG!X4</f>
        <v>A_Min</v>
      </c>
      <c r="AB4" s="3" t="str">
        <f>SEG!Y4</f>
        <v>A_Min_T</v>
      </c>
      <c r="AC4" s="3" t="str">
        <f>SEG!Z4</f>
        <v>A_P</v>
      </c>
      <c r="AD4" s="3" t="str">
        <f>SEG!AA4</f>
        <v>A_N</v>
      </c>
      <c r="AE4" s="3" t="str">
        <f>SEG!AB4</f>
        <v>V_Max</v>
      </c>
      <c r="AF4" s="3" t="str">
        <f>SEG!AC4</f>
        <v>V_Max_T</v>
      </c>
      <c r="AG4" s="3" t="str">
        <f>SEG!AD4</f>
        <v>V_Min</v>
      </c>
      <c r="AH4" s="3" t="str">
        <f>SEG!AE4</f>
        <v>V_Min_T</v>
      </c>
      <c r="AI4" s="3" t="str">
        <f>SEG!AF4</f>
        <v>V_P</v>
      </c>
      <c r="AJ4" s="3" t="str">
        <f>SEG!AG4</f>
        <v>V_N</v>
      </c>
      <c r="AK4" s="3" t="str">
        <f>SEG!AH4</f>
        <v>A_P_P</v>
      </c>
      <c r="AL4" s="3" t="str">
        <f>SEG!AI4</f>
        <v>A_P_N</v>
      </c>
      <c r="AM4" s="3" t="str">
        <f>SEG!AJ4</f>
        <v>V_E</v>
      </c>
      <c r="AN4" s="3" t="str">
        <f>SEG!AK4</f>
        <v>V_EP</v>
      </c>
      <c r="AO4" s="3" t="str">
        <f>SUB!D4</f>
        <v>T_Max</v>
      </c>
      <c r="AP4" s="3" t="str">
        <f>SUB!E4</f>
        <v>T_Max_T</v>
      </c>
      <c r="AQ4" s="3" t="str">
        <f>SUB!F4</f>
        <v>T_Min</v>
      </c>
      <c r="AR4" s="3" t="str">
        <f>SUB!G4</f>
        <v>T_Min_T</v>
      </c>
      <c r="AS4" s="3" t="str">
        <f>SUB!H4</f>
        <v>T_P</v>
      </c>
      <c r="AT4" s="3" t="str">
        <f>SUB!I4</f>
        <v>T_N</v>
      </c>
      <c r="AU4" s="3" t="str">
        <f>SUB!J4</f>
        <v>W_Max</v>
      </c>
      <c r="AV4" s="3" t="str">
        <f>SUB!K4</f>
        <v>W_Max_T</v>
      </c>
      <c r="AW4" s="3" t="str">
        <f>SUB!L4</f>
        <v>W_Min</v>
      </c>
      <c r="AX4" s="3" t="str">
        <f>SUB!M4</f>
        <v>W_Min_T</v>
      </c>
      <c r="AY4" s="3" t="str">
        <f>SUB!N4</f>
        <v>W_A</v>
      </c>
      <c r="AZ4" s="3" t="str">
        <f>PER!D4</f>
        <v>TAP_1</v>
      </c>
      <c r="BA4" s="3" t="str">
        <f>PER!E4</f>
        <v>TAP_2</v>
      </c>
      <c r="BB4" s="3" t="str">
        <f>PER!F4</f>
        <v>TAP_3</v>
      </c>
      <c r="BC4" s="3" t="str">
        <f>PER!G4</f>
        <v>TAP_4</v>
      </c>
      <c r="BD4" s="3" t="str">
        <f>PER!H4</f>
        <v>TAP_5</v>
      </c>
      <c r="BE4" s="3" t="str">
        <f>PER!I4</f>
        <v>TAP_6</v>
      </c>
      <c r="BF4" s="3" t="str">
        <f>PER!J4</f>
        <v>TA_1</v>
      </c>
      <c r="BG4" s="3" t="str">
        <f>PER!K4</f>
        <v>TA_2</v>
      </c>
      <c r="BH4" s="3" t="str">
        <f>PER!L4</f>
        <v>TA_3</v>
      </c>
      <c r="BI4" s="3" t="str">
        <f>PER!M4</f>
        <v>TA_4</v>
      </c>
      <c r="BJ4" s="3" t="str">
        <f>PER!N4</f>
        <v>TA_5</v>
      </c>
      <c r="BK4" s="3" t="str">
        <f>PER!O4</f>
        <v>TA_6</v>
      </c>
      <c r="BL4" s="3" t="str">
        <f>TES!C4</f>
        <v>ET</v>
      </c>
      <c r="BM4" s="3" t="str">
        <f>TES!D4</f>
        <v>EF</v>
      </c>
      <c r="BN4" s="3" t="str">
        <f>TES!E4</f>
        <v>EA</v>
      </c>
      <c r="BO4" s="3" t="str">
        <f>TES!F4</f>
        <v>ER</v>
      </c>
      <c r="BP4" s="3" t="str">
        <f>HSA!E4</f>
        <v>MWT</v>
      </c>
      <c r="BQ4" s="3" t="str">
        <f>HSA!F4</f>
        <v>EWT</v>
      </c>
      <c r="BR4" s="3" t="str">
        <f>HSA!G4</f>
        <v>MAT</v>
      </c>
      <c r="BS4" s="3" t="str">
        <f>HSA!H4</f>
        <v>EAT</v>
      </c>
      <c r="BT4" s="3" t="str">
        <f>HSA!I4</f>
        <v>MH</v>
      </c>
      <c r="BU4" s="3" t="str">
        <f>HSA!J4</f>
        <v>EH</v>
      </c>
      <c r="BV4" s="3" t="s">
        <v>100</v>
      </c>
      <c r="BW4" s="3" t="s">
        <v>101</v>
      </c>
      <c r="BX4" s="3" t="s">
        <v>102</v>
      </c>
      <c r="BY4" s="3" t="s">
        <v>103</v>
      </c>
      <c r="BZ4" s="3" t="s">
        <v>104</v>
      </c>
      <c r="CA4" s="3" t="s">
        <v>105</v>
      </c>
      <c r="CB4" s="3" t="s">
        <v>106</v>
      </c>
      <c r="CC4" s="3" t="s">
        <v>107</v>
      </c>
      <c r="CD4" s="3" t="s">
        <v>108</v>
      </c>
      <c r="CE4" s="3" t="s">
        <v>109</v>
      </c>
      <c r="CF4" s="3" t="s">
        <v>110</v>
      </c>
      <c r="CG4" s="3" t="s">
        <v>111</v>
      </c>
    </row>
    <row r="5" spans="1:85" hidden="1" x14ac:dyDescent="0.25">
      <c r="B5" s="3" t="str">
        <f>SSA!B5</f>
        <v>count</v>
      </c>
      <c r="C5">
        <f>SSA!C5</f>
        <v>288</v>
      </c>
      <c r="D5">
        <f>SSA!D5</f>
        <v>288</v>
      </c>
      <c r="E5">
        <f>SST!D5</f>
        <v>418</v>
      </c>
      <c r="F5">
        <f>SST!E5</f>
        <v>418</v>
      </c>
      <c r="G5">
        <f>SST!F5</f>
        <v>210</v>
      </c>
      <c r="H5">
        <f>SST!G5</f>
        <v>179</v>
      </c>
      <c r="I5">
        <f>TRA!C5</f>
        <v>41</v>
      </c>
      <c r="J5">
        <f>TRA!D5</f>
        <v>41</v>
      </c>
      <c r="K5">
        <f>TRA!E5</f>
        <v>41</v>
      </c>
      <c r="L5">
        <f>TRA!F5</f>
        <v>35</v>
      </c>
      <c r="M5">
        <f>TRA!G5</f>
        <v>32</v>
      </c>
      <c r="N5">
        <f>TRA!H5</f>
        <v>33</v>
      </c>
      <c r="O5">
        <f>TRA!I5</f>
        <v>33</v>
      </c>
      <c r="P5">
        <f>TRA!J5</f>
        <v>20</v>
      </c>
      <c r="Q5">
        <f>TRA!K5</f>
        <v>20</v>
      </c>
      <c r="R5">
        <f>TRA!L5</f>
        <v>18</v>
      </c>
      <c r="S5">
        <f>TRA!M5</f>
        <v>20</v>
      </c>
      <c r="T5">
        <f>TRA!N5</f>
        <v>0</v>
      </c>
      <c r="U5">
        <f>TRA!O5</f>
        <v>41</v>
      </c>
      <c r="V5">
        <f>TRA!P5</f>
        <v>41</v>
      </c>
      <c r="W5">
        <f>TRA!Q5</f>
        <v>41</v>
      </c>
      <c r="X5">
        <f>TRA!R5</f>
        <v>41</v>
      </c>
      <c r="Y5">
        <f>SEG!V5</f>
        <v>72</v>
      </c>
      <c r="Z5">
        <f>SEG!W5</f>
        <v>72</v>
      </c>
      <c r="AA5">
        <f>SEG!X5</f>
        <v>72</v>
      </c>
      <c r="AB5">
        <f>SEG!Y5</f>
        <v>72</v>
      </c>
      <c r="AC5">
        <f>SEG!Z5</f>
        <v>72</v>
      </c>
      <c r="AD5">
        <f>SEG!AA5</f>
        <v>72</v>
      </c>
      <c r="AE5">
        <f>SEG!AB5</f>
        <v>72</v>
      </c>
      <c r="AF5">
        <f>SEG!AC5</f>
        <v>72</v>
      </c>
      <c r="AG5">
        <f>SEG!AD5</f>
        <v>72</v>
      </c>
      <c r="AH5">
        <f>SEG!AE5</f>
        <v>72</v>
      </c>
      <c r="AI5">
        <f>SEG!AF5</f>
        <v>72</v>
      </c>
      <c r="AJ5">
        <f>SEG!AG5</f>
        <v>72</v>
      </c>
      <c r="AK5">
        <f>SEG!AH5</f>
        <v>72</v>
      </c>
      <c r="AL5">
        <f>SEG!AI5</f>
        <v>72</v>
      </c>
      <c r="AM5">
        <f>SEG!AJ5</f>
        <v>72</v>
      </c>
      <c r="AN5">
        <f>SEG!AK5</f>
        <v>72</v>
      </c>
      <c r="AO5">
        <f>SUB!D5</f>
        <v>136</v>
      </c>
      <c r="AP5">
        <f>SUB!E5</f>
        <v>136</v>
      </c>
      <c r="AQ5">
        <f>SUB!F5</f>
        <v>136</v>
      </c>
      <c r="AR5">
        <f>SUB!G5</f>
        <v>136</v>
      </c>
      <c r="AS5">
        <f>SUB!H5</f>
        <v>96</v>
      </c>
      <c r="AT5">
        <f>SUB!I5</f>
        <v>116</v>
      </c>
      <c r="AU5">
        <f>SUB!J5</f>
        <v>136</v>
      </c>
      <c r="AV5">
        <f>SUB!K5</f>
        <v>136</v>
      </c>
      <c r="AW5">
        <f>SUB!L5</f>
        <v>136</v>
      </c>
      <c r="AX5">
        <f>SUB!M5</f>
        <v>136</v>
      </c>
      <c r="AY5">
        <f>SUB!N5</f>
        <v>136</v>
      </c>
      <c r="AZ5">
        <f>PER!D5</f>
        <v>40</v>
      </c>
      <c r="BA5">
        <f>PER!E5</f>
        <v>40</v>
      </c>
      <c r="BB5">
        <f>PER!F5</f>
        <v>40</v>
      </c>
      <c r="BC5">
        <f>PER!G5</f>
        <v>25</v>
      </c>
      <c r="BD5">
        <f>PER!H5</f>
        <v>15</v>
      </c>
      <c r="BE5">
        <f>PER!I5</f>
        <v>12</v>
      </c>
      <c r="BF5">
        <f>PER!J5</f>
        <v>40</v>
      </c>
      <c r="BG5">
        <f>PER!K5</f>
        <v>40</v>
      </c>
      <c r="BH5">
        <f>PER!L5</f>
        <v>40</v>
      </c>
      <c r="BI5">
        <f>PER!M5</f>
        <v>40</v>
      </c>
      <c r="BJ5">
        <f>PER!N5</f>
        <v>40</v>
      </c>
      <c r="BK5">
        <f>PER!O5</f>
        <v>40</v>
      </c>
      <c r="BL5">
        <f>TES!C5</f>
        <v>20</v>
      </c>
      <c r="BM5">
        <f>TES!D5</f>
        <v>12</v>
      </c>
      <c r="BN5">
        <f>TES!E5</f>
        <v>24</v>
      </c>
      <c r="BO5">
        <f>TES!F5</f>
        <v>12</v>
      </c>
      <c r="BP5">
        <f>HSA!E5</f>
        <v>72</v>
      </c>
      <c r="BQ5">
        <f>HSA!F5</f>
        <v>72</v>
      </c>
      <c r="BR5">
        <f>HSA!G5</f>
        <v>72</v>
      </c>
      <c r="BS5">
        <f>HSA!H5</f>
        <v>72</v>
      </c>
      <c r="BT5">
        <f>HSA!I5</f>
        <v>72</v>
      </c>
      <c r="BU5">
        <f>HSA!J5</f>
        <v>72</v>
      </c>
      <c r="BV5">
        <v>30</v>
      </c>
      <c r="BW5">
        <v>19</v>
      </c>
      <c r="BX5">
        <v>30</v>
      </c>
      <c r="BY5">
        <v>18</v>
      </c>
      <c r="BZ5">
        <v>30</v>
      </c>
      <c r="CA5">
        <v>30</v>
      </c>
      <c r="CB5">
        <v>30</v>
      </c>
      <c r="CC5">
        <v>20</v>
      </c>
      <c r="CD5">
        <v>20</v>
      </c>
      <c r="CE5">
        <v>30</v>
      </c>
      <c r="CF5">
        <v>30</v>
      </c>
      <c r="CG5">
        <v>30</v>
      </c>
    </row>
    <row r="6" spans="1:85" hidden="1" x14ac:dyDescent="0.25">
      <c r="B6" s="3" t="s">
        <v>117</v>
      </c>
      <c r="C6">
        <f>SSA!C6</f>
        <v>3.6919344291575049E-4</v>
      </c>
      <c r="D6">
        <f>SSA!D6</f>
        <v>1.183884601346723E-4</v>
      </c>
      <c r="E6">
        <f>SST!D6</f>
        <v>1.2795329768744691E-2</v>
      </c>
      <c r="F6">
        <f>SST!E6</f>
        <v>5.8289485633715943E-2</v>
      </c>
      <c r="G6">
        <f>SST!F6</f>
        <v>0</v>
      </c>
      <c r="H6">
        <f>SST!G6</f>
        <v>4.0133564502662592E-4</v>
      </c>
      <c r="I6">
        <f>TRA!C6</f>
        <v>0</v>
      </c>
      <c r="J6">
        <f>TRA!D6</f>
        <v>0</v>
      </c>
      <c r="K6">
        <f>TRA!E6</f>
        <v>0</v>
      </c>
      <c r="L6">
        <f>TRA!F6</f>
        <v>0</v>
      </c>
      <c r="M6">
        <f>TRA!G6</f>
        <v>0</v>
      </c>
      <c r="N6">
        <f>TRA!H6</f>
        <v>0</v>
      </c>
      <c r="O6">
        <f>TRA!I6</f>
        <v>0</v>
      </c>
      <c r="P6">
        <f>TRA!J6</f>
        <v>0</v>
      </c>
      <c r="Q6">
        <f>TRA!K6</f>
        <v>0</v>
      </c>
      <c r="R6">
        <f>TRA!L6</f>
        <v>0</v>
      </c>
      <c r="S6">
        <f>TRA!M6</f>
        <v>0</v>
      </c>
      <c r="T6">
        <f>TRA!N6</f>
        <v>0</v>
      </c>
      <c r="U6">
        <f>TRA!O6</f>
        <v>0</v>
      </c>
      <c r="V6">
        <f>TRA!P6</f>
        <v>0</v>
      </c>
      <c r="W6">
        <f>TRA!Q6</f>
        <v>0</v>
      </c>
      <c r="X6">
        <f>TRA!R6</f>
        <v>1.548586914440746E-3</v>
      </c>
      <c r="Y6">
        <f>SEG!V6</f>
        <v>5.5555555555228712E-5</v>
      </c>
      <c r="Z6">
        <f>SEG!W6</f>
        <v>0</v>
      </c>
      <c r="AA6">
        <f>SEG!X6</f>
        <v>2.2222222222417149E-4</v>
      </c>
      <c r="AB6">
        <f>SEG!Y6</f>
        <v>0</v>
      </c>
      <c r="AC6">
        <f>SEG!Z6</f>
        <v>8.3333333333829922E-5</v>
      </c>
      <c r="AD6">
        <f>SEG!AA6</f>
        <v>5.5555555555820822E-5</v>
      </c>
      <c r="AE6">
        <f>SEG!AB6</f>
        <v>0</v>
      </c>
      <c r="AF6">
        <f>SEG!AC6</f>
        <v>0</v>
      </c>
      <c r="AG6">
        <f>SEG!AD6</f>
        <v>0</v>
      </c>
      <c r="AH6">
        <f>SEG!AE6</f>
        <v>0</v>
      </c>
      <c r="AI6">
        <f>SEG!AF6</f>
        <v>0</v>
      </c>
      <c r="AJ6">
        <f>SEG!AG6</f>
        <v>0</v>
      </c>
      <c r="AK6">
        <f>SEG!AH6</f>
        <v>0</v>
      </c>
      <c r="AL6">
        <f>SEG!AI6</f>
        <v>0</v>
      </c>
      <c r="AM6">
        <f>SEG!AJ6</f>
        <v>0</v>
      </c>
      <c r="AN6">
        <f>SEG!AK6</f>
        <v>0</v>
      </c>
      <c r="AO6">
        <f>SUB!D6</f>
        <v>0</v>
      </c>
      <c r="AP6">
        <f>SUB!E6</f>
        <v>4.5437609618243532E-4</v>
      </c>
      <c r="AQ6">
        <f>SUB!F6</f>
        <v>0</v>
      </c>
      <c r="AR6">
        <f>SUB!G6</f>
        <v>7.1124842162233713E-3</v>
      </c>
      <c r="AS6">
        <f>SUB!H6</f>
        <v>0</v>
      </c>
      <c r="AT6">
        <f>SUB!I6</f>
        <v>0</v>
      </c>
      <c r="AU6">
        <f>SUB!J6</f>
        <v>0</v>
      </c>
      <c r="AV6">
        <f>SUB!K6</f>
        <v>9.1908434066082009E-3</v>
      </c>
      <c r="AW6">
        <f>SUB!L6</f>
        <v>0</v>
      </c>
      <c r="AX6">
        <f>SUB!M6</f>
        <v>4.21547969587835E-3</v>
      </c>
      <c r="AY6">
        <f>SUB!N6</f>
        <v>0</v>
      </c>
      <c r="AZ6">
        <f>PER!D6</f>
        <v>0</v>
      </c>
      <c r="BA6">
        <f>PER!E6</f>
        <v>0</v>
      </c>
      <c r="BB6">
        <f>PER!F6</f>
        <v>0</v>
      </c>
      <c r="BC6">
        <f>PER!G6</f>
        <v>0</v>
      </c>
      <c r="BD6">
        <f>PER!H6</f>
        <v>0</v>
      </c>
      <c r="BE6">
        <f>PER!I6</f>
        <v>0</v>
      </c>
      <c r="BF6">
        <f>PER!J6</f>
        <v>0</v>
      </c>
      <c r="BG6">
        <f>PER!K6</f>
        <v>0</v>
      </c>
      <c r="BH6">
        <f>PER!L6</f>
        <v>0</v>
      </c>
      <c r="BI6">
        <f>PER!M6</f>
        <v>0</v>
      </c>
      <c r="BJ6">
        <f>PER!N6</f>
        <v>0</v>
      </c>
      <c r="BK6">
        <f>PER!O6</f>
        <v>0</v>
      </c>
      <c r="BL6">
        <f>TES!C6</f>
        <v>0</v>
      </c>
      <c r="BM6">
        <f>TES!D6</f>
        <v>0</v>
      </c>
      <c r="BN6">
        <f>TES!E6</f>
        <v>0</v>
      </c>
      <c r="BO6">
        <f>TES!F6</f>
        <v>0</v>
      </c>
      <c r="BP6">
        <f>HSA!E6</f>
        <v>0</v>
      </c>
      <c r="BQ6">
        <f>HSA!F6</f>
        <v>0</v>
      </c>
      <c r="BR6">
        <f>HSA!G6</f>
        <v>0</v>
      </c>
      <c r="BS6">
        <f>HSA!H6</f>
        <v>0</v>
      </c>
      <c r="BT6">
        <f>HSA!I6</f>
        <v>0</v>
      </c>
      <c r="BU6">
        <f>HSA!J6</f>
        <v>0</v>
      </c>
      <c r="BV6">
        <v>1.055591656710982E-4</v>
      </c>
      <c r="BW6">
        <v>5.2637221152453577</v>
      </c>
      <c r="BX6">
        <v>5.5096418732782371E-5</v>
      </c>
      <c r="BY6">
        <v>0</v>
      </c>
      <c r="BZ6">
        <v>0</v>
      </c>
      <c r="CA6">
        <v>6.5489110911480146E-3</v>
      </c>
      <c r="CB6">
        <v>6.0351290899601659E-2</v>
      </c>
      <c r="CC6">
        <v>1.882516989189931E-3</v>
      </c>
      <c r="CD6">
        <v>2.530815837884092E-3</v>
      </c>
      <c r="CE6">
        <v>2.2340320584664482E-3</v>
      </c>
      <c r="CF6">
        <v>2.081870476162098E-3</v>
      </c>
      <c r="CG6">
        <v>4.2988381195621494E-3</v>
      </c>
    </row>
    <row r="7" spans="1:85" hidden="1" x14ac:dyDescent="0.25">
      <c r="B7" s="3" t="str">
        <f>SSA!B7</f>
        <v>std</v>
      </c>
      <c r="C7">
        <f>SSA!C7</f>
        <v>1.129325536818816E-3</v>
      </c>
      <c r="D7">
        <f>SSA!D7</f>
        <v>1.457909334540609E-3</v>
      </c>
      <c r="E7">
        <f>SST!D7</f>
        <v>1.80979827829841E-2</v>
      </c>
      <c r="F7">
        <f>SST!E7</f>
        <v>9.2496411786392896E-2</v>
      </c>
      <c r="G7">
        <f>SST!F7</f>
        <v>0</v>
      </c>
      <c r="H7">
        <f>SST!G7</f>
        <v>5.3695049766659163E-3</v>
      </c>
      <c r="I7">
        <f>TRA!C7</f>
        <v>0</v>
      </c>
      <c r="J7">
        <f>TRA!D7</f>
        <v>0</v>
      </c>
      <c r="K7">
        <f>TRA!E7</f>
        <v>0</v>
      </c>
      <c r="L7">
        <f>TRA!F7</f>
        <v>0</v>
      </c>
      <c r="M7">
        <f>TRA!G7</f>
        <v>0</v>
      </c>
      <c r="N7">
        <f>TRA!H7</f>
        <v>0</v>
      </c>
      <c r="O7">
        <f>TRA!I7</f>
        <v>0</v>
      </c>
      <c r="P7">
        <f>TRA!J7</f>
        <v>0</v>
      </c>
      <c r="Q7">
        <f>TRA!K7</f>
        <v>0</v>
      </c>
      <c r="R7">
        <f>TRA!L7</f>
        <v>0</v>
      </c>
      <c r="S7">
        <f>TRA!M7</f>
        <v>0</v>
      </c>
      <c r="T7">
        <f>TRA!N7</f>
        <v>0</v>
      </c>
      <c r="U7">
        <f>TRA!O7</f>
        <v>0</v>
      </c>
      <c r="V7">
        <f>TRA!P7</f>
        <v>0</v>
      </c>
      <c r="W7">
        <f>TRA!Q7</f>
        <v>0</v>
      </c>
      <c r="X7">
        <f>TRA!R7</f>
        <v>9.9157944056268953E-3</v>
      </c>
      <c r="Y7">
        <f>SEG!V7</f>
        <v>2.8526680809258233E-4</v>
      </c>
      <c r="Z7">
        <f>SEG!W7</f>
        <v>0</v>
      </c>
      <c r="AA7">
        <f>SEG!X7</f>
        <v>5.3660965492142261E-4</v>
      </c>
      <c r="AB7">
        <f>SEG!Y7</f>
        <v>0</v>
      </c>
      <c r="AC7">
        <f>SEG!Z7</f>
        <v>3.2501354251429762E-4</v>
      </c>
      <c r="AD7">
        <f>SEG!AA7</f>
        <v>2.3066889195487149E-4</v>
      </c>
      <c r="AE7">
        <f>SEG!AB7</f>
        <v>0</v>
      </c>
      <c r="AF7">
        <f>SEG!AC7</f>
        <v>0</v>
      </c>
      <c r="AG7">
        <f>SEG!AD7</f>
        <v>0</v>
      </c>
      <c r="AH7">
        <f>SEG!AE7</f>
        <v>0</v>
      </c>
      <c r="AI7">
        <f>SEG!AF7</f>
        <v>0</v>
      </c>
      <c r="AJ7">
        <f>SEG!AG7</f>
        <v>0</v>
      </c>
      <c r="AK7">
        <f>SEG!AH7</f>
        <v>0</v>
      </c>
      <c r="AL7">
        <f>SEG!AI7</f>
        <v>0</v>
      </c>
      <c r="AM7">
        <f>SEG!AJ7</f>
        <v>0</v>
      </c>
      <c r="AN7">
        <f>SEG!AK7</f>
        <v>0</v>
      </c>
      <c r="AO7">
        <f>SUB!D7</f>
        <v>0</v>
      </c>
      <c r="AP7">
        <f>SUB!E7</f>
        <v>5.2988903180147687E-3</v>
      </c>
      <c r="AQ7">
        <f>SUB!F7</f>
        <v>0</v>
      </c>
      <c r="AR7">
        <f>SUB!G7</f>
        <v>5.546338606850916E-2</v>
      </c>
      <c r="AS7">
        <f>SUB!H7</f>
        <v>0</v>
      </c>
      <c r="AT7">
        <f>SUB!I7</f>
        <v>0</v>
      </c>
      <c r="AU7">
        <f>SUB!J7</f>
        <v>0</v>
      </c>
      <c r="AV7">
        <f>SUB!K7</f>
        <v>5.7993531529006902E-2</v>
      </c>
      <c r="AW7">
        <f>SUB!L7</f>
        <v>0</v>
      </c>
      <c r="AX7">
        <f>SUB!M7</f>
        <v>2.4084004183347951E-2</v>
      </c>
      <c r="AY7">
        <f>SUB!N7</f>
        <v>0</v>
      </c>
      <c r="AZ7">
        <f>PER!D7</f>
        <v>0</v>
      </c>
      <c r="BA7">
        <f>PER!E7</f>
        <v>0</v>
      </c>
      <c r="BB7">
        <f>PER!F7</f>
        <v>0</v>
      </c>
      <c r="BC7">
        <f>PER!G7</f>
        <v>0</v>
      </c>
      <c r="BD7">
        <f>PER!H7</f>
        <v>0</v>
      </c>
      <c r="BE7">
        <f>PER!I7</f>
        <v>0</v>
      </c>
      <c r="BF7">
        <f>PER!J7</f>
        <v>0</v>
      </c>
      <c r="BG7">
        <f>PER!K7</f>
        <v>0</v>
      </c>
      <c r="BH7">
        <f>PER!L7</f>
        <v>0</v>
      </c>
      <c r="BI7">
        <f>PER!M7</f>
        <v>0</v>
      </c>
      <c r="BJ7">
        <f>PER!N7</f>
        <v>0</v>
      </c>
      <c r="BK7">
        <f>PER!O7</f>
        <v>0</v>
      </c>
      <c r="BL7">
        <f>TES!C7</f>
        <v>0</v>
      </c>
      <c r="BM7">
        <f>TES!D7</f>
        <v>0</v>
      </c>
      <c r="BN7">
        <f>TES!E7</f>
        <v>0</v>
      </c>
      <c r="BO7">
        <f>TES!F7</f>
        <v>0</v>
      </c>
      <c r="BP7">
        <f>HSA!E7</f>
        <v>0</v>
      </c>
      <c r="BQ7">
        <f>HSA!F7</f>
        <v>0</v>
      </c>
      <c r="BR7">
        <f>HSA!G7</f>
        <v>0</v>
      </c>
      <c r="BS7">
        <f>HSA!H7</f>
        <v>0</v>
      </c>
      <c r="BT7">
        <f>HSA!I7</f>
        <v>0</v>
      </c>
      <c r="BU7">
        <f>HSA!J7</f>
        <v>0</v>
      </c>
      <c r="BV7">
        <v>1.236621888830891E-4</v>
      </c>
      <c r="BW7">
        <v>22.941436816670571</v>
      </c>
      <c r="BX7">
        <v>3.01775513776951E-4</v>
      </c>
      <c r="BY7">
        <v>0</v>
      </c>
      <c r="BZ7">
        <v>0</v>
      </c>
      <c r="CA7">
        <v>1.143368544628879E-2</v>
      </c>
      <c r="CB7">
        <v>0.31429020716152362</v>
      </c>
      <c r="CC7">
        <v>3.7284840102116928E-3</v>
      </c>
      <c r="CD7">
        <v>3.7274599523379158E-3</v>
      </c>
      <c r="CE7">
        <v>4.6333855449274073E-3</v>
      </c>
      <c r="CF7">
        <v>3.1399214410055788E-3</v>
      </c>
      <c r="CG7">
        <v>1.2340509614064561E-2</v>
      </c>
    </row>
    <row r="8" spans="1:85" hidden="1" x14ac:dyDescent="0.25">
      <c r="B8" s="3" t="str">
        <f>SSA!B8</f>
        <v>min</v>
      </c>
      <c r="C8">
        <f>SSA!C8</f>
        <v>0</v>
      </c>
      <c r="D8">
        <f>SSA!D8</f>
        <v>0</v>
      </c>
      <c r="E8">
        <f>SST!D8</f>
        <v>0</v>
      </c>
      <c r="F8">
        <f>SST!E8</f>
        <v>0</v>
      </c>
      <c r="G8">
        <f>SST!F8</f>
        <v>0</v>
      </c>
      <c r="H8">
        <f>SST!G8</f>
        <v>0</v>
      </c>
      <c r="I8">
        <f>TRA!C8</f>
        <v>0</v>
      </c>
      <c r="J8">
        <f>TRA!D8</f>
        <v>0</v>
      </c>
      <c r="K8">
        <f>TRA!E8</f>
        <v>0</v>
      </c>
      <c r="L8">
        <f>TRA!F8</f>
        <v>0</v>
      </c>
      <c r="M8">
        <f>TRA!G8</f>
        <v>0</v>
      </c>
      <c r="N8">
        <f>TRA!H8</f>
        <v>0</v>
      </c>
      <c r="O8">
        <f>TRA!I8</f>
        <v>0</v>
      </c>
      <c r="P8">
        <f>TRA!J8</f>
        <v>0</v>
      </c>
      <c r="Q8">
        <f>TRA!K8</f>
        <v>0</v>
      </c>
      <c r="R8">
        <f>TRA!L8</f>
        <v>0</v>
      </c>
      <c r="S8">
        <f>TRA!M8</f>
        <v>0</v>
      </c>
      <c r="T8">
        <f>TRA!N8</f>
        <v>0</v>
      </c>
      <c r="U8">
        <f>TRA!O8</f>
        <v>0</v>
      </c>
      <c r="V8">
        <f>TRA!P8</f>
        <v>0</v>
      </c>
      <c r="W8">
        <f>TRA!Q8</f>
        <v>0</v>
      </c>
      <c r="X8">
        <f>TRA!R8</f>
        <v>0</v>
      </c>
      <c r="Y8">
        <f>SEG!V8</f>
        <v>-1.0000000000047751E-3</v>
      </c>
      <c r="Z8">
        <f>SEG!W8</f>
        <v>0</v>
      </c>
      <c r="AA8">
        <f>SEG!X8</f>
        <v>-1.0000000000047751E-3</v>
      </c>
      <c r="AB8">
        <f>SEG!Y8</f>
        <v>0</v>
      </c>
      <c r="AC8">
        <f>SEG!Z8</f>
        <v>-9.9999999999766942E-4</v>
      </c>
      <c r="AD8">
        <f>SEG!AA8</f>
        <v>0</v>
      </c>
      <c r="AE8">
        <f>SEG!AB8</f>
        <v>0</v>
      </c>
      <c r="AF8">
        <f>SEG!AC8</f>
        <v>0</v>
      </c>
      <c r="AG8">
        <f>SEG!AD8</f>
        <v>0</v>
      </c>
      <c r="AH8">
        <f>SEG!AE8</f>
        <v>0</v>
      </c>
      <c r="AI8">
        <f>SEG!AF8</f>
        <v>0</v>
      </c>
      <c r="AJ8">
        <f>SEG!AG8</f>
        <v>0</v>
      </c>
      <c r="AK8">
        <f>SEG!AH8</f>
        <v>0</v>
      </c>
      <c r="AL8">
        <f>SEG!AI8</f>
        <v>0</v>
      </c>
      <c r="AM8">
        <f>SEG!AJ8</f>
        <v>0</v>
      </c>
      <c r="AN8">
        <f>SEG!AK8</f>
        <v>0</v>
      </c>
      <c r="AO8">
        <f>SUB!D8</f>
        <v>0</v>
      </c>
      <c r="AP8">
        <f>SUB!E8</f>
        <v>0</v>
      </c>
      <c r="AQ8">
        <f>SUB!F8</f>
        <v>0</v>
      </c>
      <c r="AR8">
        <f>SUB!G8</f>
        <v>0</v>
      </c>
      <c r="AS8">
        <f>SUB!H8</f>
        <v>0</v>
      </c>
      <c r="AT8">
        <f>SUB!I8</f>
        <v>0</v>
      </c>
      <c r="AU8">
        <f>SUB!J8</f>
        <v>0</v>
      </c>
      <c r="AV8">
        <f>SUB!K8</f>
        <v>0</v>
      </c>
      <c r="AW8">
        <f>SUB!L8</f>
        <v>0</v>
      </c>
      <c r="AX8">
        <f>SUB!M8</f>
        <v>0</v>
      </c>
      <c r="AY8">
        <f>SUB!N8</f>
        <v>0</v>
      </c>
      <c r="AZ8">
        <f>PER!D8</f>
        <v>0</v>
      </c>
      <c r="BA8">
        <f>PER!E8</f>
        <v>0</v>
      </c>
      <c r="BB8">
        <f>PER!F8</f>
        <v>0</v>
      </c>
      <c r="BC8">
        <f>PER!G8</f>
        <v>0</v>
      </c>
      <c r="BD8">
        <f>PER!H8</f>
        <v>0</v>
      </c>
      <c r="BE8">
        <f>PER!I8</f>
        <v>0</v>
      </c>
      <c r="BF8">
        <f>PER!J8</f>
        <v>0</v>
      </c>
      <c r="BG8">
        <f>PER!K8</f>
        <v>0</v>
      </c>
      <c r="BH8">
        <f>PER!L8</f>
        <v>0</v>
      </c>
      <c r="BI8">
        <f>PER!M8</f>
        <v>0</v>
      </c>
      <c r="BJ8">
        <f>PER!N8</f>
        <v>0</v>
      </c>
      <c r="BK8">
        <f>PER!O8</f>
        <v>0</v>
      </c>
      <c r="BL8">
        <f>TES!C8</f>
        <v>0</v>
      </c>
      <c r="BM8">
        <f>TES!D8</f>
        <v>0</v>
      </c>
      <c r="BN8">
        <f>TES!E8</f>
        <v>0</v>
      </c>
      <c r="BO8">
        <f>TES!F8</f>
        <v>0</v>
      </c>
      <c r="BP8">
        <f>HSA!E8</f>
        <v>0</v>
      </c>
      <c r="BQ8">
        <f>HSA!F8</f>
        <v>0</v>
      </c>
      <c r="BR8">
        <f>HSA!G8</f>
        <v>0</v>
      </c>
      <c r="BS8">
        <f>HSA!H8</f>
        <v>0</v>
      </c>
      <c r="BT8">
        <f>HSA!I8</f>
        <v>0</v>
      </c>
      <c r="BU8">
        <f>HSA!J8</f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</row>
    <row r="9" spans="1:85" hidden="1" x14ac:dyDescent="0.25">
      <c r="B9" s="3" t="str">
        <f>SSA!B9</f>
        <v>25%</v>
      </c>
      <c r="C9">
        <f>SSA!C9</f>
        <v>0</v>
      </c>
      <c r="D9">
        <f>SSA!D9</f>
        <v>0</v>
      </c>
      <c r="E9">
        <f>SST!D9</f>
        <v>0</v>
      </c>
      <c r="F9">
        <f>SST!E9</f>
        <v>0</v>
      </c>
      <c r="G9">
        <f>SST!F9</f>
        <v>0</v>
      </c>
      <c r="H9">
        <f>SST!G9</f>
        <v>0</v>
      </c>
      <c r="I9">
        <f>TRA!C9</f>
        <v>0</v>
      </c>
      <c r="J9">
        <f>TRA!D9</f>
        <v>0</v>
      </c>
      <c r="K9">
        <f>TRA!E9</f>
        <v>0</v>
      </c>
      <c r="L9">
        <f>TRA!F9</f>
        <v>0</v>
      </c>
      <c r="M9">
        <f>TRA!G9</f>
        <v>0</v>
      </c>
      <c r="N9">
        <f>TRA!H9</f>
        <v>0</v>
      </c>
      <c r="O9">
        <f>TRA!I9</f>
        <v>0</v>
      </c>
      <c r="P9">
        <f>TRA!J9</f>
        <v>0</v>
      </c>
      <c r="Q9">
        <f>TRA!K9</f>
        <v>0</v>
      </c>
      <c r="R9">
        <f>TRA!L9</f>
        <v>0</v>
      </c>
      <c r="S9">
        <f>TRA!M9</f>
        <v>0</v>
      </c>
      <c r="T9">
        <f>TRA!N9</f>
        <v>0</v>
      </c>
      <c r="U9">
        <f>TRA!O9</f>
        <v>0</v>
      </c>
      <c r="V9">
        <f>TRA!P9</f>
        <v>0</v>
      </c>
      <c r="W9">
        <f>TRA!Q9</f>
        <v>0</v>
      </c>
      <c r="X9">
        <f>TRA!R9</f>
        <v>0</v>
      </c>
      <c r="Y9">
        <f>SEG!V9</f>
        <v>0</v>
      </c>
      <c r="Z9">
        <f>SEG!W9</f>
        <v>0</v>
      </c>
      <c r="AA9">
        <f>SEG!X9</f>
        <v>0</v>
      </c>
      <c r="AB9">
        <f>SEG!Y9</f>
        <v>0</v>
      </c>
      <c r="AC9">
        <f>SEG!Z9</f>
        <v>0</v>
      </c>
      <c r="AD9">
        <f>SEG!AA9</f>
        <v>0</v>
      </c>
      <c r="AE9">
        <f>SEG!AB9</f>
        <v>0</v>
      </c>
      <c r="AF9">
        <f>SEG!AC9</f>
        <v>0</v>
      </c>
      <c r="AG9">
        <f>SEG!AD9</f>
        <v>0</v>
      </c>
      <c r="AH9">
        <f>SEG!AE9</f>
        <v>0</v>
      </c>
      <c r="AI9">
        <f>SEG!AF9</f>
        <v>0</v>
      </c>
      <c r="AJ9">
        <f>SEG!AG9</f>
        <v>0</v>
      </c>
      <c r="AK9">
        <f>SEG!AH9</f>
        <v>0</v>
      </c>
      <c r="AL9">
        <f>SEG!AI9</f>
        <v>0</v>
      </c>
      <c r="AM9">
        <f>SEG!AJ9</f>
        <v>0</v>
      </c>
      <c r="AN9">
        <f>SEG!AK9</f>
        <v>0</v>
      </c>
      <c r="AO9">
        <f>SUB!D9</f>
        <v>0</v>
      </c>
      <c r="AP9">
        <f>SUB!E9</f>
        <v>0</v>
      </c>
      <c r="AQ9">
        <f>SUB!F9</f>
        <v>0</v>
      </c>
      <c r="AR9">
        <f>SUB!G9</f>
        <v>0</v>
      </c>
      <c r="AS9">
        <f>SUB!H9</f>
        <v>0</v>
      </c>
      <c r="AT9">
        <f>SUB!I9</f>
        <v>0</v>
      </c>
      <c r="AU9">
        <f>SUB!J9</f>
        <v>0</v>
      </c>
      <c r="AV9">
        <f>SUB!K9</f>
        <v>0</v>
      </c>
      <c r="AW9">
        <f>SUB!L9</f>
        <v>0</v>
      </c>
      <c r="AX9">
        <f>SUB!M9</f>
        <v>0</v>
      </c>
      <c r="AY9">
        <f>SUB!N9</f>
        <v>0</v>
      </c>
      <c r="AZ9">
        <f>PER!D9</f>
        <v>0</v>
      </c>
      <c r="BA9">
        <f>PER!E9</f>
        <v>0</v>
      </c>
      <c r="BB9">
        <f>PER!F9</f>
        <v>0</v>
      </c>
      <c r="BC9">
        <f>PER!G9</f>
        <v>0</v>
      </c>
      <c r="BD9">
        <f>PER!H9</f>
        <v>0</v>
      </c>
      <c r="BE9">
        <f>PER!I9</f>
        <v>0</v>
      </c>
      <c r="BF9">
        <f>PER!J9</f>
        <v>0</v>
      </c>
      <c r="BG9">
        <f>PER!K9</f>
        <v>0</v>
      </c>
      <c r="BH9">
        <f>PER!L9</f>
        <v>0</v>
      </c>
      <c r="BI9">
        <f>PER!M9</f>
        <v>0</v>
      </c>
      <c r="BJ9">
        <f>PER!N9</f>
        <v>0</v>
      </c>
      <c r="BK9">
        <f>PER!O9</f>
        <v>0</v>
      </c>
      <c r="BL9">
        <f>TES!C9</f>
        <v>0</v>
      </c>
      <c r="BM9">
        <f>TES!D9</f>
        <v>0</v>
      </c>
      <c r="BN9">
        <f>TES!E9</f>
        <v>0</v>
      </c>
      <c r="BO9">
        <f>TES!F9</f>
        <v>0</v>
      </c>
      <c r="BP9">
        <f>HSA!E9</f>
        <v>0</v>
      </c>
      <c r="BQ9">
        <f>HSA!F9</f>
        <v>0</v>
      </c>
      <c r="BR9">
        <f>HSA!G9</f>
        <v>0</v>
      </c>
      <c r="BS9">
        <f>HSA!H9</f>
        <v>0</v>
      </c>
      <c r="BT9">
        <f>HSA!I9</f>
        <v>0</v>
      </c>
      <c r="BU9">
        <f>HSA!J9</f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2.5477602828636507E-4</v>
      </c>
      <c r="CB9">
        <v>4.689592403190056E-4</v>
      </c>
      <c r="CC9">
        <v>3.735307169249756E-5</v>
      </c>
      <c r="CD9">
        <v>5.8525513336165139E-4</v>
      </c>
      <c r="CE9">
        <v>1.0724571831932611E-4</v>
      </c>
      <c r="CF9">
        <v>5.1731800641924405E-4</v>
      </c>
      <c r="CG9">
        <v>2.2455073861230869E-4</v>
      </c>
    </row>
    <row r="10" spans="1:85" hidden="1" x14ac:dyDescent="0.25">
      <c r="B10" s="3" t="str">
        <f>SSA!B10</f>
        <v>50%</v>
      </c>
      <c r="C10">
        <f>SSA!C10</f>
        <v>6.1007582956885883E-5</v>
      </c>
      <c r="D10">
        <f>SSA!D10</f>
        <v>0</v>
      </c>
      <c r="E10">
        <f>SST!D10</f>
        <v>0</v>
      </c>
      <c r="F10">
        <f>SST!E10</f>
        <v>0</v>
      </c>
      <c r="G10">
        <f>SST!F10</f>
        <v>0</v>
      </c>
      <c r="H10">
        <f>SST!G10</f>
        <v>0</v>
      </c>
      <c r="I10">
        <f>TRA!C10</f>
        <v>0</v>
      </c>
      <c r="J10">
        <f>TRA!D10</f>
        <v>0</v>
      </c>
      <c r="K10">
        <f>TRA!E10</f>
        <v>0</v>
      </c>
      <c r="L10">
        <f>TRA!F10</f>
        <v>0</v>
      </c>
      <c r="M10">
        <f>TRA!G10</f>
        <v>0</v>
      </c>
      <c r="N10">
        <f>TRA!H10</f>
        <v>0</v>
      </c>
      <c r="O10">
        <f>TRA!I10</f>
        <v>0</v>
      </c>
      <c r="P10">
        <f>TRA!J10</f>
        <v>0</v>
      </c>
      <c r="Q10">
        <f>TRA!K10</f>
        <v>0</v>
      </c>
      <c r="R10">
        <f>TRA!L10</f>
        <v>0</v>
      </c>
      <c r="S10">
        <f>TRA!M10</f>
        <v>0</v>
      </c>
      <c r="T10">
        <f>TRA!N10</f>
        <v>0</v>
      </c>
      <c r="U10">
        <f>TRA!O10</f>
        <v>0</v>
      </c>
      <c r="V10">
        <f>TRA!P10</f>
        <v>0</v>
      </c>
      <c r="W10">
        <f>TRA!Q10</f>
        <v>0</v>
      </c>
      <c r="X10">
        <f>TRA!R10</f>
        <v>0</v>
      </c>
      <c r="Y10">
        <f>SEG!V10</f>
        <v>0</v>
      </c>
      <c r="Z10">
        <f>SEG!W10</f>
        <v>0</v>
      </c>
      <c r="AA10">
        <f>SEG!X10</f>
        <v>0</v>
      </c>
      <c r="AB10">
        <f>SEG!Y10</f>
        <v>0</v>
      </c>
      <c r="AC10">
        <f>SEG!Z10</f>
        <v>0</v>
      </c>
      <c r="AD10">
        <f>SEG!AA10</f>
        <v>0</v>
      </c>
      <c r="AE10">
        <f>SEG!AB10</f>
        <v>0</v>
      </c>
      <c r="AF10">
        <f>SEG!AC10</f>
        <v>0</v>
      </c>
      <c r="AG10">
        <f>SEG!AD10</f>
        <v>0</v>
      </c>
      <c r="AH10">
        <f>SEG!AE10</f>
        <v>0</v>
      </c>
      <c r="AI10">
        <f>SEG!AF10</f>
        <v>0</v>
      </c>
      <c r="AJ10">
        <f>SEG!AG10</f>
        <v>0</v>
      </c>
      <c r="AK10">
        <f>SEG!AH10</f>
        <v>0</v>
      </c>
      <c r="AL10">
        <f>SEG!AI10</f>
        <v>0</v>
      </c>
      <c r="AM10">
        <f>SEG!AJ10</f>
        <v>0</v>
      </c>
      <c r="AN10">
        <f>SEG!AK10</f>
        <v>0</v>
      </c>
      <c r="AO10">
        <f>SUB!D10</f>
        <v>0</v>
      </c>
      <c r="AP10">
        <f>SUB!E10</f>
        <v>0</v>
      </c>
      <c r="AQ10">
        <f>SUB!F10</f>
        <v>0</v>
      </c>
      <c r="AR10">
        <f>SUB!G10</f>
        <v>0</v>
      </c>
      <c r="AS10">
        <f>SUB!H10</f>
        <v>0</v>
      </c>
      <c r="AT10">
        <f>SUB!I10</f>
        <v>0</v>
      </c>
      <c r="AU10">
        <f>SUB!J10</f>
        <v>0</v>
      </c>
      <c r="AV10">
        <f>SUB!K10</f>
        <v>0</v>
      </c>
      <c r="AW10">
        <f>SUB!L10</f>
        <v>0</v>
      </c>
      <c r="AX10">
        <f>SUB!M10</f>
        <v>0</v>
      </c>
      <c r="AY10">
        <f>SUB!N10</f>
        <v>0</v>
      </c>
      <c r="AZ10">
        <f>PER!D10</f>
        <v>0</v>
      </c>
      <c r="BA10">
        <f>PER!E10</f>
        <v>0</v>
      </c>
      <c r="BB10">
        <f>PER!F10</f>
        <v>0</v>
      </c>
      <c r="BC10">
        <f>PER!G10</f>
        <v>0</v>
      </c>
      <c r="BD10">
        <f>PER!H10</f>
        <v>0</v>
      </c>
      <c r="BE10">
        <f>PER!I10</f>
        <v>0</v>
      </c>
      <c r="BF10">
        <f>PER!J10</f>
        <v>0</v>
      </c>
      <c r="BG10">
        <f>PER!K10</f>
        <v>0</v>
      </c>
      <c r="BH10">
        <f>PER!L10</f>
        <v>0</v>
      </c>
      <c r="BI10">
        <f>PER!M10</f>
        <v>0</v>
      </c>
      <c r="BJ10">
        <f>PER!N10</f>
        <v>0</v>
      </c>
      <c r="BK10">
        <f>PER!O10</f>
        <v>0</v>
      </c>
      <c r="BL10">
        <f>TES!C10</f>
        <v>0</v>
      </c>
      <c r="BM10">
        <f>TES!D10</f>
        <v>0</v>
      </c>
      <c r="BN10">
        <f>TES!E10</f>
        <v>0</v>
      </c>
      <c r="BO10">
        <f>TES!F10</f>
        <v>0</v>
      </c>
      <c r="BP10">
        <f>HSA!E10</f>
        <v>0</v>
      </c>
      <c r="BQ10">
        <f>HSA!F10</f>
        <v>0</v>
      </c>
      <c r="BR10">
        <f>HSA!G10</f>
        <v>0</v>
      </c>
      <c r="BS10">
        <f>HSA!H10</f>
        <v>0</v>
      </c>
      <c r="BT10">
        <f>HSA!I10</f>
        <v>0</v>
      </c>
      <c r="BU10">
        <f>HSA!J10</f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1.3680440824523599E-3</v>
      </c>
      <c r="CB10">
        <v>1.0222936465784859E-3</v>
      </c>
      <c r="CC10">
        <v>6.4907024698042772E-4</v>
      </c>
      <c r="CD10">
        <v>1.0515979344864249E-3</v>
      </c>
      <c r="CE10">
        <v>5.7993320036307566E-4</v>
      </c>
      <c r="CF10">
        <v>1.012798995209931E-3</v>
      </c>
      <c r="CG10">
        <v>6.9529761345428064E-4</v>
      </c>
    </row>
    <row r="11" spans="1:85" hidden="1" x14ac:dyDescent="0.25">
      <c r="B11" s="3" t="str">
        <f>SSA!B11</f>
        <v>75%</v>
      </c>
      <c r="C11">
        <f>SSA!C11</f>
        <v>2.6707333031419629E-4</v>
      </c>
      <c r="D11">
        <f>SSA!D11</f>
        <v>0</v>
      </c>
      <c r="E11">
        <f>SST!D11</f>
        <v>2.3337222870473771E-2</v>
      </c>
      <c r="F11">
        <f>SST!E11</f>
        <v>9.9009900990094976E-2</v>
      </c>
      <c r="G11">
        <f>SST!F11</f>
        <v>0</v>
      </c>
      <c r="H11">
        <f>SST!G11</f>
        <v>0</v>
      </c>
      <c r="I11">
        <f>TRA!C11</f>
        <v>0</v>
      </c>
      <c r="J11">
        <f>TRA!D11</f>
        <v>0</v>
      </c>
      <c r="K11">
        <f>TRA!E11</f>
        <v>0</v>
      </c>
      <c r="L11">
        <f>TRA!F11</f>
        <v>0</v>
      </c>
      <c r="M11">
        <f>TRA!G11</f>
        <v>0</v>
      </c>
      <c r="N11">
        <f>TRA!H11</f>
        <v>0</v>
      </c>
      <c r="O11">
        <f>TRA!I11</f>
        <v>0</v>
      </c>
      <c r="P11">
        <f>TRA!J11</f>
        <v>0</v>
      </c>
      <c r="Q11">
        <f>TRA!K11</f>
        <v>0</v>
      </c>
      <c r="R11">
        <f>TRA!L11</f>
        <v>0</v>
      </c>
      <c r="S11">
        <f>TRA!M11</f>
        <v>0</v>
      </c>
      <c r="T11">
        <f>TRA!N11</f>
        <v>0</v>
      </c>
      <c r="U11">
        <f>TRA!O11</f>
        <v>0</v>
      </c>
      <c r="V11">
        <f>TRA!P11</f>
        <v>0</v>
      </c>
      <c r="W11">
        <f>TRA!Q11</f>
        <v>0</v>
      </c>
      <c r="X11">
        <f>TRA!R11</f>
        <v>0</v>
      </c>
      <c r="Y11">
        <f>SEG!V11</f>
        <v>0</v>
      </c>
      <c r="Z11">
        <f>SEG!W11</f>
        <v>0</v>
      </c>
      <c r="AA11">
        <f>SEG!X11</f>
        <v>2.4999999999408828E-4</v>
      </c>
      <c r="AB11">
        <f>SEG!Y11</f>
        <v>0</v>
      </c>
      <c r="AC11">
        <f>SEG!Z11</f>
        <v>0</v>
      </c>
      <c r="AD11">
        <f>SEG!AA11</f>
        <v>0</v>
      </c>
      <c r="AE11">
        <f>SEG!AB11</f>
        <v>0</v>
      </c>
      <c r="AF11">
        <f>SEG!AC11</f>
        <v>0</v>
      </c>
      <c r="AG11">
        <f>SEG!AD11</f>
        <v>0</v>
      </c>
      <c r="AH11">
        <f>SEG!AE11</f>
        <v>0</v>
      </c>
      <c r="AI11">
        <f>SEG!AF11</f>
        <v>0</v>
      </c>
      <c r="AJ11">
        <f>SEG!AG11</f>
        <v>0</v>
      </c>
      <c r="AK11">
        <f>SEG!AH11</f>
        <v>0</v>
      </c>
      <c r="AL11">
        <f>SEG!AI11</f>
        <v>0</v>
      </c>
      <c r="AM11">
        <f>SEG!AJ11</f>
        <v>0</v>
      </c>
      <c r="AN11">
        <f>SEG!AK11</f>
        <v>0</v>
      </c>
      <c r="AO11">
        <f>SUB!D11</f>
        <v>0</v>
      </c>
      <c r="AP11">
        <f>SUB!E11</f>
        <v>0</v>
      </c>
      <c r="AQ11">
        <f>SUB!F11</f>
        <v>0</v>
      </c>
      <c r="AR11">
        <f>SUB!G11</f>
        <v>0</v>
      </c>
      <c r="AS11">
        <f>SUB!H11</f>
        <v>0</v>
      </c>
      <c r="AT11">
        <f>SUB!I11</f>
        <v>0</v>
      </c>
      <c r="AU11">
        <f>SUB!J11</f>
        <v>0</v>
      </c>
      <c r="AV11">
        <f>SUB!K11</f>
        <v>0</v>
      </c>
      <c r="AW11">
        <f>SUB!L11</f>
        <v>0</v>
      </c>
      <c r="AX11">
        <f>SUB!M11</f>
        <v>0</v>
      </c>
      <c r="AY11">
        <f>SUB!N11</f>
        <v>0</v>
      </c>
      <c r="AZ11">
        <f>PER!D11</f>
        <v>0</v>
      </c>
      <c r="BA11">
        <f>PER!E11</f>
        <v>0</v>
      </c>
      <c r="BB11">
        <f>PER!F11</f>
        <v>0</v>
      </c>
      <c r="BC11">
        <f>PER!G11</f>
        <v>0</v>
      </c>
      <c r="BD11">
        <f>PER!H11</f>
        <v>0</v>
      </c>
      <c r="BE11">
        <f>PER!I11</f>
        <v>0</v>
      </c>
      <c r="BF11">
        <f>PER!J11</f>
        <v>0</v>
      </c>
      <c r="BG11">
        <f>PER!K11</f>
        <v>0</v>
      </c>
      <c r="BH11">
        <f>PER!L11</f>
        <v>0</v>
      </c>
      <c r="BI11">
        <f>PER!M11</f>
        <v>0</v>
      </c>
      <c r="BJ11">
        <f>PER!N11</f>
        <v>0</v>
      </c>
      <c r="BK11">
        <f>PER!O11</f>
        <v>0</v>
      </c>
      <c r="BL11">
        <f>TES!C11</f>
        <v>0</v>
      </c>
      <c r="BM11">
        <f>TES!D11</f>
        <v>0</v>
      </c>
      <c r="BN11">
        <f>TES!E11</f>
        <v>0</v>
      </c>
      <c r="BO11">
        <f>TES!F11</f>
        <v>0</v>
      </c>
      <c r="BP11">
        <f>HSA!E11</f>
        <v>0</v>
      </c>
      <c r="BQ11">
        <f>HSA!F11</f>
        <v>0</v>
      </c>
      <c r="BR11">
        <f>HSA!G11</f>
        <v>0</v>
      </c>
      <c r="BS11">
        <f>HSA!H11</f>
        <v>0</v>
      </c>
      <c r="BT11">
        <f>HSA!I11</f>
        <v>0</v>
      </c>
      <c r="BU11">
        <f>HSA!J11</f>
        <v>0</v>
      </c>
      <c r="BV11">
        <v>2.3051399605115869E-4</v>
      </c>
      <c r="BW11">
        <v>0</v>
      </c>
      <c r="BX11">
        <v>0</v>
      </c>
      <c r="BY11">
        <v>0</v>
      </c>
      <c r="BZ11">
        <v>0</v>
      </c>
      <c r="CA11">
        <v>5.7599288486336513E-3</v>
      </c>
      <c r="CB11">
        <v>2.5575268015621648E-3</v>
      </c>
      <c r="CC11">
        <v>1.5616953730475159E-3</v>
      </c>
      <c r="CD11">
        <v>2.86707779891917E-3</v>
      </c>
      <c r="CE11">
        <v>1.623959447307439E-3</v>
      </c>
      <c r="CF11">
        <v>2.3633620675941359E-3</v>
      </c>
      <c r="CG11">
        <v>2.1513383001324771E-3</v>
      </c>
    </row>
    <row r="12" spans="1:85" hidden="1" x14ac:dyDescent="0.25">
      <c r="B12" s="3" t="s">
        <v>118</v>
      </c>
      <c r="C12">
        <f>SSA!C12</f>
        <v>1.2537612838528091E-2</v>
      </c>
      <c r="D12">
        <f>SSA!D12</f>
        <v>2.1097046413506911E-2</v>
      </c>
      <c r="E12">
        <f>SST!D12</f>
        <v>6.09013398294901E-2</v>
      </c>
      <c r="F12">
        <f>SST!E12</f>
        <v>0.47169811320754429</v>
      </c>
      <c r="G12">
        <f>SST!F12</f>
        <v>0</v>
      </c>
      <c r="H12">
        <f>SST!G12</f>
        <v>7.183908045976603E-2</v>
      </c>
      <c r="I12">
        <f>TRA!C12</f>
        <v>0</v>
      </c>
      <c r="J12">
        <f>TRA!D12</f>
        <v>0</v>
      </c>
      <c r="K12">
        <f>TRA!E12</f>
        <v>0</v>
      </c>
      <c r="L12">
        <f>TRA!F12</f>
        <v>0</v>
      </c>
      <c r="M12">
        <f>TRA!G12</f>
        <v>0</v>
      </c>
      <c r="N12">
        <f>TRA!H12</f>
        <v>0</v>
      </c>
      <c r="O12">
        <f>TRA!I12</f>
        <v>0</v>
      </c>
      <c r="P12">
        <f>TRA!J12</f>
        <v>0</v>
      </c>
      <c r="Q12">
        <f>TRA!K12</f>
        <v>0</v>
      </c>
      <c r="R12">
        <f>TRA!L12</f>
        <v>0</v>
      </c>
      <c r="S12">
        <f>TRA!M12</f>
        <v>0</v>
      </c>
      <c r="T12">
        <f>TRA!N12</f>
        <v>0</v>
      </c>
      <c r="U12">
        <f>TRA!O12</f>
        <v>0</v>
      </c>
      <c r="V12">
        <f>TRA!P12</f>
        <v>0</v>
      </c>
      <c r="W12">
        <f>TRA!Q12</f>
        <v>0</v>
      </c>
      <c r="X12">
        <f>TRA!R12</f>
        <v>6.3492063492070608E-2</v>
      </c>
      <c r="Y12">
        <f>SEG!V12</f>
        <v>1.0000000000047751E-3</v>
      </c>
      <c r="Z12">
        <f>SEG!W12</f>
        <v>0</v>
      </c>
      <c r="AA12">
        <f>SEG!X12</f>
        <v>1.9999999999953388E-3</v>
      </c>
      <c r="AB12">
        <f>SEG!Y12</f>
        <v>0</v>
      </c>
      <c r="AC12">
        <f>SEG!Z12</f>
        <v>1.0000000000047751E-3</v>
      </c>
      <c r="AD12">
        <f>SEG!AA12</f>
        <v>1.0000000000047751E-3</v>
      </c>
      <c r="AE12">
        <f>SEG!AB12</f>
        <v>0</v>
      </c>
      <c r="AF12">
        <f>SEG!AC12</f>
        <v>0</v>
      </c>
      <c r="AG12">
        <f>SEG!AD12</f>
        <v>0</v>
      </c>
      <c r="AH12">
        <f>SEG!AE12</f>
        <v>0</v>
      </c>
      <c r="AI12">
        <f>SEG!AF12</f>
        <v>0</v>
      </c>
      <c r="AJ12">
        <f>SEG!AG12</f>
        <v>0</v>
      </c>
      <c r="AK12">
        <f>SEG!AH12</f>
        <v>0</v>
      </c>
      <c r="AL12">
        <f>SEG!AI12</f>
        <v>0</v>
      </c>
      <c r="AM12">
        <f>SEG!AJ12</f>
        <v>0</v>
      </c>
      <c r="AN12">
        <f>SEG!AK12</f>
        <v>0</v>
      </c>
      <c r="AO12">
        <f>SUB!D12</f>
        <v>0</v>
      </c>
      <c r="AP12">
        <f>SUB!E12</f>
        <v>6.1795149080811212E-2</v>
      </c>
      <c r="AQ12">
        <f>SUB!F12</f>
        <v>0</v>
      </c>
      <c r="AR12">
        <f>SUB!G12</f>
        <v>0.55924501922403558</v>
      </c>
      <c r="AS12">
        <f>SUB!H12</f>
        <v>0</v>
      </c>
      <c r="AT12">
        <f>SUB!I12</f>
        <v>0</v>
      </c>
      <c r="AU12">
        <f>SUB!J12</f>
        <v>0</v>
      </c>
      <c r="AV12">
        <f>SUB!K12</f>
        <v>0.55613486270421364</v>
      </c>
      <c r="AW12">
        <f>SUB!L12</f>
        <v>0</v>
      </c>
      <c r="AX12">
        <f>SUB!M12</f>
        <v>0.23774145616642239</v>
      </c>
      <c r="AY12">
        <f>SUB!N12</f>
        <v>0</v>
      </c>
      <c r="AZ12">
        <f>PER!D12</f>
        <v>0</v>
      </c>
      <c r="BA12">
        <f>PER!E12</f>
        <v>0</v>
      </c>
      <c r="BB12">
        <f>PER!F12</f>
        <v>0</v>
      </c>
      <c r="BC12">
        <f>PER!G12</f>
        <v>0</v>
      </c>
      <c r="BD12">
        <f>PER!H12</f>
        <v>0</v>
      </c>
      <c r="BE12">
        <f>PER!I12</f>
        <v>0</v>
      </c>
      <c r="BF12">
        <f>PER!J12</f>
        <v>0</v>
      </c>
      <c r="BG12">
        <f>PER!K12</f>
        <v>0</v>
      </c>
      <c r="BH12">
        <f>PER!L12</f>
        <v>0</v>
      </c>
      <c r="BI12">
        <f>PER!M12</f>
        <v>0</v>
      </c>
      <c r="BJ12">
        <f>PER!N12</f>
        <v>0</v>
      </c>
      <c r="BK12">
        <f>PER!O12</f>
        <v>0</v>
      </c>
      <c r="BL12">
        <f>TES!C12</f>
        <v>0</v>
      </c>
      <c r="BM12">
        <f>TES!D12</f>
        <v>0</v>
      </c>
      <c r="BN12">
        <f>TES!E12</f>
        <v>0</v>
      </c>
      <c r="BO12">
        <f>TES!F12</f>
        <v>0</v>
      </c>
      <c r="BP12">
        <f>HSA!E12</f>
        <v>0</v>
      </c>
      <c r="BQ12">
        <f>HSA!F12</f>
        <v>0</v>
      </c>
      <c r="BR12">
        <f>HSA!G12</f>
        <v>0</v>
      </c>
      <c r="BS12">
        <f>HSA!H12</f>
        <v>0</v>
      </c>
      <c r="BT12">
        <f>HSA!I12</f>
        <v>0</v>
      </c>
      <c r="BU12">
        <f>HSA!J12</f>
        <v>0</v>
      </c>
      <c r="BV12">
        <v>2.9246179717774367E-4</v>
      </c>
      <c r="BW12">
        <v>100</v>
      </c>
      <c r="BX12">
        <v>1.652892561983471E-3</v>
      </c>
      <c r="BY12">
        <v>0</v>
      </c>
      <c r="BZ12">
        <v>0</v>
      </c>
      <c r="CA12">
        <v>4.5489006823351018E-2</v>
      </c>
      <c r="CB12">
        <v>1.7241379310344831</v>
      </c>
      <c r="CC12">
        <v>1.5921031682853051E-2</v>
      </c>
      <c r="CD12">
        <v>1.359619306594154E-2</v>
      </c>
      <c r="CE12">
        <v>2.0345879959308241E-2</v>
      </c>
      <c r="CF12">
        <v>1.359619306594154E-2</v>
      </c>
      <c r="CG12">
        <v>5.7430007178750901E-2</v>
      </c>
    </row>
    <row r="13" spans="1:85" hidden="1" x14ac:dyDescent="0.25">
      <c r="B13" s="5"/>
    </row>
    <row r="14" spans="1:85" x14ac:dyDescent="0.25">
      <c r="A14" t="s">
        <v>2</v>
      </c>
    </row>
    <row r="15" spans="1:85" x14ac:dyDescent="0.25">
      <c r="A15" s="47" t="str" cm="1">
        <f t="array" ref="A15:J98">TRANSPOSE(B3:CG12)</f>
        <v>Sheet</v>
      </c>
      <c r="B15" s="47" t="str">
        <v>Column</v>
      </c>
      <c r="C15" s="46" t="str">
        <v>count</v>
      </c>
      <c r="D15" s="46" t="str">
        <v>Mean</v>
      </c>
      <c r="E15" s="46" t="str">
        <v>std</v>
      </c>
      <c r="F15" s="46" t="str">
        <v>min</v>
      </c>
      <c r="G15" s="46" t="str">
        <v>25%</v>
      </c>
      <c r="H15" s="46" t="str">
        <v>50%</v>
      </c>
      <c r="I15" s="46" t="str">
        <v>75%</v>
      </c>
      <c r="J15" s="46" t="str">
        <v>Max</v>
      </c>
      <c r="K15" s="47" t="s">
        <v>113</v>
      </c>
      <c r="L15" s="47" t="s">
        <v>276</v>
      </c>
    </row>
    <row r="16" spans="1:85" x14ac:dyDescent="0.25">
      <c r="A16" s="50" t="str">
        <v>SSA</v>
      </c>
      <c r="B16" s="48" t="str">
        <v>Airflow</v>
      </c>
      <c r="C16">
        <v>288</v>
      </c>
      <c r="D16">
        <v>3.6919344291575049E-4</v>
      </c>
      <c r="E16">
        <v>1.129325536818816E-3</v>
      </c>
      <c r="F16">
        <v>0</v>
      </c>
      <c r="G16">
        <v>0</v>
      </c>
      <c r="H16">
        <v>6.1007582956885883E-5</v>
      </c>
      <c r="I16">
        <v>2.6707333031419629E-4</v>
      </c>
      <c r="J16" s="49">
        <v>1.2537612838528091E-2</v>
      </c>
      <c r="K16" s="49" t="str">
        <f>VLOOKUP($B16,Legend!$B$2:$E$110,2,FALSE)</f>
        <v>Section Air Flow Rate</v>
      </c>
      <c r="L16" s="49" t="str">
        <f>VLOOKUP($B16,Legend!$B$2:$E$110,4,FALSE)</f>
        <v>kCFM</v>
      </c>
    </row>
    <row r="17" spans="1:12" x14ac:dyDescent="0.25">
      <c r="A17" s="40">
        <v>0</v>
      </c>
      <c r="B17" s="3" t="str">
        <v>AirVel</v>
      </c>
      <c r="C17">
        <v>288</v>
      </c>
      <c r="D17">
        <v>1.183884601346723E-4</v>
      </c>
      <c r="E17">
        <v>1.457909334540609E-3</v>
      </c>
      <c r="F17">
        <v>0</v>
      </c>
      <c r="G17">
        <v>0</v>
      </c>
      <c r="H17">
        <v>0</v>
      </c>
      <c r="I17">
        <v>0</v>
      </c>
      <c r="J17" s="4">
        <v>2.1097046413506911E-2</v>
      </c>
      <c r="K17" s="4" t="str">
        <f>VLOOKUP(B17,Legend!$B$2:$E$110,2,FALSE)</f>
        <v>Bulk Air Velocity</v>
      </c>
      <c r="L17" s="4" t="str">
        <f>VLOOKUP($B17,Legend!$B$2:$E$110,4,FALSE)</f>
        <v>FPM</v>
      </c>
    </row>
    <row r="18" spans="1:12" x14ac:dyDescent="0.25">
      <c r="A18" s="51" t="str">
        <v>SST</v>
      </c>
      <c r="B18" s="41" t="str">
        <v>AirTemp</v>
      </c>
      <c r="C18" s="42">
        <v>418</v>
      </c>
      <c r="D18" s="42">
        <v>1.2795329768744691E-2</v>
      </c>
      <c r="E18" s="42">
        <v>1.80979827829841E-2</v>
      </c>
      <c r="F18" s="42">
        <v>0</v>
      </c>
      <c r="G18" s="42">
        <v>0</v>
      </c>
      <c r="H18" s="42">
        <v>0</v>
      </c>
      <c r="I18" s="42">
        <v>2.3337222870473771E-2</v>
      </c>
      <c r="J18" s="43">
        <v>6.09013398294901E-2</v>
      </c>
      <c r="K18" s="43" t="str">
        <f>VLOOKUP(B18,Legend!$B$2:$E$110,2,FALSE)</f>
        <v>Air Dry-Bulb Temperature</v>
      </c>
      <c r="L18" s="43" t="str">
        <f>VLOOKUP($B18,Legend!$B$2:$E$110,4,FALSE)</f>
        <v>°F</v>
      </c>
    </row>
    <row r="19" spans="1:12" x14ac:dyDescent="0.25">
      <c r="A19" s="44">
        <v>0</v>
      </c>
      <c r="B19" s="41" t="str">
        <v>Humidity</v>
      </c>
      <c r="C19" s="42">
        <v>418</v>
      </c>
      <c r="D19" s="42">
        <v>5.8289485633715943E-2</v>
      </c>
      <c r="E19" s="42">
        <v>9.2496411786392896E-2</v>
      </c>
      <c r="F19" s="42">
        <v>0</v>
      </c>
      <c r="G19" s="42">
        <v>0</v>
      </c>
      <c r="H19" s="42">
        <v>0</v>
      </c>
      <c r="I19" s="42">
        <v>9.9009900990094976E-2</v>
      </c>
      <c r="J19" s="43">
        <v>0.47169811320754429</v>
      </c>
      <c r="K19" s="43" t="str">
        <f>VLOOKUP(B19,Legend!$B$2:$E$110,2,FALSE)</f>
        <v>1 - Humidity Ratio</v>
      </c>
      <c r="L19" s="43" t="str">
        <f>VLOOKUP($B19,Legend!$B$2:$E$110,4,FALSE)</f>
        <v>°F</v>
      </c>
    </row>
    <row r="20" spans="1:12" x14ac:dyDescent="0.25">
      <c r="A20" s="44">
        <v>0</v>
      </c>
      <c r="B20" s="41" t="str">
        <v>Sensible</v>
      </c>
      <c r="C20" s="42">
        <v>210</v>
      </c>
      <c r="D20" s="42">
        <v>0</v>
      </c>
      <c r="E20" s="42">
        <v>0</v>
      </c>
      <c r="F20" s="42">
        <v>0</v>
      </c>
      <c r="G20" s="42">
        <v>0</v>
      </c>
      <c r="H20" s="42">
        <v>0</v>
      </c>
      <c r="I20" s="42">
        <v>0</v>
      </c>
      <c r="J20" s="43">
        <v>0</v>
      </c>
      <c r="K20" s="43" t="str">
        <f>VLOOKUP(B20,Legend!$B$2:$E$110,2,FALSE)</f>
        <v>Total Sensible Heat Load</v>
      </c>
      <c r="L20" s="43" t="str">
        <f>VLOOKUP($B20,Legend!$B$2:$E$110,4,FALSE)</f>
        <v>BTU/sec</v>
      </c>
    </row>
    <row r="21" spans="1:12" x14ac:dyDescent="0.25">
      <c r="A21" s="45">
        <v>0</v>
      </c>
      <c r="B21" s="41" t="str">
        <v>Latent</v>
      </c>
      <c r="C21" s="42">
        <v>179</v>
      </c>
      <c r="D21" s="42">
        <v>4.0133564502662592E-4</v>
      </c>
      <c r="E21" s="42">
        <v>5.3695049766659163E-3</v>
      </c>
      <c r="F21" s="42">
        <v>0</v>
      </c>
      <c r="G21" s="42">
        <v>0</v>
      </c>
      <c r="H21" s="42">
        <v>0</v>
      </c>
      <c r="I21" s="42">
        <v>0</v>
      </c>
      <c r="J21" s="43">
        <v>7.183908045976603E-2</v>
      </c>
      <c r="K21" s="43" t="str">
        <f>VLOOKUP(B21,Legend!$B$2:$E$110,2,FALSE)</f>
        <v>Total Latent Heat Load</v>
      </c>
      <c r="L21" s="43" t="str">
        <f>VLOOKUP($B21,Legend!$B$2:$E$110,4,FALSE)</f>
        <v>BTU/sec</v>
      </c>
    </row>
    <row r="22" spans="1:12" x14ac:dyDescent="0.25">
      <c r="A22" s="52" t="str">
        <v>TRA</v>
      </c>
      <c r="B22" s="3" t="str">
        <v>RTE</v>
      </c>
      <c r="C22">
        <v>41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 s="4">
        <v>0</v>
      </c>
      <c r="K22" s="4" t="str">
        <f>VLOOKUP(B22,Legend!$B$2:$E$110,2,FALSE)</f>
        <v>Train route</v>
      </c>
      <c r="L22" s="4" t="str">
        <f>VLOOKUP($B22,Legend!$B$2:$E$110,4,FALSE)</f>
        <v>#</v>
      </c>
    </row>
    <row r="23" spans="1:12" x14ac:dyDescent="0.25">
      <c r="A23" s="39">
        <v>0</v>
      </c>
      <c r="B23" s="3" t="str">
        <v>TYP</v>
      </c>
      <c r="C23">
        <v>41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 s="4">
        <v>0</v>
      </c>
      <c r="K23" s="4" t="str">
        <f>VLOOKUP(B23,Legend!$B$2:$E$110,2,FALSE)</f>
        <v>Train Type</v>
      </c>
      <c r="L23" s="4" t="str">
        <f>VLOOKUP($B23,Legend!$B$2:$E$110,4,FALSE)</f>
        <v>#</v>
      </c>
    </row>
    <row r="24" spans="1:12" x14ac:dyDescent="0.25">
      <c r="A24" s="39">
        <v>0</v>
      </c>
      <c r="B24" s="3" t="str">
        <v>Location</v>
      </c>
      <c r="C24">
        <v>41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 s="4">
        <v>0</v>
      </c>
      <c r="K24" s="4" t="str">
        <f>VLOOKUP(B24,Legend!$B$2:$E$110,2,FALSE)</f>
        <v>Train Location</v>
      </c>
      <c r="L24" s="4" t="str">
        <f>VLOOKUP($B24,Legend!$B$2:$E$110,4,FALSE)</f>
        <v>ft</v>
      </c>
    </row>
    <row r="25" spans="1:12" x14ac:dyDescent="0.25">
      <c r="A25" s="39">
        <v>0</v>
      </c>
      <c r="B25" s="3" t="str">
        <v>Speed</v>
      </c>
      <c r="C25">
        <v>35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 s="4">
        <v>0</v>
      </c>
      <c r="K25" s="4" t="str">
        <f>VLOOKUP(B25,Legend!$B$2:$E$110,2,FALSE)</f>
        <v>Train Speed</v>
      </c>
      <c r="L25" s="4" t="str">
        <f>VLOOKUP($B25,Legend!$B$2:$E$110,4,FALSE)</f>
        <v>mph</v>
      </c>
    </row>
    <row r="26" spans="1:12" x14ac:dyDescent="0.25">
      <c r="A26" s="39">
        <v>0</v>
      </c>
      <c r="B26" s="3" t="str">
        <v>Accel</v>
      </c>
      <c r="C26">
        <v>32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s="4">
        <v>0</v>
      </c>
      <c r="K26" s="4" t="str">
        <f>VLOOKUP(B26,Legend!$B$2:$E$110,2,FALSE)</f>
        <v>Train Acceleration</v>
      </c>
      <c r="L26" s="4" t="str">
        <f>VLOOKUP($B26,Legend!$B$2:$E$110,4,FALSE)</f>
        <v>mph/sec</v>
      </c>
    </row>
    <row r="27" spans="1:12" x14ac:dyDescent="0.25">
      <c r="A27" s="39">
        <v>0</v>
      </c>
      <c r="B27" s="3" t="str">
        <v>Drag_KN</v>
      </c>
      <c r="C27">
        <v>33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 s="4">
        <v>0</v>
      </c>
      <c r="K27" s="4" t="str">
        <f>VLOOKUP(B27,Legend!$B$2:$E$110,2,FALSE)</f>
        <v>Air Drag (KN)</v>
      </c>
      <c r="L27" s="4" t="str">
        <f>VLOOKUP($B27,Legend!$B$2:$E$110,4,FALSE)</f>
        <v>lbs</v>
      </c>
    </row>
    <row r="28" spans="1:12" x14ac:dyDescent="0.25">
      <c r="A28" s="39">
        <v>0</v>
      </c>
      <c r="B28" s="3" t="str">
        <v>Drag_COEFF</v>
      </c>
      <c r="C28">
        <v>33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 s="4">
        <v>0</v>
      </c>
      <c r="K28" s="4" t="str">
        <f>VLOOKUP(B28,Legend!$B$2:$E$110,2,FALSE)</f>
        <v>Air Drag (COEFF)</v>
      </c>
      <c r="L28" s="4" t="str">
        <f>VLOOKUP($B28,Legend!$B$2:$E$110,4,FALSE)</f>
        <v>#</v>
      </c>
    </row>
    <row r="29" spans="1:12" x14ac:dyDescent="0.25">
      <c r="A29" s="39">
        <v>0</v>
      </c>
      <c r="B29" s="3" t="str">
        <v>Tractive</v>
      </c>
      <c r="C29">
        <v>20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s="4">
        <v>0</v>
      </c>
      <c r="K29" s="4" t="str">
        <f>VLOOKUP(B29,Legend!$B$2:$E$110,2,FALSE)</f>
        <v>Tractive Effort</v>
      </c>
      <c r="L29" s="4" t="str">
        <f>VLOOKUP($B29,Legend!$B$2:$E$110,4,FALSE)</f>
        <v>lbs/motor</v>
      </c>
    </row>
    <row r="30" spans="1:12" x14ac:dyDescent="0.25">
      <c r="A30" s="39">
        <v>0</v>
      </c>
      <c r="B30" s="3" t="str">
        <v>M_Current</v>
      </c>
      <c r="C30">
        <v>20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 s="4">
        <v>0</v>
      </c>
      <c r="K30" s="4" t="str">
        <f>VLOOKUP(B30,Legend!$B$2:$E$110,2,FALSE)</f>
        <v>Motor Current</v>
      </c>
      <c r="L30" s="4" t="str">
        <f>VLOOKUP($B30,Legend!$B$2:$E$110,4,FALSE)</f>
        <v>amps</v>
      </c>
    </row>
    <row r="31" spans="1:12" x14ac:dyDescent="0.25">
      <c r="A31" s="39">
        <v>0</v>
      </c>
      <c r="B31" s="3" t="str">
        <v>L_Current</v>
      </c>
      <c r="C31">
        <v>18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s="4">
        <v>0</v>
      </c>
      <c r="K31" s="4" t="str">
        <f>VLOOKUP(B31,Legend!$B$2:$E$110,2,FALSE)</f>
        <v>Line Current</v>
      </c>
      <c r="L31" s="4" t="str">
        <f>VLOOKUP($B31,Legend!$B$2:$E$110,4,FALSE)</f>
        <v>amps</v>
      </c>
    </row>
    <row r="32" spans="1:12" x14ac:dyDescent="0.25">
      <c r="A32" s="39">
        <v>0</v>
      </c>
      <c r="B32" s="3" t="str">
        <v>FLY</v>
      </c>
      <c r="C32">
        <v>20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 s="4">
        <v>0</v>
      </c>
      <c r="K32" s="4" t="str">
        <f>VLOOKUP(B32,Legend!$B$2:$E$110,2,FALSE)</f>
        <v>Fly Wheel</v>
      </c>
      <c r="L32" s="4" t="str">
        <f>VLOOKUP($B32,Legend!$B$2:$E$110,4,FALSE)</f>
        <v>RPM</v>
      </c>
    </row>
    <row r="33" spans="1:12" x14ac:dyDescent="0.25">
      <c r="A33" s="39">
        <v>0</v>
      </c>
      <c r="B33" s="3" t="str">
        <v>M_Eff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 s="4">
        <v>0</v>
      </c>
      <c r="K33" s="4" t="str">
        <f>VLOOKUP(B33,Legend!$B$2:$E$110,2,FALSE)</f>
        <v>Motor Efficiency</v>
      </c>
      <c r="L33" s="4">
        <f>VLOOKUP($B33,Legend!$B$2:$E$110,4,FALSE)</f>
        <v>0</v>
      </c>
    </row>
    <row r="34" spans="1:12" x14ac:dyDescent="0.25">
      <c r="A34" s="39">
        <v>0</v>
      </c>
      <c r="B34" s="3" t="str">
        <v>G_Accel</v>
      </c>
      <c r="C34">
        <v>41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 s="4">
        <v>0</v>
      </c>
      <c r="K34" s="4" t="str">
        <f>VLOOKUP(B34,Legend!$B$2:$E$110,2,FALSE)</f>
        <v>Grid Temperature Acceleration</v>
      </c>
      <c r="L34" s="4" t="str">
        <f>VLOOKUP($B34,Legend!$B$2:$E$110,4,FALSE)</f>
        <v>°F</v>
      </c>
    </row>
    <row r="35" spans="1:12" x14ac:dyDescent="0.25">
      <c r="A35" s="39">
        <v>0</v>
      </c>
      <c r="B35" s="3" t="str">
        <v>G_Decel</v>
      </c>
      <c r="C35">
        <v>41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 s="4">
        <v>0</v>
      </c>
      <c r="K35" s="4" t="str">
        <f>VLOOKUP(B35,Legend!$B$2:$E$110,2,FALSE)</f>
        <v>Grid Temperature Deceleration</v>
      </c>
      <c r="L35" s="4" t="str">
        <f>VLOOKUP($B35,Legend!$B$2:$E$110,4,FALSE)</f>
        <v>°F</v>
      </c>
    </row>
    <row r="36" spans="1:12" x14ac:dyDescent="0.25">
      <c r="A36" s="39">
        <v>0</v>
      </c>
      <c r="B36" s="3" t="str">
        <v>H_Gen</v>
      </c>
      <c r="C36">
        <v>41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s="4">
        <v>0</v>
      </c>
      <c r="K36" s="4" t="str">
        <f>VLOOKUP(B36,Legend!$B$2:$E$110,2,FALSE)</f>
        <v>Heat generated</v>
      </c>
      <c r="L36" s="4" t="str">
        <f>VLOOKUP($B36,Legend!$B$2:$E$110,4,FALSE)</f>
        <v>BTU/SEC-FT</v>
      </c>
    </row>
    <row r="37" spans="1:12" x14ac:dyDescent="0.25">
      <c r="A37" s="40">
        <v>0</v>
      </c>
      <c r="B37" s="3" t="str">
        <v>H_Reject</v>
      </c>
      <c r="C37">
        <v>41</v>
      </c>
      <c r="D37">
        <v>1.548586914440746E-3</v>
      </c>
      <c r="E37">
        <v>9.9157944056268953E-3</v>
      </c>
      <c r="F37">
        <v>0</v>
      </c>
      <c r="G37">
        <v>0</v>
      </c>
      <c r="H37">
        <v>0</v>
      </c>
      <c r="I37">
        <v>0</v>
      </c>
      <c r="J37" s="4">
        <v>6.3492063492070608E-2</v>
      </c>
      <c r="K37" s="4" t="str">
        <f>VLOOKUP(B37,Legend!$B$2:$E$110,2,FALSE)</f>
        <v>Heat rejected</v>
      </c>
      <c r="L37" s="4" t="str">
        <f>VLOOKUP($B37,Legend!$B$2:$E$110,4,FALSE)</f>
        <v>BTU/SEC-FT</v>
      </c>
    </row>
    <row r="38" spans="1:12" x14ac:dyDescent="0.25">
      <c r="A38" s="51" t="str">
        <v>SEG</v>
      </c>
      <c r="B38" s="41" t="str">
        <v>A_Max</v>
      </c>
      <c r="C38" s="42">
        <v>72</v>
      </c>
      <c r="D38" s="42">
        <v>5.5555555555228712E-5</v>
      </c>
      <c r="E38" s="42">
        <v>2.8526680809258233E-4</v>
      </c>
      <c r="F38" s="42">
        <v>-1.0000000000047751E-3</v>
      </c>
      <c r="G38" s="42">
        <v>0</v>
      </c>
      <c r="H38" s="42">
        <v>0</v>
      </c>
      <c r="I38" s="42">
        <v>0</v>
      </c>
      <c r="J38" s="43">
        <v>1.0000000000047751E-3</v>
      </c>
      <c r="K38" s="43" t="str">
        <f>VLOOKUP(B38,Legend!$B$2:$E$110,2,FALSE)</f>
        <v>Airflow rate maximum</v>
      </c>
      <c r="L38" s="43" t="str">
        <f>VLOOKUP($B38,Legend!$B$2:$E$110,4,FALSE)</f>
        <v>kCFM</v>
      </c>
    </row>
    <row r="39" spans="1:12" x14ac:dyDescent="0.25">
      <c r="A39" s="44">
        <v>0</v>
      </c>
      <c r="B39" s="41" t="str">
        <v>A_Max_T</v>
      </c>
      <c r="C39" s="42">
        <v>72</v>
      </c>
      <c r="D39" s="42">
        <v>0</v>
      </c>
      <c r="E39" s="42">
        <v>0</v>
      </c>
      <c r="F39" s="42">
        <v>0</v>
      </c>
      <c r="G39" s="42">
        <v>0</v>
      </c>
      <c r="H39" s="42">
        <v>0</v>
      </c>
      <c r="I39" s="42">
        <v>0</v>
      </c>
      <c r="J39" s="43">
        <v>0</v>
      </c>
      <c r="K39" s="43" t="str">
        <f>VLOOKUP(B39,Legend!$B$2:$E$110,2,FALSE)</f>
        <v>Time of airflow rate maximum</v>
      </c>
      <c r="L39" s="43" t="str">
        <f>VLOOKUP($B39,Legend!$B$2:$E$110,4,FALSE)</f>
        <v>seconds</v>
      </c>
    </row>
    <row r="40" spans="1:12" x14ac:dyDescent="0.25">
      <c r="A40" s="44">
        <v>0</v>
      </c>
      <c r="B40" s="41" t="str">
        <v>A_Min</v>
      </c>
      <c r="C40" s="42">
        <v>72</v>
      </c>
      <c r="D40" s="42">
        <v>2.2222222222417149E-4</v>
      </c>
      <c r="E40" s="42">
        <v>5.3660965492142261E-4</v>
      </c>
      <c r="F40" s="42">
        <v>-1.0000000000047751E-3</v>
      </c>
      <c r="G40" s="42">
        <v>0</v>
      </c>
      <c r="H40" s="42">
        <v>0</v>
      </c>
      <c r="I40" s="42">
        <v>2.4999999999408828E-4</v>
      </c>
      <c r="J40" s="43">
        <v>1.9999999999953388E-3</v>
      </c>
      <c r="K40" s="43" t="str">
        <f>VLOOKUP(B40,Legend!$B$2:$E$110,2,FALSE)</f>
        <v>Airflow rate minimum</v>
      </c>
      <c r="L40" s="43" t="str">
        <f>VLOOKUP($B40,Legend!$B$2:$E$110,4,FALSE)</f>
        <v>kCFM</v>
      </c>
    </row>
    <row r="41" spans="1:12" x14ac:dyDescent="0.25">
      <c r="A41" s="44">
        <v>0</v>
      </c>
      <c r="B41" s="41" t="str">
        <v>A_Min_T</v>
      </c>
      <c r="C41" s="42">
        <v>72</v>
      </c>
      <c r="D41" s="42">
        <v>0</v>
      </c>
      <c r="E41" s="42">
        <v>0</v>
      </c>
      <c r="F41" s="42">
        <v>0</v>
      </c>
      <c r="G41" s="42">
        <v>0</v>
      </c>
      <c r="H41" s="42">
        <v>0</v>
      </c>
      <c r="I41" s="42">
        <v>0</v>
      </c>
      <c r="J41" s="43">
        <v>0</v>
      </c>
      <c r="K41" s="43" t="str">
        <f>VLOOKUP(B41,Legend!$B$2:$E$110,2,FALSE)</f>
        <v>Time of airflow rate minimum</v>
      </c>
      <c r="L41" s="43" t="str">
        <f>VLOOKUP($B41,Legend!$B$2:$E$110,4,FALSE)</f>
        <v>seconds</v>
      </c>
    </row>
    <row r="42" spans="1:12" x14ac:dyDescent="0.25">
      <c r="A42" s="44">
        <v>0</v>
      </c>
      <c r="B42" s="41" t="str">
        <v>A_P</v>
      </c>
      <c r="C42" s="42">
        <v>72</v>
      </c>
      <c r="D42" s="42">
        <v>8.3333333333829922E-5</v>
      </c>
      <c r="E42" s="42">
        <v>3.2501354251429762E-4</v>
      </c>
      <c r="F42" s="42">
        <v>-9.9999999999766942E-4</v>
      </c>
      <c r="G42" s="42">
        <v>0</v>
      </c>
      <c r="H42" s="42">
        <v>0</v>
      </c>
      <c r="I42" s="42">
        <v>0</v>
      </c>
      <c r="J42" s="43">
        <v>1.0000000000047751E-3</v>
      </c>
      <c r="K42" s="43" t="str">
        <f>VLOOKUP(B42,Legend!$B$2:$E$110,2,FALSE)</f>
        <v>Airflow rate average value - positive</v>
      </c>
      <c r="L42" s="43" t="str">
        <f>VLOOKUP($B42,Legend!$B$2:$E$110,4,FALSE)</f>
        <v>kCFM</v>
      </c>
    </row>
    <row r="43" spans="1:12" x14ac:dyDescent="0.25">
      <c r="A43" s="44">
        <v>0</v>
      </c>
      <c r="B43" s="41" t="str">
        <v>A_N</v>
      </c>
      <c r="C43" s="42">
        <v>72</v>
      </c>
      <c r="D43" s="42">
        <v>5.5555555555820822E-5</v>
      </c>
      <c r="E43" s="42">
        <v>2.3066889195487149E-4</v>
      </c>
      <c r="F43" s="42">
        <v>0</v>
      </c>
      <c r="G43" s="42">
        <v>0</v>
      </c>
      <c r="H43" s="42">
        <v>0</v>
      </c>
      <c r="I43" s="42">
        <v>0</v>
      </c>
      <c r="J43" s="43">
        <v>1.0000000000047751E-3</v>
      </c>
      <c r="K43" s="43" t="str">
        <f>VLOOKUP(B43,Legend!$B$2:$E$110,2,FALSE)</f>
        <v>Airflow rate average value - negative</v>
      </c>
      <c r="L43" s="43" t="str">
        <f>VLOOKUP($B43,Legend!$B$2:$E$110,4,FALSE)</f>
        <v>kCFM</v>
      </c>
    </row>
    <row r="44" spans="1:12" x14ac:dyDescent="0.25">
      <c r="A44" s="44">
        <v>0</v>
      </c>
      <c r="B44" s="41" t="str">
        <v>V_Max</v>
      </c>
      <c r="C44" s="42">
        <v>72</v>
      </c>
      <c r="D44" s="42">
        <v>0</v>
      </c>
      <c r="E44" s="42">
        <v>0</v>
      </c>
      <c r="F44" s="42">
        <v>0</v>
      </c>
      <c r="G44" s="42">
        <v>0</v>
      </c>
      <c r="H44" s="42">
        <v>0</v>
      </c>
      <c r="I44" s="42">
        <v>0</v>
      </c>
      <c r="J44" s="43">
        <v>0</v>
      </c>
      <c r="K44" s="43" t="str">
        <f>VLOOKUP(B44,Legend!$B$2:$E$110,2,FALSE)</f>
        <v>Air velocity maximum</v>
      </c>
      <c r="L44" s="43" t="str">
        <f>VLOOKUP($B44,Legend!$B$2:$E$110,4,FALSE)</f>
        <v>FPM</v>
      </c>
    </row>
    <row r="45" spans="1:12" x14ac:dyDescent="0.25">
      <c r="A45" s="44">
        <v>0</v>
      </c>
      <c r="B45" s="41" t="str">
        <v>V_Max_T</v>
      </c>
      <c r="C45" s="42">
        <v>72</v>
      </c>
      <c r="D45" s="42">
        <v>0</v>
      </c>
      <c r="E45" s="42">
        <v>0</v>
      </c>
      <c r="F45" s="42">
        <v>0</v>
      </c>
      <c r="G45" s="42">
        <v>0</v>
      </c>
      <c r="H45" s="42">
        <v>0</v>
      </c>
      <c r="I45" s="42">
        <v>0</v>
      </c>
      <c r="J45" s="43">
        <v>0</v>
      </c>
      <c r="K45" s="43" t="str">
        <f>VLOOKUP(B45,Legend!$B$2:$E$110,2,FALSE)</f>
        <v>Time of air velocity maximum</v>
      </c>
      <c r="L45" s="43" t="str">
        <f>VLOOKUP($B45,Legend!$B$2:$E$110,4,FALSE)</f>
        <v>seconds</v>
      </c>
    </row>
    <row r="46" spans="1:12" x14ac:dyDescent="0.25">
      <c r="A46" s="44">
        <v>0</v>
      </c>
      <c r="B46" s="41" t="str">
        <v>V_Min</v>
      </c>
      <c r="C46" s="42">
        <v>72</v>
      </c>
      <c r="D46" s="42">
        <v>0</v>
      </c>
      <c r="E46" s="42">
        <v>0</v>
      </c>
      <c r="F46" s="42">
        <v>0</v>
      </c>
      <c r="G46" s="42">
        <v>0</v>
      </c>
      <c r="H46" s="42">
        <v>0</v>
      </c>
      <c r="I46" s="42">
        <v>0</v>
      </c>
      <c r="J46" s="43">
        <v>0</v>
      </c>
      <c r="K46" s="43" t="str">
        <f>VLOOKUP(B46,Legend!$B$2:$E$110,2,FALSE)</f>
        <v>Air velocity minimum</v>
      </c>
      <c r="L46" s="43" t="str">
        <f>VLOOKUP($B46,Legend!$B$2:$E$110,4,FALSE)</f>
        <v>FPM</v>
      </c>
    </row>
    <row r="47" spans="1:12" x14ac:dyDescent="0.25">
      <c r="A47" s="44">
        <v>0</v>
      </c>
      <c r="B47" s="41" t="str">
        <v>V_Min_T</v>
      </c>
      <c r="C47" s="42">
        <v>72</v>
      </c>
      <c r="D47" s="42">
        <v>0</v>
      </c>
      <c r="E47" s="42">
        <v>0</v>
      </c>
      <c r="F47" s="42">
        <v>0</v>
      </c>
      <c r="G47" s="42">
        <v>0</v>
      </c>
      <c r="H47" s="42">
        <v>0</v>
      </c>
      <c r="I47" s="42">
        <v>0</v>
      </c>
      <c r="J47" s="43">
        <v>0</v>
      </c>
      <c r="K47" s="43" t="str">
        <f>VLOOKUP(B47,Legend!$B$2:$E$110,2,FALSE)</f>
        <v>Time of air velocity minimum</v>
      </c>
      <c r="L47" s="43" t="str">
        <f>VLOOKUP($B47,Legend!$B$2:$E$110,4,FALSE)</f>
        <v>seconds</v>
      </c>
    </row>
    <row r="48" spans="1:12" x14ac:dyDescent="0.25">
      <c r="A48" s="44">
        <v>0</v>
      </c>
      <c r="B48" s="41" t="str">
        <v>V_P</v>
      </c>
      <c r="C48" s="42">
        <v>72</v>
      </c>
      <c r="D48" s="42">
        <v>0</v>
      </c>
      <c r="E48" s="42">
        <v>0</v>
      </c>
      <c r="F48" s="42">
        <v>0</v>
      </c>
      <c r="G48" s="42">
        <v>0</v>
      </c>
      <c r="H48" s="42">
        <v>0</v>
      </c>
      <c r="I48" s="42">
        <v>0</v>
      </c>
      <c r="J48" s="43">
        <v>0</v>
      </c>
      <c r="K48" s="43" t="str">
        <f>VLOOKUP(B48,Legend!$B$2:$E$110,2,FALSE)</f>
        <v>Velocity average value - positive</v>
      </c>
      <c r="L48" s="43" t="str">
        <f>VLOOKUP($B48,Legend!$B$2:$E$110,4,FALSE)</f>
        <v>FPM</v>
      </c>
    </row>
    <row r="49" spans="1:12" x14ac:dyDescent="0.25">
      <c r="A49" s="44">
        <v>0</v>
      </c>
      <c r="B49" s="41" t="str">
        <v>V_N</v>
      </c>
      <c r="C49" s="42">
        <v>72</v>
      </c>
      <c r="D49" s="42">
        <v>0</v>
      </c>
      <c r="E49" s="42">
        <v>0</v>
      </c>
      <c r="F49" s="42">
        <v>0</v>
      </c>
      <c r="G49" s="42">
        <v>0</v>
      </c>
      <c r="H49" s="42">
        <v>0</v>
      </c>
      <c r="I49" s="42">
        <v>0</v>
      </c>
      <c r="J49" s="43">
        <v>0</v>
      </c>
      <c r="K49" s="43" t="str">
        <f>VLOOKUP(B49,Legend!$B$2:$E$110,2,FALSE)</f>
        <v>Velocity average value - negative</v>
      </c>
      <c r="L49" s="43" t="str">
        <f>VLOOKUP($B49,Legend!$B$2:$E$110,4,FALSE)</f>
        <v>FPM</v>
      </c>
    </row>
    <row r="50" spans="1:12" x14ac:dyDescent="0.25">
      <c r="A50" s="44">
        <v>0</v>
      </c>
      <c r="B50" s="41" t="str">
        <v>A_P_P</v>
      </c>
      <c r="C50" s="42">
        <v>72</v>
      </c>
      <c r="D50" s="42">
        <v>0</v>
      </c>
      <c r="E50" s="42">
        <v>0</v>
      </c>
      <c r="F50" s="42">
        <v>0</v>
      </c>
      <c r="G50" s="42">
        <v>0</v>
      </c>
      <c r="H50" s="42">
        <v>0</v>
      </c>
      <c r="I50" s="42">
        <v>0</v>
      </c>
      <c r="J50" s="43">
        <v>0</v>
      </c>
      <c r="K50" s="43" t="str">
        <f>VLOOKUP(B50,Legend!$B$2:$E$110,2,FALSE)</f>
        <v>Percent Of Time Airflow Is Positive</v>
      </c>
      <c r="L50" s="43" t="str">
        <f>VLOOKUP($B50,Legend!$B$2:$E$110,4,FALSE)</f>
        <v>%</v>
      </c>
    </row>
    <row r="51" spans="1:12" x14ac:dyDescent="0.25">
      <c r="A51" s="44">
        <v>0</v>
      </c>
      <c r="B51" s="41" t="str">
        <v>A_P_N</v>
      </c>
      <c r="C51" s="42">
        <v>72</v>
      </c>
      <c r="D51" s="42">
        <v>0</v>
      </c>
      <c r="E51" s="42">
        <v>0</v>
      </c>
      <c r="F51" s="42">
        <v>0</v>
      </c>
      <c r="G51" s="42">
        <v>0</v>
      </c>
      <c r="H51" s="42">
        <v>0</v>
      </c>
      <c r="I51" s="42">
        <v>0</v>
      </c>
      <c r="J51" s="43">
        <v>0</v>
      </c>
      <c r="K51" s="43" t="str">
        <f>VLOOKUP(B51,Legend!$B$2:$E$110,2,FALSE)</f>
        <v>Percent Of Time Airflow Is Negative</v>
      </c>
      <c r="L51" s="43" t="str">
        <f>VLOOKUP($B51,Legend!$B$2:$E$110,4,FALSE)</f>
        <v>%</v>
      </c>
    </row>
    <row r="52" spans="1:12" x14ac:dyDescent="0.25">
      <c r="A52" s="44">
        <v>0</v>
      </c>
      <c r="B52" s="41" t="str">
        <v>V_E</v>
      </c>
      <c r="C52" s="42">
        <v>72</v>
      </c>
      <c r="D52" s="42">
        <v>0</v>
      </c>
      <c r="E52" s="42">
        <v>0</v>
      </c>
      <c r="F52" s="42">
        <v>0</v>
      </c>
      <c r="G52" s="42">
        <v>0</v>
      </c>
      <c r="H52" s="42">
        <v>0</v>
      </c>
      <c r="I52" s="42">
        <v>0</v>
      </c>
      <c r="J52" s="43">
        <v>0</v>
      </c>
      <c r="K52" s="43" t="str">
        <f>VLOOKUP(B52,Legend!$B$2:$E$110,2,FALSE)</f>
        <v>Outflow velocity allowable before exceedance</v>
      </c>
      <c r="L52" s="43" t="str">
        <f>VLOOKUP($B52,Legend!$B$2:$E$110,4,FALSE)</f>
        <v>FPM</v>
      </c>
    </row>
    <row r="53" spans="1:12" x14ac:dyDescent="0.25">
      <c r="A53" s="45">
        <v>0</v>
      </c>
      <c r="B53" s="41" t="str">
        <v>V_EP</v>
      </c>
      <c r="C53" s="42">
        <v>72</v>
      </c>
      <c r="D53" s="42">
        <v>0</v>
      </c>
      <c r="E53" s="42">
        <v>0</v>
      </c>
      <c r="F53" s="42">
        <v>0</v>
      </c>
      <c r="G53" s="42">
        <v>0</v>
      </c>
      <c r="H53" s="42">
        <v>0</v>
      </c>
      <c r="I53" s="42">
        <v>0</v>
      </c>
      <c r="J53" s="43">
        <v>0</v>
      </c>
      <c r="K53" s="43" t="str">
        <f>VLOOKUP(B53,Legend!$B$2:$E$110,2,FALSE)</f>
        <v>Percentage Of Time Outflow Velocity Exceeds Design Max</v>
      </c>
      <c r="L53" s="43" t="str">
        <f>VLOOKUP($B53,Legend!$B$2:$E$110,4,FALSE)</f>
        <v>%</v>
      </c>
    </row>
    <row r="54" spans="1:12" x14ac:dyDescent="0.25">
      <c r="A54" s="52" t="str">
        <v>SUB</v>
      </c>
      <c r="B54" s="3" t="str">
        <v>T_Max</v>
      </c>
      <c r="C54">
        <v>136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 s="4">
        <v>0</v>
      </c>
      <c r="K54" s="4" t="str">
        <f>VLOOKUP(B54,Legend!$B$2:$E$110,2,FALSE)</f>
        <v>Dry-bulb temperature maximum</v>
      </c>
      <c r="L54" s="4" t="str">
        <f>VLOOKUP($B54,Legend!$B$2:$E$110,4,FALSE)</f>
        <v>°F</v>
      </c>
    </row>
    <row r="55" spans="1:12" x14ac:dyDescent="0.25">
      <c r="A55" s="39">
        <v>0</v>
      </c>
      <c r="B55" s="3" t="str">
        <v>T_Max_T</v>
      </c>
      <c r="C55">
        <v>136</v>
      </c>
      <c r="D55">
        <v>4.5437609618243532E-4</v>
      </c>
      <c r="E55">
        <v>5.2988903180147687E-3</v>
      </c>
      <c r="F55">
        <v>0</v>
      </c>
      <c r="G55">
        <v>0</v>
      </c>
      <c r="H55">
        <v>0</v>
      </c>
      <c r="I55">
        <v>0</v>
      </c>
      <c r="J55" s="4">
        <v>6.1795149080811212E-2</v>
      </c>
      <c r="K55" s="4" t="str">
        <f>VLOOKUP(B55,Legend!$B$2:$E$110,2,FALSE)</f>
        <v>Time of dry-bulb temperature maximum</v>
      </c>
      <c r="L55" s="4" t="str">
        <f>VLOOKUP($B55,Legend!$B$2:$E$110,4,FALSE)</f>
        <v>seconds</v>
      </c>
    </row>
    <row r="56" spans="1:12" x14ac:dyDescent="0.25">
      <c r="A56" s="39">
        <v>0</v>
      </c>
      <c r="B56" s="3" t="str">
        <v>T_Min</v>
      </c>
      <c r="C56">
        <v>136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 s="4">
        <v>0</v>
      </c>
      <c r="K56" s="4" t="str">
        <f>VLOOKUP(B56,Legend!$B$2:$E$110,2,FALSE)</f>
        <v>dry-bulb temperature minimum</v>
      </c>
      <c r="L56" s="4" t="str">
        <f>VLOOKUP($B56,Legend!$B$2:$E$110,4,FALSE)</f>
        <v>°F</v>
      </c>
    </row>
    <row r="57" spans="1:12" x14ac:dyDescent="0.25">
      <c r="A57" s="39">
        <v>0</v>
      </c>
      <c r="B57" s="3" t="str">
        <v>T_Min_T</v>
      </c>
      <c r="C57">
        <v>136</v>
      </c>
      <c r="D57">
        <v>7.1124842162233713E-3</v>
      </c>
      <c r="E57">
        <v>5.546338606850916E-2</v>
      </c>
      <c r="F57">
        <v>0</v>
      </c>
      <c r="G57">
        <v>0</v>
      </c>
      <c r="H57">
        <v>0</v>
      </c>
      <c r="I57">
        <v>0</v>
      </c>
      <c r="J57" s="4">
        <v>0.55924501922403558</v>
      </c>
      <c r="K57" s="4" t="str">
        <f>VLOOKUP(B57,Legend!$B$2:$E$110,2,FALSE)</f>
        <v>Time of dry-bulb temperature minimum</v>
      </c>
      <c r="L57" s="4" t="str">
        <f>VLOOKUP($B57,Legend!$B$2:$E$110,4,FALSE)</f>
        <v>seconds</v>
      </c>
    </row>
    <row r="58" spans="1:12" x14ac:dyDescent="0.25">
      <c r="A58" s="39">
        <v>0</v>
      </c>
      <c r="B58" s="3" t="str">
        <v>T_P</v>
      </c>
      <c r="C58">
        <v>96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 s="4">
        <v>0</v>
      </c>
      <c r="K58" s="4" t="str">
        <f>VLOOKUP(B58,Legend!$B$2:$E$110,2,FALSE)</f>
        <v>Dry-bulb temperature Positive</v>
      </c>
      <c r="L58" s="4" t="str">
        <f>VLOOKUP($B58,Legend!$B$2:$E$110,4,FALSE)</f>
        <v>°F</v>
      </c>
    </row>
    <row r="59" spans="1:12" x14ac:dyDescent="0.25">
      <c r="A59" s="39">
        <v>0</v>
      </c>
      <c r="B59" s="3" t="str">
        <v>T_N</v>
      </c>
      <c r="C59">
        <v>116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 s="4">
        <v>0</v>
      </c>
      <c r="K59" s="4" t="str">
        <f>VLOOKUP(B59,Legend!$B$2:$E$110,2,FALSE)</f>
        <v>Dry-bulb temperature Negative</v>
      </c>
      <c r="L59" s="4" t="str">
        <f>VLOOKUP($B59,Legend!$B$2:$E$110,4,FALSE)</f>
        <v>°F</v>
      </c>
    </row>
    <row r="60" spans="1:12" x14ac:dyDescent="0.25">
      <c r="A60" s="39">
        <v>0</v>
      </c>
      <c r="B60" s="3" t="str">
        <v>W_Max</v>
      </c>
      <c r="C60">
        <v>136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 s="4">
        <v>0</v>
      </c>
      <c r="K60" s="4" t="str">
        <f>VLOOKUP(B60,Legend!$B$2:$E$110,2,FALSE)</f>
        <v>1- Humidity ratio maximum (kg/kg)</v>
      </c>
      <c r="L60" s="4" t="str">
        <f>VLOOKUP($B60,Legend!$B$2:$E$110,4,FALSE)</f>
        <v>lb/lb</v>
      </c>
    </row>
    <row r="61" spans="1:12" x14ac:dyDescent="0.25">
      <c r="A61" s="39">
        <v>0</v>
      </c>
      <c r="B61" s="3" t="str">
        <v>W_Max_T</v>
      </c>
      <c r="C61">
        <v>136</v>
      </c>
      <c r="D61">
        <v>9.1908434066082009E-3</v>
      </c>
      <c r="E61">
        <v>5.7993531529006902E-2</v>
      </c>
      <c r="F61">
        <v>0</v>
      </c>
      <c r="G61">
        <v>0</v>
      </c>
      <c r="H61">
        <v>0</v>
      </c>
      <c r="I61">
        <v>0</v>
      </c>
      <c r="J61" s="4">
        <v>0.55613486270421364</v>
      </c>
      <c r="K61" s="4" t="str">
        <f>VLOOKUP(B61,Legend!$B$2:$E$110,2,FALSE)</f>
        <v>Time of Humidity ration maximum</v>
      </c>
      <c r="L61" s="4" t="str">
        <f>VLOOKUP($B61,Legend!$B$2:$E$110,4,FALSE)</f>
        <v>seconds</v>
      </c>
    </row>
    <row r="62" spans="1:12" x14ac:dyDescent="0.25">
      <c r="A62" s="39">
        <v>0</v>
      </c>
      <c r="B62" s="3" t="str">
        <v>W_Min</v>
      </c>
      <c r="C62">
        <v>136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 s="4">
        <v>0</v>
      </c>
      <c r="K62" s="4" t="str">
        <f>VLOOKUP(B62,Legend!$B$2:$E$110,2,FALSE)</f>
        <v>Humidity ratio minimum</v>
      </c>
      <c r="L62" s="4" t="str">
        <f>VLOOKUP($B62,Legend!$B$2:$E$110,4,FALSE)</f>
        <v>lb/lb</v>
      </c>
    </row>
    <row r="63" spans="1:12" x14ac:dyDescent="0.25">
      <c r="A63" s="39">
        <v>0</v>
      </c>
      <c r="B63" s="3" t="str">
        <v>W_Min_T</v>
      </c>
      <c r="C63">
        <v>136</v>
      </c>
      <c r="D63">
        <v>4.21547969587835E-3</v>
      </c>
      <c r="E63">
        <v>2.4084004183347951E-2</v>
      </c>
      <c r="F63">
        <v>0</v>
      </c>
      <c r="G63">
        <v>0</v>
      </c>
      <c r="H63">
        <v>0</v>
      </c>
      <c r="I63">
        <v>0</v>
      </c>
      <c r="J63" s="4">
        <v>0.23774145616642239</v>
      </c>
      <c r="K63" s="4" t="str">
        <f>VLOOKUP(B63,Legend!$B$2:$E$110,2,FALSE)</f>
        <v>Time of Humidity ratio minimum</v>
      </c>
      <c r="L63" s="4" t="str">
        <f>VLOOKUP($B63,Legend!$B$2:$E$110,4,FALSE)</f>
        <v>seconds</v>
      </c>
    </row>
    <row r="64" spans="1:12" x14ac:dyDescent="0.25">
      <c r="A64" s="39">
        <v>0</v>
      </c>
      <c r="B64" s="3" t="str">
        <v>W_A</v>
      </c>
      <c r="C64">
        <v>136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s="4">
        <v>0</v>
      </c>
      <c r="K64" s="4" t="str">
        <f>VLOOKUP(B64,Legend!$B$2:$E$110,2,FALSE)</f>
        <v>Average Humidity ratio</v>
      </c>
      <c r="L64" s="4" t="str">
        <f>VLOOKUP($B64,Legend!$B$2:$E$110,4,FALSE)</f>
        <v>lb/lb</v>
      </c>
    </row>
    <row r="65" spans="1:12" x14ac:dyDescent="0.25">
      <c r="A65" s="39">
        <v>0</v>
      </c>
      <c r="B65" s="3" t="str">
        <v>TAP_1</v>
      </c>
      <c r="C65">
        <v>40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s="4">
        <v>0</v>
      </c>
      <c r="K65" s="4" t="str">
        <f>VLOOKUP(B65,Legend!$B$2:$E$110,2,FALSE)</f>
        <v>Percentage of Time above temperature - 1</v>
      </c>
      <c r="L65" s="4" t="str">
        <f>VLOOKUP($B65,Legend!$B$2:$E$110,4,FALSE)</f>
        <v>%</v>
      </c>
    </row>
    <row r="66" spans="1:12" x14ac:dyDescent="0.25">
      <c r="A66" s="39">
        <v>0</v>
      </c>
      <c r="B66" s="3" t="str">
        <v>TAP_2</v>
      </c>
      <c r="C66">
        <v>40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 s="4">
        <v>0</v>
      </c>
      <c r="K66" s="4" t="str">
        <f>VLOOKUP(B66,Legend!$B$2:$E$110,2,FALSE)</f>
        <v>Percentage of Time above temperature - 2</v>
      </c>
      <c r="L66" s="4" t="str">
        <f>VLOOKUP($B66,Legend!$B$2:$E$110,4,FALSE)</f>
        <v>%</v>
      </c>
    </row>
    <row r="67" spans="1:12" x14ac:dyDescent="0.25">
      <c r="A67" s="39">
        <v>0</v>
      </c>
      <c r="B67" s="3" t="str">
        <v>TAP_3</v>
      </c>
      <c r="C67">
        <v>40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 s="4">
        <v>0</v>
      </c>
      <c r="K67" s="4" t="str">
        <f>VLOOKUP(B67,Legend!$B$2:$E$110,2,FALSE)</f>
        <v>Percentage of Time above temperature - 3</v>
      </c>
      <c r="L67" s="4" t="str">
        <f>VLOOKUP($B67,Legend!$B$2:$E$110,4,FALSE)</f>
        <v>%</v>
      </c>
    </row>
    <row r="68" spans="1:12" x14ac:dyDescent="0.25">
      <c r="A68" s="39">
        <v>0</v>
      </c>
      <c r="B68" s="3" t="str">
        <v>TAP_4</v>
      </c>
      <c r="C68">
        <v>25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 s="4">
        <v>0</v>
      </c>
      <c r="K68" s="4" t="str">
        <f>VLOOKUP(B68,Legend!$B$2:$E$110,2,FALSE)</f>
        <v>Percentage of Time above temperature - 4</v>
      </c>
      <c r="L68" s="4" t="str">
        <f>VLOOKUP($B68,Legend!$B$2:$E$110,4,FALSE)</f>
        <v>%</v>
      </c>
    </row>
    <row r="69" spans="1:12" x14ac:dyDescent="0.25">
      <c r="A69" s="39">
        <v>0</v>
      </c>
      <c r="B69" s="3" t="str">
        <v>TAP_5</v>
      </c>
      <c r="C69">
        <v>15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 s="4">
        <v>0</v>
      </c>
      <c r="K69" s="4" t="str">
        <f>VLOOKUP(B69,Legend!$B$2:$E$110,2,FALSE)</f>
        <v>Percentage of Time above temperature - 5</v>
      </c>
      <c r="L69" s="4" t="str">
        <f>VLOOKUP($B69,Legend!$B$2:$E$110,4,FALSE)</f>
        <v>%</v>
      </c>
    </row>
    <row r="70" spans="1:12" x14ac:dyDescent="0.25">
      <c r="A70" s="39">
        <v>0</v>
      </c>
      <c r="B70" s="3" t="str">
        <v>TAP_6</v>
      </c>
      <c r="C70">
        <v>12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s="4">
        <v>0</v>
      </c>
      <c r="K70" s="4" t="str">
        <f>VLOOKUP(B70,Legend!$B$2:$E$110,2,FALSE)</f>
        <v>Percentage of Time above temperature - 6</v>
      </c>
      <c r="L70" s="4" t="str">
        <f>VLOOKUP($B70,Legend!$B$2:$E$110,4,FALSE)</f>
        <v>%</v>
      </c>
    </row>
    <row r="71" spans="1:12" x14ac:dyDescent="0.25">
      <c r="A71" s="39">
        <v>0</v>
      </c>
      <c r="B71" s="3" t="str">
        <v>TA_1</v>
      </c>
      <c r="C71">
        <v>40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 s="4">
        <v>0</v>
      </c>
      <c r="K71" s="4" t="str">
        <f>VLOOKUP(B71,Legend!$B$2:$E$110,2,FALSE)</f>
        <v>Above temperature - 1</v>
      </c>
      <c r="L71" s="4" t="str">
        <f>VLOOKUP($B71,Legend!$B$2:$E$110,4,FALSE)</f>
        <v>°F</v>
      </c>
    </row>
    <row r="72" spans="1:12" x14ac:dyDescent="0.25">
      <c r="A72" s="39">
        <v>0</v>
      </c>
      <c r="B72" s="3" t="str">
        <v>TA_2</v>
      </c>
      <c r="C72">
        <v>40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s="4">
        <v>0</v>
      </c>
      <c r="K72" s="4" t="str">
        <f>VLOOKUP(B72,Legend!$B$2:$E$110,2,FALSE)</f>
        <v>Above temperature - 2</v>
      </c>
      <c r="L72" s="4" t="str">
        <f>VLOOKUP($B72,Legend!$B$2:$E$110,4,FALSE)</f>
        <v>°F</v>
      </c>
    </row>
    <row r="73" spans="1:12" x14ac:dyDescent="0.25">
      <c r="A73" s="39">
        <v>0</v>
      </c>
      <c r="B73" s="3" t="str">
        <v>TA_3</v>
      </c>
      <c r="C73">
        <v>40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s="4">
        <v>0</v>
      </c>
      <c r="K73" s="4" t="str">
        <f>VLOOKUP(B73,Legend!$B$2:$E$110,2,FALSE)</f>
        <v>Above temperature - 3</v>
      </c>
      <c r="L73" s="4" t="str">
        <f>VLOOKUP($B73,Legend!$B$2:$E$110,4,FALSE)</f>
        <v>°F</v>
      </c>
    </row>
    <row r="74" spans="1:12" x14ac:dyDescent="0.25">
      <c r="A74" s="39">
        <v>0</v>
      </c>
      <c r="B74" s="3" t="str">
        <v>TA_4</v>
      </c>
      <c r="C74">
        <v>40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 s="4">
        <v>0</v>
      </c>
      <c r="K74" s="4" t="str">
        <f>VLOOKUP(B74,Legend!$B$2:$E$110,2,FALSE)</f>
        <v>Above temperature - 4</v>
      </c>
      <c r="L74" s="4" t="str">
        <f>VLOOKUP($B74,Legend!$B$2:$E$110,4,FALSE)</f>
        <v>°F</v>
      </c>
    </row>
    <row r="75" spans="1:12" x14ac:dyDescent="0.25">
      <c r="A75" s="39">
        <v>0</v>
      </c>
      <c r="B75" s="3" t="str">
        <v>TA_5</v>
      </c>
      <c r="C75">
        <v>40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s="4">
        <v>0</v>
      </c>
      <c r="K75" s="4" t="str">
        <f>VLOOKUP(B75,Legend!$B$2:$E$110,2,FALSE)</f>
        <v>Above temperature - 5</v>
      </c>
      <c r="L75" s="4" t="str">
        <f>VLOOKUP($B75,Legend!$B$2:$E$110,4,FALSE)</f>
        <v>°F</v>
      </c>
    </row>
    <row r="76" spans="1:12" x14ac:dyDescent="0.25">
      <c r="A76" s="40">
        <v>0</v>
      </c>
      <c r="B76" s="3" t="str">
        <v>TA_6</v>
      </c>
      <c r="C76">
        <v>40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s="4">
        <v>0</v>
      </c>
      <c r="K76" s="4" t="str">
        <f>VLOOKUP(B76,Legend!$B$2:$E$110,2,FALSE)</f>
        <v>Above temperature - 6</v>
      </c>
      <c r="L76" s="4" t="str">
        <f>VLOOKUP($B76,Legend!$B$2:$E$110,4,FALSE)</f>
        <v>°F</v>
      </c>
    </row>
    <row r="77" spans="1:12" x14ac:dyDescent="0.25">
      <c r="A77" s="51" t="str">
        <v>TES</v>
      </c>
      <c r="B77" s="41" t="str">
        <v>ET</v>
      </c>
      <c r="C77" s="42">
        <v>20</v>
      </c>
      <c r="D77" s="42">
        <v>0</v>
      </c>
      <c r="E77" s="42">
        <v>0</v>
      </c>
      <c r="F77" s="42">
        <v>0</v>
      </c>
      <c r="G77" s="42">
        <v>0</v>
      </c>
      <c r="H77" s="42">
        <v>0</v>
      </c>
      <c r="I77" s="42">
        <v>0</v>
      </c>
      <c r="J77" s="43">
        <v>0</v>
      </c>
      <c r="K77" s="43" t="str">
        <f>VLOOKUP(B77,Legend!$B$2:$E$110,2,FALSE)</f>
        <v>Propulsion Energy From Third Rail</v>
      </c>
      <c r="L77" s="43" t="str">
        <f>VLOOKUP($B77,Legend!$B$2:$E$110,4,FALSE)</f>
        <v>KWh</v>
      </c>
    </row>
    <row r="78" spans="1:12" x14ac:dyDescent="0.25">
      <c r="A78" s="44">
        <v>0</v>
      </c>
      <c r="B78" s="41" t="str">
        <v>EF</v>
      </c>
      <c r="C78" s="42">
        <v>12</v>
      </c>
      <c r="D78" s="42">
        <v>0</v>
      </c>
      <c r="E78" s="42">
        <v>0</v>
      </c>
      <c r="F78" s="42">
        <v>0</v>
      </c>
      <c r="G78" s="42">
        <v>0</v>
      </c>
      <c r="H78" s="42">
        <v>0</v>
      </c>
      <c r="I78" s="42">
        <v>0</v>
      </c>
      <c r="J78" s="43">
        <v>0</v>
      </c>
      <c r="K78" s="43" t="str">
        <f>VLOOKUP(B78,Legend!$B$2:$E$110,2,FALSE)</f>
        <v>Propulsion Energy From Flywheel</v>
      </c>
      <c r="L78" s="43" t="str">
        <f>VLOOKUP($B78,Legend!$B$2:$E$110,4,FALSE)</f>
        <v>KWh</v>
      </c>
    </row>
    <row r="79" spans="1:12" x14ac:dyDescent="0.25">
      <c r="A79" s="44">
        <v>0</v>
      </c>
      <c r="B79" s="41" t="str">
        <v>EA</v>
      </c>
      <c r="C79" s="42">
        <v>24</v>
      </c>
      <c r="D79" s="42">
        <v>0</v>
      </c>
      <c r="E79" s="42">
        <v>0</v>
      </c>
      <c r="F79" s="42">
        <v>0</v>
      </c>
      <c r="G79" s="42">
        <v>0</v>
      </c>
      <c r="H79" s="42">
        <v>0</v>
      </c>
      <c r="I79" s="42">
        <v>0</v>
      </c>
      <c r="J79" s="43">
        <v>0</v>
      </c>
      <c r="K79" s="43" t="str">
        <f>VLOOKUP(B79,Legend!$B$2:$E$110,2,FALSE)</f>
        <v>Auxiliary Energy Consumed</v>
      </c>
      <c r="L79" s="43" t="str">
        <f>VLOOKUP($B79,Legend!$B$2:$E$110,4,FALSE)</f>
        <v>KWh</v>
      </c>
    </row>
    <row r="80" spans="1:12" x14ac:dyDescent="0.25">
      <c r="A80" s="45">
        <v>0</v>
      </c>
      <c r="B80" s="41" t="str">
        <v>ER</v>
      </c>
      <c r="C80" s="42">
        <v>12</v>
      </c>
      <c r="D80" s="42">
        <v>0</v>
      </c>
      <c r="E80" s="42">
        <v>0</v>
      </c>
      <c r="F80" s="42">
        <v>0</v>
      </c>
      <c r="G80" s="42">
        <v>0</v>
      </c>
      <c r="H80" s="42">
        <v>0</v>
      </c>
      <c r="I80" s="42">
        <v>0</v>
      </c>
      <c r="J80" s="43">
        <v>0</v>
      </c>
      <c r="K80" s="43" t="str">
        <f>VLOOKUP(B80,Legend!$B$2:$E$110,2,FALSE)</f>
        <v>Energy Regenerated</v>
      </c>
      <c r="L80" s="43" t="str">
        <f>VLOOKUP($B80,Legend!$B$2:$E$110,4,FALSE)</f>
        <v>KWh</v>
      </c>
    </row>
    <row r="81" spans="1:12" x14ac:dyDescent="0.25">
      <c r="A81" s="52" t="str">
        <v>HAS</v>
      </c>
      <c r="B81" s="3" t="str">
        <v>MWT</v>
      </c>
      <c r="C81">
        <v>72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 s="4">
        <v>0</v>
      </c>
      <c r="K81" s="4" t="str">
        <f>VLOOKUP(B81,Legend!$B$2:$E$110,2,FALSE)</f>
        <v>Morning Wall Temperature</v>
      </c>
      <c r="L81" s="4" t="str">
        <f>VLOOKUP($B81,Legend!$B$2:$E$110,4,FALSE)</f>
        <v>°F</v>
      </c>
    </row>
    <row r="82" spans="1:12" x14ac:dyDescent="0.25">
      <c r="A82" s="39">
        <v>0</v>
      </c>
      <c r="B82" s="3" t="str">
        <v>EWT</v>
      </c>
      <c r="C82">
        <v>72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 s="4">
        <v>0</v>
      </c>
      <c r="K82" s="4" t="str">
        <f>VLOOKUP(B82,Legend!$B$2:$E$110,2,FALSE)</f>
        <v>Evening Wall Temperature</v>
      </c>
      <c r="L82" s="4" t="str">
        <f>VLOOKUP($B82,Legend!$B$2:$E$110,4,FALSE)</f>
        <v>°F</v>
      </c>
    </row>
    <row r="83" spans="1:12" x14ac:dyDescent="0.25">
      <c r="A83" s="39">
        <v>0</v>
      </c>
      <c r="B83" s="3" t="str">
        <v>MAT</v>
      </c>
      <c r="C83">
        <v>72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s="4">
        <v>0</v>
      </c>
      <c r="K83" s="4" t="str">
        <f>VLOOKUP(B83,Legend!$B$2:$E$110,2,FALSE)</f>
        <v>Morning Air Temperature</v>
      </c>
      <c r="L83" s="4" t="str">
        <f>VLOOKUP($B83,Legend!$B$2:$E$110,4,FALSE)</f>
        <v>°F</v>
      </c>
    </row>
    <row r="84" spans="1:12" x14ac:dyDescent="0.25">
      <c r="A84" s="39">
        <v>0</v>
      </c>
      <c r="B84" s="3" t="str">
        <v>EAT</v>
      </c>
      <c r="C84">
        <v>72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 s="4">
        <v>0</v>
      </c>
      <c r="K84" s="4" t="str">
        <f>VLOOKUP(B84,Legend!$B$2:$E$110,2,FALSE)</f>
        <v>Evening Air Temperature</v>
      </c>
      <c r="L84" s="4" t="str">
        <f>VLOOKUP($B84,Legend!$B$2:$E$110,4,FALSE)</f>
        <v>°F</v>
      </c>
    </row>
    <row r="85" spans="1:12" x14ac:dyDescent="0.25">
      <c r="A85" s="39">
        <v>0</v>
      </c>
      <c r="B85" s="3" t="str">
        <v>MH</v>
      </c>
      <c r="C85">
        <v>72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 s="4">
        <v>0</v>
      </c>
      <c r="K85" s="4" t="str">
        <f>VLOOKUP(B85,Legend!$B$2:$E$110,2,FALSE)</f>
        <v>Morning Humidity Ratio</v>
      </c>
      <c r="L85" s="4" t="str">
        <f>VLOOKUP($B85,Legend!$B$2:$E$110,4,FALSE)</f>
        <v>lb/lb</v>
      </c>
    </row>
    <row r="86" spans="1:12" x14ac:dyDescent="0.25">
      <c r="A86" s="40">
        <v>0</v>
      </c>
      <c r="B86" s="3" t="str">
        <v>EH</v>
      </c>
      <c r="C86">
        <v>72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 s="4">
        <v>0</v>
      </c>
      <c r="K86" s="4" t="str">
        <f>VLOOKUP(B86,Legend!$B$2:$E$110,2,FALSE)</f>
        <v>Evening Humidity Ratio</v>
      </c>
      <c r="L86" s="4" t="str">
        <f>VLOOKUP($B86,Legend!$B$2:$E$110,4,FALSE)</f>
        <v>lb/lb</v>
      </c>
    </row>
    <row r="87" spans="1:12" x14ac:dyDescent="0.25">
      <c r="A87" s="51" t="str">
        <v>ECS</v>
      </c>
      <c r="B87" s="41" t="str">
        <v>TM_S</v>
      </c>
      <c r="C87" s="42">
        <v>30</v>
      </c>
      <c r="D87" s="42">
        <v>1.055591656710982E-4</v>
      </c>
      <c r="E87" s="42">
        <v>1.236621888830891E-4</v>
      </c>
      <c r="F87" s="42">
        <v>0</v>
      </c>
      <c r="G87" s="42">
        <v>0</v>
      </c>
      <c r="H87" s="42">
        <v>0</v>
      </c>
      <c r="I87" s="42">
        <v>2.3051399605115869E-4</v>
      </c>
      <c r="J87" s="43">
        <v>2.9246179717774367E-4</v>
      </c>
      <c r="K87" s="43" t="str">
        <f>VLOOKUP(B87,Legend!$B$2:$E$110,2,FALSE)</f>
        <v>Sensible Heat Load From Trains and Misc.</v>
      </c>
      <c r="L87" s="43" t="str">
        <f>VLOOKUP($B87,Legend!$B$2:$E$110,4,FALSE)</f>
        <v>BTU/HR</v>
      </c>
    </row>
    <row r="88" spans="1:12" x14ac:dyDescent="0.25">
      <c r="A88" s="44">
        <v>0</v>
      </c>
      <c r="B88" s="41" t="str">
        <v>TM_L</v>
      </c>
      <c r="C88" s="42">
        <v>19</v>
      </c>
      <c r="D88" s="42">
        <v>5.2637221152453577</v>
      </c>
      <c r="E88" s="42">
        <v>22.941436816670571</v>
      </c>
      <c r="F88" s="42">
        <v>0</v>
      </c>
      <c r="G88" s="42">
        <v>0</v>
      </c>
      <c r="H88" s="42">
        <v>0</v>
      </c>
      <c r="I88" s="42">
        <v>0</v>
      </c>
      <c r="J88" s="43">
        <v>100</v>
      </c>
      <c r="K88" s="43" t="str">
        <f>VLOOKUP(B88,Legend!$B$2:$E$110,2,FALSE)</f>
        <v>Latent Heat Load From Trains and Misc.</v>
      </c>
      <c r="L88" s="43" t="str">
        <f>VLOOKUP($B88,Legend!$B$2:$E$110,4,FALSE)</f>
        <v>BTU/HR</v>
      </c>
    </row>
    <row r="89" spans="1:12" x14ac:dyDescent="0.25">
      <c r="A89" s="44">
        <v>0</v>
      </c>
      <c r="B89" s="41" t="str">
        <v>SS_S</v>
      </c>
      <c r="C89" s="42">
        <v>30</v>
      </c>
      <c r="D89" s="42">
        <v>5.5096418732782371E-5</v>
      </c>
      <c r="E89" s="42">
        <v>3.01775513776951E-4</v>
      </c>
      <c r="F89" s="42">
        <v>0</v>
      </c>
      <c r="G89" s="42">
        <v>0</v>
      </c>
      <c r="H89" s="42">
        <v>0</v>
      </c>
      <c r="I89" s="42">
        <v>0</v>
      </c>
      <c r="J89" s="43">
        <v>1.652892561983471E-3</v>
      </c>
      <c r="K89" s="43" t="str">
        <f>VLOOKUP(B89,Legend!$B$2:$E$110,2,FALSE)</f>
        <v>Sensible Heat Load From Steady State Sources</v>
      </c>
      <c r="L89" s="43" t="str">
        <f>VLOOKUP($B89,Legend!$B$2:$E$110,4,FALSE)</f>
        <v>BTU/HR</v>
      </c>
    </row>
    <row r="90" spans="1:12" x14ac:dyDescent="0.25">
      <c r="A90" s="44">
        <v>0</v>
      </c>
      <c r="B90" s="41" t="str">
        <v>SS_L</v>
      </c>
      <c r="C90" s="42">
        <v>18</v>
      </c>
      <c r="D90" s="42">
        <v>0</v>
      </c>
      <c r="E90" s="42">
        <v>0</v>
      </c>
      <c r="F90" s="42">
        <v>0</v>
      </c>
      <c r="G90" s="42">
        <v>0</v>
      </c>
      <c r="H90" s="42">
        <v>0</v>
      </c>
      <c r="I90" s="42">
        <v>0</v>
      </c>
      <c r="J90" s="43">
        <v>0</v>
      </c>
      <c r="K90" s="43" t="str">
        <f>VLOOKUP(B90,Legend!$B$2:$E$110,2,FALSE)</f>
        <v>Latent Heat Load From Steady State Sources</v>
      </c>
      <c r="L90" s="43" t="str">
        <f>VLOOKUP($B90,Legend!$B$2:$E$110,4,FALSE)</f>
        <v>BTU/HR</v>
      </c>
    </row>
    <row r="91" spans="1:12" x14ac:dyDescent="0.25">
      <c r="A91" s="44">
        <v>0</v>
      </c>
      <c r="B91" s="41" t="str">
        <v>HS_S</v>
      </c>
      <c r="C91" s="42">
        <v>30</v>
      </c>
      <c r="D91" s="42">
        <v>0</v>
      </c>
      <c r="E91" s="42">
        <v>0</v>
      </c>
      <c r="F91" s="42">
        <v>0</v>
      </c>
      <c r="G91" s="42">
        <v>0</v>
      </c>
      <c r="H91" s="42">
        <v>0</v>
      </c>
      <c r="I91" s="42">
        <v>0</v>
      </c>
      <c r="J91" s="43">
        <v>0</v>
      </c>
      <c r="K91" s="43" t="str">
        <f>VLOOKUP(B91,Legend!$B$2:$E$110,2,FALSE)</f>
        <v>Sensible Heat Load From Heat Sink</v>
      </c>
      <c r="L91" s="43" t="str">
        <f>VLOOKUP($B91,Legend!$B$2:$E$110,4,FALSE)</f>
        <v>BTU/HR</v>
      </c>
    </row>
    <row r="92" spans="1:12" x14ac:dyDescent="0.25">
      <c r="A92" s="44">
        <v>0</v>
      </c>
      <c r="B92" s="41" t="str">
        <v>A_S</v>
      </c>
      <c r="C92" s="42">
        <v>30</v>
      </c>
      <c r="D92" s="42">
        <v>6.5489110911480146E-3</v>
      </c>
      <c r="E92" s="42">
        <v>1.143368544628879E-2</v>
      </c>
      <c r="F92" s="42">
        <v>0</v>
      </c>
      <c r="G92" s="42">
        <v>2.5477602828636507E-4</v>
      </c>
      <c r="H92" s="42">
        <v>1.3680440824523599E-3</v>
      </c>
      <c r="I92" s="42">
        <v>5.7599288486336513E-3</v>
      </c>
      <c r="J92" s="43">
        <v>4.5489006823351018E-2</v>
      </c>
      <c r="K92" s="43" t="str">
        <f>VLOOKUP(B92,Legend!$B$2:$E$110,2,FALSE)</f>
        <v>Sensible Heat Load From Airflow</v>
      </c>
      <c r="L92" s="43" t="str">
        <f>VLOOKUP($B92,Legend!$B$2:$E$110,4,FALSE)</f>
        <v>BTU/HR</v>
      </c>
    </row>
    <row r="93" spans="1:12" x14ac:dyDescent="0.25">
      <c r="A93" s="44">
        <v>0</v>
      </c>
      <c r="B93" s="41" t="str">
        <v>A_L</v>
      </c>
      <c r="C93" s="42">
        <v>30</v>
      </c>
      <c r="D93" s="42">
        <v>6.0351290899601659E-2</v>
      </c>
      <c r="E93" s="42">
        <v>0.31429020716152362</v>
      </c>
      <c r="F93" s="42">
        <v>0</v>
      </c>
      <c r="G93" s="42">
        <v>4.689592403190056E-4</v>
      </c>
      <c r="H93" s="42">
        <v>1.0222936465784859E-3</v>
      </c>
      <c r="I93" s="42">
        <v>2.5575268015621648E-3</v>
      </c>
      <c r="J93" s="43">
        <v>1.7241379310344831</v>
      </c>
      <c r="K93" s="43" t="str">
        <f>VLOOKUP(B93,Legend!$B$2:$E$110,2,FALSE)</f>
        <v>Latent Heat Load From Airflow</v>
      </c>
      <c r="L93" s="43" t="str">
        <f>VLOOKUP($B93,Legend!$B$2:$E$110,4,FALSE)</f>
        <v>BTU/HR</v>
      </c>
    </row>
    <row r="94" spans="1:12" x14ac:dyDescent="0.25">
      <c r="A94" s="44">
        <v>0</v>
      </c>
      <c r="B94" s="41" t="str">
        <v>EC_S</v>
      </c>
      <c r="C94" s="42">
        <v>20</v>
      </c>
      <c r="D94" s="42">
        <v>1.882516989189931E-3</v>
      </c>
      <c r="E94" s="42">
        <v>3.7284840102116928E-3</v>
      </c>
      <c r="F94" s="42">
        <v>0</v>
      </c>
      <c r="G94" s="42">
        <v>3.735307169249756E-5</v>
      </c>
      <c r="H94" s="42">
        <v>6.4907024698042772E-4</v>
      </c>
      <c r="I94" s="42">
        <v>1.5616953730475159E-3</v>
      </c>
      <c r="J94" s="43">
        <v>1.5921031682853051E-2</v>
      </c>
      <c r="K94" s="43" t="str">
        <f>VLOOKUP(B94,Legend!$B$2:$E$110,2,FALSE)</f>
        <v>Sensible Heat Load From ECS</v>
      </c>
      <c r="L94" s="43" t="str">
        <f>VLOOKUP($B94,Legend!$B$2:$E$110,4,FALSE)</f>
        <v>BTU/HR</v>
      </c>
    </row>
    <row r="95" spans="1:12" x14ac:dyDescent="0.25">
      <c r="A95" s="44">
        <v>0</v>
      </c>
      <c r="B95" s="41" t="str">
        <v>EC_L</v>
      </c>
      <c r="C95" s="42">
        <v>20</v>
      </c>
      <c r="D95" s="42">
        <v>2.530815837884092E-3</v>
      </c>
      <c r="E95" s="42">
        <v>3.7274599523379158E-3</v>
      </c>
      <c r="F95" s="42">
        <v>0</v>
      </c>
      <c r="G95" s="42">
        <v>5.8525513336165139E-4</v>
      </c>
      <c r="H95" s="42">
        <v>1.0515979344864249E-3</v>
      </c>
      <c r="I95" s="42">
        <v>2.86707779891917E-3</v>
      </c>
      <c r="J95" s="43">
        <v>1.359619306594154E-2</v>
      </c>
      <c r="K95" s="43" t="str">
        <f>VLOOKUP(B95,Legend!$B$2:$E$110,2,FALSE)</f>
        <v>Latent Heat Load From ECS</v>
      </c>
      <c r="L95" s="43" t="str">
        <f>VLOOKUP($B95,Legend!$B$2:$E$110,4,FALSE)</f>
        <v>BTU/HR</v>
      </c>
    </row>
    <row r="96" spans="1:12" x14ac:dyDescent="0.25">
      <c r="A96" s="44">
        <v>0</v>
      </c>
      <c r="B96" s="41" t="str">
        <v>TR_S</v>
      </c>
      <c r="C96" s="42">
        <v>30</v>
      </c>
      <c r="D96" s="42">
        <v>2.2340320584664482E-3</v>
      </c>
      <c r="E96" s="42">
        <v>4.6333855449274073E-3</v>
      </c>
      <c r="F96" s="42">
        <v>0</v>
      </c>
      <c r="G96" s="42">
        <v>1.0724571831932611E-4</v>
      </c>
      <c r="H96" s="42">
        <v>5.7993320036307566E-4</v>
      </c>
      <c r="I96" s="42">
        <v>1.623959447307439E-3</v>
      </c>
      <c r="J96" s="43">
        <v>2.0345879959308241E-2</v>
      </c>
      <c r="K96" s="43" t="str">
        <f>VLOOKUP(B96,Legend!$B$2:$E$110,2,FALSE)</f>
        <v>Estimated Sensible Heat Load From ECS</v>
      </c>
      <c r="L96" s="43" t="str">
        <f>VLOOKUP($B96,Legend!$B$2:$E$110,4,FALSE)</f>
        <v>BTU/HR</v>
      </c>
    </row>
    <row r="97" spans="1:12" x14ac:dyDescent="0.25">
      <c r="A97" s="44">
        <v>0</v>
      </c>
      <c r="B97" s="41" t="str">
        <v>TR_L</v>
      </c>
      <c r="C97" s="42">
        <v>30</v>
      </c>
      <c r="D97" s="42">
        <v>2.081870476162098E-3</v>
      </c>
      <c r="E97" s="42">
        <v>3.1399214410055788E-3</v>
      </c>
      <c r="F97" s="42">
        <v>0</v>
      </c>
      <c r="G97" s="42">
        <v>5.1731800641924405E-4</v>
      </c>
      <c r="H97" s="42">
        <v>1.012798995209931E-3</v>
      </c>
      <c r="I97" s="42">
        <v>2.3633620675941359E-3</v>
      </c>
      <c r="J97" s="43">
        <v>1.359619306594154E-2</v>
      </c>
      <c r="K97" s="43" t="str">
        <f>VLOOKUP(B97,Legend!$B$2:$E$110,2,FALSE)</f>
        <v>Estimated Latent Heat Load From ECS</v>
      </c>
      <c r="L97" s="43" t="str">
        <f>VLOOKUP($B97,Legend!$B$2:$E$110,4,FALSE)</f>
        <v>BTU/HR</v>
      </c>
    </row>
    <row r="98" spans="1:12" x14ac:dyDescent="0.25">
      <c r="A98" s="45">
        <v>0</v>
      </c>
      <c r="B98" s="41" t="str">
        <v>TR_T</v>
      </c>
      <c r="C98" s="42">
        <v>30</v>
      </c>
      <c r="D98" s="42">
        <v>4.2988381195621494E-3</v>
      </c>
      <c r="E98" s="42">
        <v>1.2340509614064561E-2</v>
      </c>
      <c r="F98" s="42">
        <v>0</v>
      </c>
      <c r="G98" s="42">
        <v>2.2455073861230869E-4</v>
      </c>
      <c r="H98" s="42">
        <v>6.9529761345428064E-4</v>
      </c>
      <c r="I98" s="42">
        <v>2.1513383001324771E-3</v>
      </c>
      <c r="J98" s="43">
        <v>5.7430007178750901E-2</v>
      </c>
      <c r="K98" s="43" t="str">
        <f>VLOOKUP(B98,Legend!$B$2:$E$110,2,FALSE)</f>
        <v>Estimated Total Heat Load From ECS</v>
      </c>
      <c r="L98" s="43" t="str">
        <f>VLOOKUP($B98,Legend!$B$2:$E$110,4,FALSE)</f>
        <v>BTU/HR</v>
      </c>
    </row>
  </sheetData>
  <conditionalFormatting sqref="J16:J98">
    <cfRule type="cellIs" dxfId="0" priority="1" stopIfTrue="1" operator="greaterThan">
      <formula>0.5</formula>
    </cfRule>
  </conditionalFormatting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FC1B-3628-47ED-BA4F-752844D86A39}">
  <dimension ref="A1:F110"/>
  <sheetViews>
    <sheetView workbookViewId="0">
      <selection activeCell="C89" sqref="C89"/>
    </sheetView>
  </sheetViews>
  <sheetFormatPr defaultRowHeight="15" x14ac:dyDescent="0.25"/>
  <cols>
    <col min="1" max="1" width="6.28515625" bestFit="1" customWidth="1"/>
    <col min="2" max="2" width="15" customWidth="1"/>
    <col min="3" max="3" width="53.42578125" bestFit="1" customWidth="1"/>
    <col min="4" max="4" width="8.5703125" style="27" customWidth="1"/>
    <col min="5" max="5" width="12" style="27" customWidth="1"/>
    <col min="6" max="6" width="45.85546875" bestFit="1" customWidth="1"/>
  </cols>
  <sheetData>
    <row r="1" spans="1:6" ht="30" x14ac:dyDescent="0.25">
      <c r="A1" s="6" t="s">
        <v>125</v>
      </c>
      <c r="B1" s="7" t="s">
        <v>126</v>
      </c>
      <c r="C1" s="7" t="s">
        <v>127</v>
      </c>
      <c r="D1" s="8" t="s">
        <v>128</v>
      </c>
      <c r="E1" s="8" t="s">
        <v>129</v>
      </c>
      <c r="F1" s="8" t="s">
        <v>130</v>
      </c>
    </row>
    <row r="2" spans="1:6" ht="14.25" customHeight="1" x14ac:dyDescent="0.25">
      <c r="A2" s="9" t="s">
        <v>114</v>
      </c>
      <c r="B2" s="10" t="s">
        <v>131</v>
      </c>
      <c r="C2" s="10"/>
      <c r="D2" s="11"/>
      <c r="E2" s="11"/>
      <c r="F2" s="12"/>
    </row>
    <row r="3" spans="1:6" x14ac:dyDescent="0.25">
      <c r="A3" s="13"/>
      <c r="B3" s="14" t="s">
        <v>17</v>
      </c>
      <c r="C3" s="14" t="s">
        <v>132</v>
      </c>
      <c r="D3" s="15" t="s">
        <v>133</v>
      </c>
      <c r="E3" s="15" t="s">
        <v>133</v>
      </c>
      <c r="F3" s="16"/>
    </row>
    <row r="4" spans="1:6" x14ac:dyDescent="0.25">
      <c r="A4" s="17"/>
      <c r="B4" s="17" t="s">
        <v>18</v>
      </c>
      <c r="C4" s="17" t="s">
        <v>134</v>
      </c>
      <c r="D4" s="18" t="s">
        <v>135</v>
      </c>
      <c r="E4" s="18" t="s">
        <v>135</v>
      </c>
      <c r="F4" s="17"/>
    </row>
    <row r="5" spans="1:6" x14ac:dyDescent="0.25">
      <c r="A5" s="4"/>
      <c r="B5" s="4" t="s">
        <v>136</v>
      </c>
      <c r="C5" s="4" t="s">
        <v>137</v>
      </c>
      <c r="D5" s="15"/>
      <c r="E5" s="15"/>
      <c r="F5" s="4" t="s">
        <v>138</v>
      </c>
    </row>
    <row r="6" spans="1:6" x14ac:dyDescent="0.25">
      <c r="A6" s="17"/>
      <c r="B6" s="17" t="s">
        <v>137</v>
      </c>
      <c r="C6" s="17"/>
      <c r="D6" s="18"/>
      <c r="E6" s="18"/>
      <c r="F6" s="17"/>
    </row>
    <row r="7" spans="1:6" ht="17.25" x14ac:dyDescent="0.25">
      <c r="A7" s="4"/>
      <c r="B7" s="4" t="s">
        <v>4</v>
      </c>
      <c r="C7" s="4" t="s">
        <v>139</v>
      </c>
      <c r="D7" s="15" t="s">
        <v>140</v>
      </c>
      <c r="E7" s="15" t="s">
        <v>141</v>
      </c>
      <c r="F7" s="4" t="s">
        <v>142</v>
      </c>
    </row>
    <row r="8" spans="1:6" x14ac:dyDescent="0.25">
      <c r="A8" s="17"/>
      <c r="B8" s="17" t="s">
        <v>5</v>
      </c>
      <c r="C8" s="17" t="s">
        <v>143</v>
      </c>
      <c r="D8" s="18" t="s">
        <v>144</v>
      </c>
      <c r="E8" s="18" t="s">
        <v>145</v>
      </c>
      <c r="F8" s="17"/>
    </row>
    <row r="9" spans="1:6" ht="14.25" customHeight="1" x14ac:dyDescent="0.25">
      <c r="A9" s="9" t="s">
        <v>115</v>
      </c>
      <c r="B9" s="10" t="s">
        <v>146</v>
      </c>
      <c r="C9" s="10"/>
      <c r="D9" s="11"/>
      <c r="E9" s="11"/>
      <c r="F9" s="12"/>
    </row>
    <row r="10" spans="1:6" x14ac:dyDescent="0.25">
      <c r="A10" s="13"/>
      <c r="B10" s="14" t="s">
        <v>17</v>
      </c>
      <c r="C10" s="14" t="s">
        <v>132</v>
      </c>
      <c r="D10" s="15" t="s">
        <v>133</v>
      </c>
      <c r="E10" s="15" t="s">
        <v>133</v>
      </c>
      <c r="F10" s="16"/>
    </row>
    <row r="11" spans="1:6" x14ac:dyDescent="0.25">
      <c r="A11" s="17"/>
      <c r="B11" s="17" t="s">
        <v>18</v>
      </c>
      <c r="C11" s="17" t="s">
        <v>134</v>
      </c>
      <c r="D11" s="18" t="s">
        <v>135</v>
      </c>
      <c r="E11" s="18" t="s">
        <v>135</v>
      </c>
      <c r="F11" s="17"/>
    </row>
    <row r="12" spans="1:6" x14ac:dyDescent="0.25">
      <c r="A12" s="13"/>
      <c r="B12" s="14" t="s">
        <v>24</v>
      </c>
      <c r="C12" s="14" t="s">
        <v>147</v>
      </c>
      <c r="D12" s="15" t="s">
        <v>135</v>
      </c>
      <c r="E12" s="15" t="s">
        <v>135</v>
      </c>
      <c r="F12" s="16"/>
    </row>
    <row r="13" spans="1:6" x14ac:dyDescent="0.25">
      <c r="A13" s="13"/>
      <c r="B13" s="14" t="s">
        <v>136</v>
      </c>
      <c r="C13" s="14"/>
      <c r="D13" s="15"/>
      <c r="E13" s="15"/>
      <c r="F13" s="16"/>
    </row>
    <row r="14" spans="1:6" x14ac:dyDescent="0.25">
      <c r="A14" s="17"/>
      <c r="B14" s="17" t="s">
        <v>22</v>
      </c>
      <c r="C14" s="17" t="s">
        <v>148</v>
      </c>
      <c r="D14" s="18" t="s">
        <v>149</v>
      </c>
      <c r="E14" s="18" t="s">
        <v>150</v>
      </c>
      <c r="F14" s="17"/>
    </row>
    <row r="15" spans="1:6" x14ac:dyDescent="0.25">
      <c r="A15" s="13"/>
      <c r="B15" s="14" t="s">
        <v>23</v>
      </c>
      <c r="C15" s="14" t="s">
        <v>151</v>
      </c>
      <c r="D15" s="15" t="s">
        <v>149</v>
      </c>
      <c r="E15" s="19" t="s">
        <v>150</v>
      </c>
      <c r="F15" s="16"/>
    </row>
    <row r="16" spans="1:6" x14ac:dyDescent="0.25">
      <c r="A16" s="17"/>
      <c r="B16" s="17" t="s">
        <v>20</v>
      </c>
      <c r="C16" s="17" t="s">
        <v>152</v>
      </c>
      <c r="D16" s="20" t="s">
        <v>153</v>
      </c>
      <c r="E16" s="18" t="s">
        <v>154</v>
      </c>
      <c r="F16" s="17"/>
    </row>
    <row r="17" spans="1:6" x14ac:dyDescent="0.25">
      <c r="A17" s="13"/>
      <c r="B17" s="14" t="s">
        <v>21</v>
      </c>
      <c r="C17" s="21" t="s">
        <v>155</v>
      </c>
      <c r="D17" s="22" t="s">
        <v>156</v>
      </c>
      <c r="E17" s="15" t="s">
        <v>154</v>
      </c>
      <c r="F17" s="16"/>
    </row>
    <row r="18" spans="1:6" x14ac:dyDescent="0.25">
      <c r="A18" s="17"/>
      <c r="B18" s="17" t="s">
        <v>157</v>
      </c>
      <c r="C18" s="17" t="s">
        <v>158</v>
      </c>
      <c r="D18" s="20" t="s">
        <v>153</v>
      </c>
      <c r="E18" s="18" t="s">
        <v>154</v>
      </c>
      <c r="F18" s="17"/>
    </row>
    <row r="19" spans="1:6" x14ac:dyDescent="0.25">
      <c r="A19" s="13"/>
      <c r="B19" s="14" t="s">
        <v>159</v>
      </c>
      <c r="C19" s="14" t="s">
        <v>160</v>
      </c>
      <c r="D19" s="15" t="s">
        <v>149</v>
      </c>
      <c r="E19" s="15" t="s">
        <v>161</v>
      </c>
      <c r="F19" s="16"/>
    </row>
    <row r="20" spans="1:6" x14ac:dyDescent="0.25">
      <c r="A20" s="17"/>
      <c r="B20" s="17" t="s">
        <v>162</v>
      </c>
      <c r="C20" s="17" t="s">
        <v>163</v>
      </c>
      <c r="D20" s="18" t="s">
        <v>149</v>
      </c>
      <c r="E20" s="18" t="s">
        <v>161</v>
      </c>
      <c r="F20" s="17"/>
    </row>
    <row r="21" spans="1:6" x14ac:dyDescent="0.25">
      <c r="A21" s="13"/>
      <c r="B21" s="14" t="s">
        <v>164</v>
      </c>
      <c r="C21" s="14" t="s">
        <v>165</v>
      </c>
      <c r="D21" s="15" t="s">
        <v>153</v>
      </c>
      <c r="E21" s="15"/>
      <c r="F21" s="16"/>
    </row>
    <row r="22" spans="1:6" x14ac:dyDescent="0.25">
      <c r="A22" s="17"/>
      <c r="B22" s="17" t="s">
        <v>166</v>
      </c>
      <c r="C22" s="17" t="s">
        <v>167</v>
      </c>
      <c r="D22" s="23" t="s">
        <v>149</v>
      </c>
      <c r="E22" s="18"/>
      <c r="F22" s="17"/>
    </row>
    <row r="23" spans="1:6" x14ac:dyDescent="0.25">
      <c r="A23" s="9" t="s">
        <v>116</v>
      </c>
      <c r="B23" s="24" t="s">
        <v>168</v>
      </c>
      <c r="C23" s="24"/>
      <c r="D23" s="25"/>
      <c r="E23" s="25"/>
      <c r="F23" s="26"/>
    </row>
    <row r="24" spans="1:6" x14ac:dyDescent="0.25">
      <c r="A24" s="17"/>
      <c r="B24" s="17" t="s">
        <v>17</v>
      </c>
      <c r="C24" s="17" t="s">
        <v>17</v>
      </c>
      <c r="D24" s="18" t="s">
        <v>133</v>
      </c>
      <c r="E24" s="18" t="s">
        <v>133</v>
      </c>
      <c r="F24" s="17"/>
    </row>
    <row r="25" spans="1:6" x14ac:dyDescent="0.25">
      <c r="A25" s="13"/>
      <c r="B25" s="14" t="s">
        <v>42</v>
      </c>
      <c r="C25" s="14" t="s">
        <v>169</v>
      </c>
      <c r="D25" s="15" t="s">
        <v>135</v>
      </c>
      <c r="E25" s="15" t="s">
        <v>135</v>
      </c>
      <c r="F25" s="16"/>
    </row>
    <row r="26" spans="1:6" x14ac:dyDescent="0.25">
      <c r="A26" s="17"/>
      <c r="B26" s="17" t="s">
        <v>26</v>
      </c>
      <c r="C26" s="17" t="s">
        <v>170</v>
      </c>
      <c r="D26" s="18" t="s">
        <v>135</v>
      </c>
      <c r="E26" s="18" t="s">
        <v>135</v>
      </c>
      <c r="F26" s="17"/>
    </row>
    <row r="27" spans="1:6" x14ac:dyDescent="0.25">
      <c r="A27" s="13"/>
      <c r="B27" s="14" t="s">
        <v>27</v>
      </c>
      <c r="C27" s="14" t="s">
        <v>171</v>
      </c>
      <c r="D27" s="15" t="s">
        <v>135</v>
      </c>
      <c r="E27" s="15" t="s">
        <v>135</v>
      </c>
      <c r="F27" s="16"/>
    </row>
    <row r="28" spans="1:6" x14ac:dyDescent="0.25">
      <c r="A28" s="17"/>
      <c r="B28" s="17" t="s">
        <v>28</v>
      </c>
      <c r="C28" s="17" t="s">
        <v>172</v>
      </c>
      <c r="D28" s="18" t="s">
        <v>173</v>
      </c>
      <c r="E28" s="18" t="s">
        <v>174</v>
      </c>
      <c r="F28" s="17"/>
    </row>
    <row r="29" spans="1:6" x14ac:dyDescent="0.25">
      <c r="A29" s="13"/>
      <c r="B29" s="14" t="s">
        <v>29</v>
      </c>
      <c r="C29" s="14" t="s">
        <v>175</v>
      </c>
      <c r="D29" s="15" t="s">
        <v>176</v>
      </c>
      <c r="E29" s="15" t="s">
        <v>177</v>
      </c>
      <c r="F29" s="16"/>
    </row>
    <row r="30" spans="1:6" ht="17.25" x14ac:dyDescent="0.25">
      <c r="A30" s="17"/>
      <c r="B30" s="17" t="s">
        <v>30</v>
      </c>
      <c r="C30" s="17" t="s">
        <v>178</v>
      </c>
      <c r="D30" s="18" t="s">
        <v>179</v>
      </c>
      <c r="E30" s="18" t="s">
        <v>180</v>
      </c>
      <c r="F30" s="17"/>
    </row>
    <row r="31" spans="1:6" x14ac:dyDescent="0.25">
      <c r="A31" s="13"/>
      <c r="B31" s="14" t="s">
        <v>181</v>
      </c>
      <c r="C31" s="14" t="s">
        <v>182</v>
      </c>
      <c r="D31" s="15" t="s">
        <v>183</v>
      </c>
      <c r="E31" s="15" t="s">
        <v>184</v>
      </c>
      <c r="F31" s="16"/>
    </row>
    <row r="32" spans="1:6" x14ac:dyDescent="0.25">
      <c r="A32" s="17"/>
      <c r="B32" s="17" t="s">
        <v>185</v>
      </c>
      <c r="C32" s="17" t="s">
        <v>186</v>
      </c>
      <c r="D32" s="18" t="s">
        <v>135</v>
      </c>
      <c r="E32" s="18" t="s">
        <v>135</v>
      </c>
      <c r="F32" s="17"/>
    </row>
    <row r="33" spans="1:6" x14ac:dyDescent="0.25">
      <c r="A33" s="13"/>
      <c r="B33" s="14" t="s">
        <v>33</v>
      </c>
      <c r="C33" s="14" t="s">
        <v>187</v>
      </c>
      <c r="D33" s="15" t="s">
        <v>188</v>
      </c>
      <c r="E33" s="15" t="s">
        <v>189</v>
      </c>
      <c r="F33" s="16"/>
    </row>
    <row r="34" spans="1:6" x14ac:dyDescent="0.25">
      <c r="A34" s="17"/>
      <c r="B34" s="17" t="s">
        <v>34</v>
      </c>
      <c r="C34" s="17" t="s">
        <v>190</v>
      </c>
      <c r="D34" s="18" t="s">
        <v>191</v>
      </c>
      <c r="E34" s="18" t="s">
        <v>191</v>
      </c>
      <c r="F34" s="17"/>
    </row>
    <row r="35" spans="1:6" x14ac:dyDescent="0.25">
      <c r="A35" s="13"/>
      <c r="B35" s="14" t="s">
        <v>35</v>
      </c>
      <c r="C35" s="14" t="s">
        <v>192</v>
      </c>
      <c r="D35" s="15" t="s">
        <v>191</v>
      </c>
      <c r="E35" s="15" t="s">
        <v>191</v>
      </c>
      <c r="F35" s="16"/>
    </row>
    <row r="36" spans="1:6" x14ac:dyDescent="0.25">
      <c r="A36" s="17"/>
      <c r="B36" s="17" t="s">
        <v>36</v>
      </c>
      <c r="C36" s="17" t="s">
        <v>193</v>
      </c>
      <c r="D36" s="18" t="s">
        <v>194</v>
      </c>
      <c r="E36" s="18" t="s">
        <v>194</v>
      </c>
      <c r="F36" s="17"/>
    </row>
    <row r="37" spans="1:6" x14ac:dyDescent="0.25">
      <c r="A37" s="13"/>
      <c r="B37" s="14" t="s">
        <v>37</v>
      </c>
      <c r="C37" s="14" t="s">
        <v>277</v>
      </c>
      <c r="D37" s="15" t="s">
        <v>195</v>
      </c>
      <c r="E37" s="15"/>
      <c r="F37" s="16"/>
    </row>
    <row r="38" spans="1:6" x14ac:dyDescent="0.25">
      <c r="A38" s="17"/>
      <c r="B38" s="17" t="s">
        <v>38</v>
      </c>
      <c r="C38" s="17" t="s">
        <v>196</v>
      </c>
      <c r="D38" s="18" t="s">
        <v>153</v>
      </c>
      <c r="E38" s="18" t="s">
        <v>154</v>
      </c>
      <c r="F38" s="17"/>
    </row>
    <row r="39" spans="1:6" x14ac:dyDescent="0.25">
      <c r="A39" s="13"/>
      <c r="B39" s="14" t="s">
        <v>39</v>
      </c>
      <c r="C39" s="14" t="s">
        <v>197</v>
      </c>
      <c r="D39" s="15" t="s">
        <v>153</v>
      </c>
      <c r="E39" s="15" t="s">
        <v>154</v>
      </c>
      <c r="F39" s="16"/>
    </row>
    <row r="40" spans="1:6" x14ac:dyDescent="0.25">
      <c r="A40" s="17"/>
      <c r="B40" s="17" t="s">
        <v>40</v>
      </c>
      <c r="C40" s="17" t="s">
        <v>198</v>
      </c>
      <c r="D40" s="18" t="s">
        <v>199</v>
      </c>
      <c r="E40" s="18" t="s">
        <v>200</v>
      </c>
      <c r="F40" s="17"/>
    </row>
    <row r="41" spans="1:6" x14ac:dyDescent="0.25">
      <c r="A41" s="13"/>
      <c r="B41" s="14" t="s">
        <v>41</v>
      </c>
      <c r="C41" s="14" t="s">
        <v>201</v>
      </c>
      <c r="D41" s="15" t="s">
        <v>199</v>
      </c>
      <c r="E41" s="15" t="s">
        <v>200</v>
      </c>
      <c r="F41" s="16"/>
    </row>
    <row r="42" spans="1:6" x14ac:dyDescent="0.25">
      <c r="A42" s="9" t="s">
        <v>202</v>
      </c>
      <c r="B42" s="24" t="s">
        <v>203</v>
      </c>
      <c r="C42" s="24"/>
      <c r="D42" s="25"/>
      <c r="E42" s="25"/>
      <c r="F42" s="26"/>
    </row>
    <row r="43" spans="1:6" x14ac:dyDescent="0.25">
      <c r="A43" s="13"/>
      <c r="B43" s="14" t="s">
        <v>17</v>
      </c>
      <c r="C43" s="14" t="s">
        <v>204</v>
      </c>
      <c r="D43" s="15" t="s">
        <v>205</v>
      </c>
      <c r="E43" s="15" t="s">
        <v>205</v>
      </c>
      <c r="F43" s="16"/>
    </row>
    <row r="44" spans="1:6" ht="17.25" x14ac:dyDescent="0.25">
      <c r="A44" s="17"/>
      <c r="B44" s="17" t="s">
        <v>44</v>
      </c>
      <c r="C44" s="17" t="s">
        <v>206</v>
      </c>
      <c r="D44" s="18" t="s">
        <v>140</v>
      </c>
      <c r="E44" s="18" t="s">
        <v>141</v>
      </c>
      <c r="F44" s="17" t="s">
        <v>207</v>
      </c>
    </row>
    <row r="45" spans="1:6" x14ac:dyDescent="0.25">
      <c r="A45" s="4"/>
      <c r="B45" s="4" t="s">
        <v>45</v>
      </c>
      <c r="C45" s="4" t="s">
        <v>208</v>
      </c>
      <c r="D45" s="27" t="s">
        <v>205</v>
      </c>
      <c r="E45" s="15" t="s">
        <v>205</v>
      </c>
      <c r="F45" s="28"/>
    </row>
    <row r="46" spans="1:6" ht="17.25" x14ac:dyDescent="0.25">
      <c r="A46" s="17"/>
      <c r="B46" s="17" t="s">
        <v>46</v>
      </c>
      <c r="C46" s="17" t="s">
        <v>209</v>
      </c>
      <c r="D46" s="18" t="s">
        <v>140</v>
      </c>
      <c r="E46" s="18" t="s">
        <v>141</v>
      </c>
      <c r="F46" s="17" t="s">
        <v>207</v>
      </c>
    </row>
    <row r="47" spans="1:6" x14ac:dyDescent="0.25">
      <c r="A47" s="4"/>
      <c r="B47" s="4" t="s">
        <v>47</v>
      </c>
      <c r="C47" s="4" t="s">
        <v>210</v>
      </c>
      <c r="D47" s="15" t="s">
        <v>205</v>
      </c>
      <c r="E47" s="15" t="s">
        <v>205</v>
      </c>
      <c r="F47" s="4"/>
    </row>
    <row r="48" spans="1:6" ht="17.25" x14ac:dyDescent="0.25">
      <c r="A48" s="17"/>
      <c r="B48" s="17" t="s">
        <v>48</v>
      </c>
      <c r="C48" s="17" t="s">
        <v>211</v>
      </c>
      <c r="D48" s="18" t="s">
        <v>140</v>
      </c>
      <c r="E48" s="18" t="s">
        <v>141</v>
      </c>
      <c r="F48" s="17" t="s">
        <v>207</v>
      </c>
    </row>
    <row r="49" spans="1:6" ht="17.25" x14ac:dyDescent="0.25">
      <c r="A49" s="4"/>
      <c r="B49" s="4" t="s">
        <v>49</v>
      </c>
      <c r="C49" s="4" t="s">
        <v>212</v>
      </c>
      <c r="D49" s="15" t="s">
        <v>140</v>
      </c>
      <c r="E49" s="15" t="s">
        <v>141</v>
      </c>
      <c r="F49" s="4" t="s">
        <v>207</v>
      </c>
    </row>
    <row r="50" spans="1:6" x14ac:dyDescent="0.25">
      <c r="A50" s="17"/>
      <c r="B50" s="17" t="s">
        <v>50</v>
      </c>
      <c r="C50" s="17" t="s">
        <v>213</v>
      </c>
      <c r="D50" s="18" t="s">
        <v>144</v>
      </c>
      <c r="E50" s="18" t="s">
        <v>145</v>
      </c>
      <c r="F50" s="17"/>
    </row>
    <row r="51" spans="1:6" x14ac:dyDescent="0.25">
      <c r="A51" s="4"/>
      <c r="B51" s="4" t="s">
        <v>51</v>
      </c>
      <c r="C51" s="4" t="s">
        <v>214</v>
      </c>
      <c r="D51" s="15" t="s">
        <v>205</v>
      </c>
      <c r="E51" s="15" t="s">
        <v>205</v>
      </c>
      <c r="F51" s="4"/>
    </row>
    <row r="52" spans="1:6" x14ac:dyDescent="0.25">
      <c r="A52" s="17"/>
      <c r="B52" s="17" t="s">
        <v>52</v>
      </c>
      <c r="C52" s="17" t="s">
        <v>215</v>
      </c>
      <c r="D52" s="18" t="s">
        <v>144</v>
      </c>
      <c r="E52" s="18" t="s">
        <v>145</v>
      </c>
      <c r="F52" s="17"/>
    </row>
    <row r="53" spans="1:6" x14ac:dyDescent="0.25">
      <c r="A53" s="4"/>
      <c r="B53" s="4" t="s">
        <v>53</v>
      </c>
      <c r="C53" s="4" t="s">
        <v>216</v>
      </c>
      <c r="D53" s="15" t="s">
        <v>205</v>
      </c>
      <c r="E53" s="15" t="s">
        <v>205</v>
      </c>
      <c r="F53" s="4"/>
    </row>
    <row r="54" spans="1:6" x14ac:dyDescent="0.25">
      <c r="A54" s="17"/>
      <c r="B54" s="17" t="s">
        <v>54</v>
      </c>
      <c r="C54" s="17" t="s">
        <v>217</v>
      </c>
      <c r="D54" s="18" t="s">
        <v>144</v>
      </c>
      <c r="E54" s="18" t="s">
        <v>145</v>
      </c>
      <c r="F54" s="17"/>
    </row>
    <row r="55" spans="1:6" x14ac:dyDescent="0.25">
      <c r="A55" s="4"/>
      <c r="B55" s="4" t="s">
        <v>55</v>
      </c>
      <c r="C55" s="4" t="s">
        <v>218</v>
      </c>
      <c r="D55" s="15" t="s">
        <v>144</v>
      </c>
      <c r="E55" s="15" t="s">
        <v>145</v>
      </c>
      <c r="F55" s="4"/>
    </row>
    <row r="56" spans="1:6" x14ac:dyDescent="0.25">
      <c r="A56" s="17"/>
      <c r="B56" s="17" t="s">
        <v>56</v>
      </c>
      <c r="C56" s="17" t="s">
        <v>219</v>
      </c>
      <c r="D56" s="18" t="s">
        <v>195</v>
      </c>
      <c r="E56" s="18" t="s">
        <v>195</v>
      </c>
      <c r="F56" s="17"/>
    </row>
    <row r="57" spans="1:6" x14ac:dyDescent="0.25">
      <c r="A57" s="4"/>
      <c r="B57" s="4" t="s">
        <v>57</v>
      </c>
      <c r="C57" s="4" t="s">
        <v>220</v>
      </c>
      <c r="D57" s="15" t="s">
        <v>195</v>
      </c>
      <c r="E57" s="15" t="s">
        <v>195</v>
      </c>
      <c r="F57" s="4"/>
    </row>
    <row r="58" spans="1:6" x14ac:dyDescent="0.25">
      <c r="A58" s="17"/>
      <c r="B58" s="17" t="s">
        <v>58</v>
      </c>
      <c r="C58" s="17" t="s">
        <v>278</v>
      </c>
      <c r="D58" s="18" t="s">
        <v>144</v>
      </c>
      <c r="E58" s="18" t="s">
        <v>145</v>
      </c>
      <c r="F58" s="17" t="s">
        <v>221</v>
      </c>
    </row>
    <row r="59" spans="1:6" x14ac:dyDescent="0.25">
      <c r="A59" s="4"/>
      <c r="B59" s="4" t="s">
        <v>59</v>
      </c>
      <c r="C59" s="4" t="s">
        <v>222</v>
      </c>
      <c r="D59" s="15" t="s">
        <v>195</v>
      </c>
      <c r="E59" s="15" t="s">
        <v>195</v>
      </c>
      <c r="F59" s="4" t="s">
        <v>221</v>
      </c>
    </row>
    <row r="60" spans="1:6" x14ac:dyDescent="0.25">
      <c r="A60" s="9" t="s">
        <v>120</v>
      </c>
      <c r="B60" s="24" t="s">
        <v>223</v>
      </c>
      <c r="C60" s="9"/>
      <c r="D60" s="29"/>
      <c r="E60" s="29"/>
      <c r="F60" s="30"/>
    </row>
    <row r="61" spans="1:6" x14ac:dyDescent="0.25">
      <c r="A61" s="31" t="s">
        <v>224</v>
      </c>
      <c r="B61" s="4" t="s">
        <v>61</v>
      </c>
      <c r="C61" s="4" t="s">
        <v>225</v>
      </c>
      <c r="D61" s="15" t="s">
        <v>153</v>
      </c>
      <c r="E61" s="15" t="s">
        <v>154</v>
      </c>
      <c r="F61" s="4"/>
    </row>
    <row r="62" spans="1:6" x14ac:dyDescent="0.25">
      <c r="A62" s="17"/>
      <c r="B62" s="17" t="s">
        <v>62</v>
      </c>
      <c r="C62" s="17" t="s">
        <v>226</v>
      </c>
      <c r="D62" s="18" t="s">
        <v>205</v>
      </c>
      <c r="E62" s="18" t="s">
        <v>205</v>
      </c>
      <c r="F62" s="17"/>
    </row>
    <row r="63" spans="1:6" x14ac:dyDescent="0.25">
      <c r="A63" s="4"/>
      <c r="B63" s="4" t="s">
        <v>63</v>
      </c>
      <c r="C63" s="4" t="s">
        <v>227</v>
      </c>
      <c r="D63" s="15" t="s">
        <v>153</v>
      </c>
      <c r="E63" s="15" t="s">
        <v>154</v>
      </c>
      <c r="F63" s="4"/>
    </row>
    <row r="64" spans="1:6" x14ac:dyDescent="0.25">
      <c r="A64" s="17"/>
      <c r="B64" s="17" t="s">
        <v>64</v>
      </c>
      <c r="C64" s="17" t="s">
        <v>228</v>
      </c>
      <c r="D64" s="18" t="s">
        <v>205</v>
      </c>
      <c r="E64" s="18" t="s">
        <v>205</v>
      </c>
      <c r="F64" s="17"/>
    </row>
    <row r="65" spans="1:6" x14ac:dyDescent="0.25">
      <c r="A65" s="4"/>
      <c r="B65" s="4" t="s">
        <v>65</v>
      </c>
      <c r="C65" s="4" t="s">
        <v>229</v>
      </c>
      <c r="D65" s="15" t="s">
        <v>153</v>
      </c>
      <c r="E65" s="15" t="s">
        <v>154</v>
      </c>
      <c r="F65" s="4"/>
    </row>
    <row r="66" spans="1:6" x14ac:dyDescent="0.25">
      <c r="A66" s="17"/>
      <c r="B66" s="17" t="s">
        <v>66</v>
      </c>
      <c r="C66" s="17" t="s">
        <v>230</v>
      </c>
      <c r="D66" s="20" t="s">
        <v>153</v>
      </c>
      <c r="E66" s="18" t="s">
        <v>154</v>
      </c>
      <c r="F66" s="17"/>
    </row>
    <row r="67" spans="1:6" x14ac:dyDescent="0.25">
      <c r="A67" s="4"/>
      <c r="B67" s="4" t="s">
        <v>67</v>
      </c>
      <c r="C67" s="32" t="s">
        <v>231</v>
      </c>
      <c r="D67" s="22" t="s">
        <v>156</v>
      </c>
      <c r="E67" s="15" t="s">
        <v>232</v>
      </c>
      <c r="F67" s="4"/>
    </row>
    <row r="68" spans="1:6" x14ac:dyDescent="0.25">
      <c r="A68" s="17"/>
      <c r="B68" s="17" t="s">
        <v>68</v>
      </c>
      <c r="C68" s="17" t="s">
        <v>233</v>
      </c>
      <c r="D68" s="18" t="s">
        <v>205</v>
      </c>
      <c r="E68" s="18" t="s">
        <v>205</v>
      </c>
      <c r="F68" s="17"/>
    </row>
    <row r="69" spans="1:6" x14ac:dyDescent="0.25">
      <c r="A69" s="4"/>
      <c r="B69" s="4" t="s">
        <v>69</v>
      </c>
      <c r="C69" s="4" t="s">
        <v>234</v>
      </c>
      <c r="D69" s="15" t="s">
        <v>156</v>
      </c>
      <c r="E69" s="15" t="s">
        <v>232</v>
      </c>
      <c r="F69" s="4"/>
    </row>
    <row r="70" spans="1:6" x14ac:dyDescent="0.25">
      <c r="A70" s="17"/>
      <c r="B70" s="17" t="s">
        <v>70</v>
      </c>
      <c r="C70" s="17" t="s">
        <v>235</v>
      </c>
      <c r="D70" s="18" t="s">
        <v>205</v>
      </c>
      <c r="E70" s="18" t="s">
        <v>205</v>
      </c>
      <c r="F70" s="17"/>
    </row>
    <row r="71" spans="1:6" x14ac:dyDescent="0.25">
      <c r="A71" s="4"/>
      <c r="B71" s="4" t="s">
        <v>71</v>
      </c>
      <c r="C71" s="4" t="s">
        <v>236</v>
      </c>
      <c r="D71" s="15" t="s">
        <v>156</v>
      </c>
      <c r="E71" s="15" t="s">
        <v>232</v>
      </c>
      <c r="F71" s="4"/>
    </row>
    <row r="72" spans="1:6" x14ac:dyDescent="0.25">
      <c r="A72" s="9" t="s">
        <v>237</v>
      </c>
      <c r="B72" s="9" t="s">
        <v>238</v>
      </c>
      <c r="C72" s="9"/>
      <c r="D72" s="29"/>
      <c r="E72" s="29"/>
      <c r="F72" s="30"/>
    </row>
    <row r="73" spans="1:6" x14ac:dyDescent="0.25">
      <c r="A73" s="17"/>
      <c r="B73" s="17" t="s">
        <v>79</v>
      </c>
      <c r="C73" s="17" t="s">
        <v>239</v>
      </c>
      <c r="D73" s="18" t="s">
        <v>153</v>
      </c>
      <c r="E73" s="18" t="s">
        <v>154</v>
      </c>
      <c r="F73" s="17"/>
    </row>
    <row r="74" spans="1:6" x14ac:dyDescent="0.25">
      <c r="A74" s="4"/>
      <c r="B74" s="4" t="s">
        <v>80</v>
      </c>
      <c r="C74" s="4" t="s">
        <v>240</v>
      </c>
      <c r="D74" s="15" t="s">
        <v>153</v>
      </c>
      <c r="E74" s="15" t="s">
        <v>154</v>
      </c>
      <c r="F74" s="4"/>
    </row>
    <row r="75" spans="1:6" x14ac:dyDescent="0.25">
      <c r="A75" s="17"/>
      <c r="B75" s="17" t="s">
        <v>81</v>
      </c>
      <c r="C75" s="17" t="s">
        <v>241</v>
      </c>
      <c r="D75" s="18" t="s">
        <v>153</v>
      </c>
      <c r="E75" s="18" t="s">
        <v>154</v>
      </c>
      <c r="F75" s="17"/>
    </row>
    <row r="76" spans="1:6" x14ac:dyDescent="0.25">
      <c r="A76" s="4"/>
      <c r="B76" s="4" t="s">
        <v>82</v>
      </c>
      <c r="C76" s="4" t="s">
        <v>242</v>
      </c>
      <c r="D76" s="15" t="s">
        <v>153</v>
      </c>
      <c r="E76" s="15" t="s">
        <v>154</v>
      </c>
      <c r="F76" s="4"/>
    </row>
    <row r="77" spans="1:6" x14ac:dyDescent="0.25">
      <c r="A77" s="17"/>
      <c r="B77" s="17" t="s">
        <v>83</v>
      </c>
      <c r="C77" s="17" t="s">
        <v>243</v>
      </c>
      <c r="D77" s="18" t="s">
        <v>153</v>
      </c>
      <c r="E77" s="18" t="s">
        <v>154</v>
      </c>
      <c r="F77" s="17"/>
    </row>
    <row r="78" spans="1:6" x14ac:dyDescent="0.25">
      <c r="A78" s="4"/>
      <c r="B78" s="4" t="s">
        <v>84</v>
      </c>
      <c r="C78" s="4" t="s">
        <v>279</v>
      </c>
      <c r="D78" s="15" t="s">
        <v>153</v>
      </c>
      <c r="E78" s="15" t="s">
        <v>154</v>
      </c>
      <c r="F78" s="4"/>
    </row>
    <row r="79" spans="1:6" x14ac:dyDescent="0.25">
      <c r="A79" s="17"/>
      <c r="B79" s="17" t="s">
        <v>73</v>
      </c>
      <c r="C79" s="17" t="s">
        <v>244</v>
      </c>
      <c r="D79" s="18" t="s">
        <v>195</v>
      </c>
      <c r="E79" s="18" t="s">
        <v>195</v>
      </c>
      <c r="F79" s="17"/>
    </row>
    <row r="80" spans="1:6" x14ac:dyDescent="0.25">
      <c r="A80" s="4"/>
      <c r="B80" s="4" t="s">
        <v>74</v>
      </c>
      <c r="C80" s="4" t="s">
        <v>245</v>
      </c>
      <c r="D80" s="15" t="s">
        <v>195</v>
      </c>
      <c r="E80" s="15" t="s">
        <v>195</v>
      </c>
      <c r="F80" s="4"/>
    </row>
    <row r="81" spans="1:6" x14ac:dyDescent="0.25">
      <c r="A81" s="17"/>
      <c r="B81" s="17" t="s">
        <v>75</v>
      </c>
      <c r="C81" s="17" t="s">
        <v>246</v>
      </c>
      <c r="D81" s="18" t="s">
        <v>195</v>
      </c>
      <c r="E81" s="20" t="s">
        <v>195</v>
      </c>
      <c r="F81" s="17"/>
    </row>
    <row r="82" spans="1:6" x14ac:dyDescent="0.25">
      <c r="A82" s="4"/>
      <c r="B82" s="4" t="s">
        <v>76</v>
      </c>
      <c r="C82" s="4" t="s">
        <v>247</v>
      </c>
      <c r="D82" s="15" t="s">
        <v>195</v>
      </c>
      <c r="E82" s="15" t="s">
        <v>195</v>
      </c>
      <c r="F82" s="4"/>
    </row>
    <row r="83" spans="1:6" x14ac:dyDescent="0.25">
      <c r="A83" s="17"/>
      <c r="B83" s="17" t="s">
        <v>77</v>
      </c>
      <c r="C83" s="17" t="s">
        <v>248</v>
      </c>
      <c r="D83" s="18" t="s">
        <v>195</v>
      </c>
      <c r="E83" s="18" t="s">
        <v>195</v>
      </c>
      <c r="F83" s="17"/>
    </row>
    <row r="84" spans="1:6" x14ac:dyDescent="0.25">
      <c r="A84" s="4"/>
      <c r="B84" s="4" t="s">
        <v>78</v>
      </c>
      <c r="C84" s="4" t="s">
        <v>249</v>
      </c>
      <c r="D84" s="15" t="s">
        <v>195</v>
      </c>
      <c r="E84" s="15" t="s">
        <v>195</v>
      </c>
      <c r="F84" s="4"/>
    </row>
    <row r="85" spans="1:6" x14ac:dyDescent="0.25">
      <c r="A85" s="9" t="s">
        <v>122</v>
      </c>
      <c r="B85" s="24" t="s">
        <v>250</v>
      </c>
      <c r="C85" s="24"/>
      <c r="D85" s="29"/>
      <c r="E85" s="29"/>
      <c r="F85" s="30"/>
    </row>
    <row r="86" spans="1:6" x14ac:dyDescent="0.25">
      <c r="A86" s="17"/>
      <c r="B86" s="17" t="s">
        <v>90</v>
      </c>
      <c r="C86" s="17" t="s">
        <v>251</v>
      </c>
      <c r="D86" s="18" t="s">
        <v>135</v>
      </c>
      <c r="E86" s="18" t="s">
        <v>135</v>
      </c>
      <c r="F86" s="17"/>
    </row>
    <row r="87" spans="1:6" x14ac:dyDescent="0.25">
      <c r="A87" s="4"/>
      <c r="B87" s="4" t="s">
        <v>86</v>
      </c>
      <c r="C87" s="4" t="s">
        <v>252</v>
      </c>
      <c r="D87" s="15" t="s">
        <v>253</v>
      </c>
      <c r="E87" s="15" t="s">
        <v>253</v>
      </c>
      <c r="F87" s="4"/>
    </row>
    <row r="88" spans="1:6" x14ac:dyDescent="0.25">
      <c r="A88" s="17"/>
      <c r="B88" s="17" t="s">
        <v>87</v>
      </c>
      <c r="C88" s="17" t="s">
        <v>254</v>
      </c>
      <c r="D88" s="20" t="s">
        <v>253</v>
      </c>
      <c r="E88" s="20" t="s">
        <v>253</v>
      </c>
      <c r="F88" s="17"/>
    </row>
    <row r="89" spans="1:6" x14ac:dyDescent="0.25">
      <c r="A89" s="4"/>
      <c r="B89" s="4" t="s">
        <v>88</v>
      </c>
      <c r="C89" s="4" t="s">
        <v>280</v>
      </c>
      <c r="D89" s="15" t="s">
        <v>253</v>
      </c>
      <c r="E89" s="15" t="s">
        <v>253</v>
      </c>
      <c r="F89" s="4"/>
    </row>
    <row r="90" spans="1:6" x14ac:dyDescent="0.25">
      <c r="A90" s="17"/>
      <c r="B90" s="17" t="s">
        <v>89</v>
      </c>
      <c r="C90" s="17" t="s">
        <v>255</v>
      </c>
      <c r="D90" s="20" t="s">
        <v>253</v>
      </c>
      <c r="E90" s="20" t="s">
        <v>253</v>
      </c>
      <c r="F90" s="17"/>
    </row>
    <row r="91" spans="1:6" x14ac:dyDescent="0.25">
      <c r="A91" s="9" t="s">
        <v>256</v>
      </c>
      <c r="B91" s="24" t="s">
        <v>257</v>
      </c>
      <c r="C91" s="24"/>
      <c r="D91" s="25"/>
      <c r="E91" s="25"/>
      <c r="F91" s="26"/>
    </row>
    <row r="92" spans="1:6" x14ac:dyDescent="0.25">
      <c r="A92" s="14"/>
      <c r="B92" s="14" t="s">
        <v>92</v>
      </c>
      <c r="C92" s="14" t="s">
        <v>258</v>
      </c>
      <c r="D92" s="15" t="s">
        <v>153</v>
      </c>
      <c r="E92" s="15" t="s">
        <v>154</v>
      </c>
      <c r="F92" s="14"/>
    </row>
    <row r="93" spans="1:6" x14ac:dyDescent="0.25">
      <c r="A93" s="33"/>
      <c r="B93" s="33" t="s">
        <v>93</v>
      </c>
      <c r="C93" s="33" t="s">
        <v>259</v>
      </c>
      <c r="D93" s="18" t="s">
        <v>153</v>
      </c>
      <c r="E93" s="18" t="s">
        <v>154</v>
      </c>
      <c r="F93" s="33"/>
    </row>
    <row r="94" spans="1:6" x14ac:dyDescent="0.25">
      <c r="A94" s="14"/>
      <c r="B94" s="14" t="s">
        <v>94</v>
      </c>
      <c r="C94" s="14" t="s">
        <v>260</v>
      </c>
      <c r="D94" s="15" t="s">
        <v>153</v>
      </c>
      <c r="E94" s="15" t="s">
        <v>154</v>
      </c>
      <c r="F94" s="14"/>
    </row>
    <row r="95" spans="1:6" x14ac:dyDescent="0.25">
      <c r="A95" s="33"/>
      <c r="B95" s="33" t="s">
        <v>95</v>
      </c>
      <c r="C95" s="33" t="s">
        <v>261</v>
      </c>
      <c r="D95" s="18" t="s">
        <v>153</v>
      </c>
      <c r="E95" s="18" t="s">
        <v>154</v>
      </c>
      <c r="F95" s="33"/>
    </row>
    <row r="96" spans="1:6" x14ac:dyDescent="0.25">
      <c r="A96" s="14"/>
      <c r="B96" s="14" t="s">
        <v>96</v>
      </c>
      <c r="C96" s="21" t="s">
        <v>262</v>
      </c>
      <c r="D96" s="15" t="s">
        <v>156</v>
      </c>
      <c r="E96" s="15" t="s">
        <v>232</v>
      </c>
      <c r="F96" s="14"/>
    </row>
    <row r="97" spans="1:6" x14ac:dyDescent="0.25">
      <c r="A97" s="33"/>
      <c r="B97" s="33" t="s">
        <v>97</v>
      </c>
      <c r="C97" s="34" t="s">
        <v>263</v>
      </c>
      <c r="D97" s="18" t="s">
        <v>156</v>
      </c>
      <c r="E97" s="18" t="s">
        <v>232</v>
      </c>
      <c r="F97" s="33"/>
    </row>
    <row r="98" spans="1:6" x14ac:dyDescent="0.25">
      <c r="A98" s="9" t="s">
        <v>124</v>
      </c>
      <c r="B98" s="24" t="s">
        <v>264</v>
      </c>
      <c r="C98" s="24"/>
      <c r="D98" s="25"/>
      <c r="E98" s="25"/>
      <c r="F98" s="26"/>
    </row>
    <row r="99" spans="1:6" x14ac:dyDescent="0.25">
      <c r="A99" s="15"/>
      <c r="B99" s="14" t="s">
        <v>100</v>
      </c>
      <c r="C99" s="14" t="s">
        <v>281</v>
      </c>
      <c r="D99" s="15" t="s">
        <v>149</v>
      </c>
      <c r="E99" s="22" t="s">
        <v>265</v>
      </c>
      <c r="F99" s="16"/>
    </row>
    <row r="100" spans="1:6" x14ac:dyDescent="0.25">
      <c r="A100" s="17"/>
      <c r="B100" s="33" t="s">
        <v>101</v>
      </c>
      <c r="C100" s="33" t="s">
        <v>282</v>
      </c>
      <c r="D100" s="18" t="s">
        <v>149</v>
      </c>
      <c r="E100" s="35" t="s">
        <v>265</v>
      </c>
      <c r="F100" s="17"/>
    </row>
    <row r="101" spans="1:6" x14ac:dyDescent="0.25">
      <c r="A101" s="4"/>
      <c r="B101" s="14" t="s">
        <v>102</v>
      </c>
      <c r="C101" s="14" t="s">
        <v>266</v>
      </c>
      <c r="D101" s="27" t="s">
        <v>149</v>
      </c>
      <c r="E101" s="22" t="s">
        <v>265</v>
      </c>
      <c r="F101" s="28"/>
    </row>
    <row r="102" spans="1:6" x14ac:dyDescent="0.25">
      <c r="A102" s="17"/>
      <c r="B102" s="33" t="s">
        <v>103</v>
      </c>
      <c r="C102" s="33" t="s">
        <v>267</v>
      </c>
      <c r="D102" s="18" t="s">
        <v>149</v>
      </c>
      <c r="E102" s="35" t="s">
        <v>265</v>
      </c>
      <c r="F102" s="17"/>
    </row>
    <row r="103" spans="1:6" x14ac:dyDescent="0.25">
      <c r="A103" s="4"/>
      <c r="B103" s="14" t="s">
        <v>104</v>
      </c>
      <c r="C103" s="14" t="s">
        <v>268</v>
      </c>
      <c r="D103" s="15" t="s">
        <v>149</v>
      </c>
      <c r="E103" s="22" t="s">
        <v>265</v>
      </c>
      <c r="F103" s="4"/>
    </row>
    <row r="104" spans="1:6" x14ac:dyDescent="0.25">
      <c r="A104" s="17"/>
      <c r="B104" s="33" t="s">
        <v>105</v>
      </c>
      <c r="C104" s="33" t="s">
        <v>269</v>
      </c>
      <c r="D104" s="18" t="s">
        <v>149</v>
      </c>
      <c r="E104" s="35" t="s">
        <v>265</v>
      </c>
      <c r="F104" s="17"/>
    </row>
    <row r="105" spans="1:6" x14ac:dyDescent="0.25">
      <c r="A105" s="4"/>
      <c r="B105" s="14" t="s">
        <v>106</v>
      </c>
      <c r="C105" s="14" t="s">
        <v>270</v>
      </c>
      <c r="D105" s="15" t="s">
        <v>149</v>
      </c>
      <c r="E105" s="22" t="s">
        <v>265</v>
      </c>
      <c r="F105" s="4"/>
    </row>
    <row r="106" spans="1:6" x14ac:dyDescent="0.25">
      <c r="A106" s="17"/>
      <c r="B106" s="33" t="s">
        <v>107</v>
      </c>
      <c r="C106" s="33" t="s">
        <v>271</v>
      </c>
      <c r="D106" s="18" t="s">
        <v>149</v>
      </c>
      <c r="E106" s="35" t="s">
        <v>265</v>
      </c>
      <c r="F106" s="17"/>
    </row>
    <row r="107" spans="1:6" x14ac:dyDescent="0.25">
      <c r="A107" s="4"/>
      <c r="B107" s="14" t="s">
        <v>108</v>
      </c>
      <c r="C107" s="14" t="s">
        <v>272</v>
      </c>
      <c r="D107" s="15" t="s">
        <v>149</v>
      </c>
      <c r="E107" s="22" t="s">
        <v>265</v>
      </c>
      <c r="F107" s="4"/>
    </row>
    <row r="108" spans="1:6" x14ac:dyDescent="0.25">
      <c r="A108" s="17"/>
      <c r="B108" s="33" t="s">
        <v>109</v>
      </c>
      <c r="C108" s="33" t="s">
        <v>273</v>
      </c>
      <c r="D108" s="18" t="s">
        <v>149</v>
      </c>
      <c r="E108" s="35" t="s">
        <v>265</v>
      </c>
      <c r="F108" s="17"/>
    </row>
    <row r="109" spans="1:6" x14ac:dyDescent="0.25">
      <c r="A109" s="4"/>
      <c r="B109" s="14" t="s">
        <v>110</v>
      </c>
      <c r="C109" s="14" t="s">
        <v>274</v>
      </c>
      <c r="D109" s="15" t="s">
        <v>149</v>
      </c>
      <c r="E109" s="22" t="s">
        <v>265</v>
      </c>
      <c r="F109" s="4"/>
    </row>
    <row r="110" spans="1:6" x14ac:dyDescent="0.25">
      <c r="A110" s="17"/>
      <c r="B110" s="33" t="s">
        <v>111</v>
      </c>
      <c r="C110" s="33" t="s">
        <v>275</v>
      </c>
      <c r="D110" s="18" t="s">
        <v>149</v>
      </c>
      <c r="E110" s="35" t="s">
        <v>265</v>
      </c>
      <c r="F110" s="1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1"/>
  <sheetViews>
    <sheetView workbookViewId="0"/>
  </sheetViews>
  <sheetFormatPr defaultRowHeight="15" x14ac:dyDescent="0.25"/>
  <sheetData>
    <row r="1" spans="1:19" x14ac:dyDescent="0.25">
      <c r="A1" s="1" t="s">
        <v>0</v>
      </c>
    </row>
    <row r="2" spans="1:19" x14ac:dyDescent="0.25">
      <c r="A2" s="2" t="s">
        <v>1</v>
      </c>
    </row>
    <row r="3" spans="1:19" x14ac:dyDescent="0.25">
      <c r="A3" t="s">
        <v>2</v>
      </c>
      <c r="F3" t="s">
        <v>3</v>
      </c>
    </row>
    <row r="4" spans="1:19" x14ac:dyDescent="0.25">
      <c r="C4" s="3" t="s">
        <v>4</v>
      </c>
      <c r="D4" s="3" t="s">
        <v>5</v>
      </c>
      <c r="H4" s="3" t="s">
        <v>4</v>
      </c>
      <c r="I4" s="3" t="s">
        <v>5</v>
      </c>
    </row>
    <row r="5" spans="1:19" x14ac:dyDescent="0.25">
      <c r="B5" s="3" t="s">
        <v>6</v>
      </c>
      <c r="C5">
        <v>288</v>
      </c>
      <c r="D5">
        <v>288</v>
      </c>
      <c r="G5" s="3" t="s">
        <v>6</v>
      </c>
      <c r="H5">
        <v>306</v>
      </c>
      <c r="I5">
        <v>306</v>
      </c>
    </row>
    <row r="6" spans="1:19" x14ac:dyDescent="0.25">
      <c r="B6" s="3" t="s">
        <v>7</v>
      </c>
      <c r="C6">
        <v>3.6919344291575049E-4</v>
      </c>
      <c r="D6">
        <v>1.183884601346723E-4</v>
      </c>
      <c r="G6" s="3" t="s">
        <v>7</v>
      </c>
      <c r="H6">
        <v>6.0784313724760037E-5</v>
      </c>
      <c r="I6">
        <v>3.7152561346933339E-16</v>
      </c>
    </row>
    <row r="7" spans="1:19" x14ac:dyDescent="0.25">
      <c r="B7" s="3" t="s">
        <v>8</v>
      </c>
      <c r="C7">
        <v>1.129325536818816E-3</v>
      </c>
      <c r="D7">
        <v>1.457909334540609E-3</v>
      </c>
      <c r="G7" s="3" t="s">
        <v>8</v>
      </c>
      <c r="H7">
        <v>3.3559055734873588E-4</v>
      </c>
      <c r="I7">
        <v>8.0977633017863988E-3</v>
      </c>
    </row>
    <row r="8" spans="1:19" x14ac:dyDescent="0.25">
      <c r="B8" s="3" t="s">
        <v>9</v>
      </c>
      <c r="C8">
        <v>0</v>
      </c>
      <c r="D8">
        <v>0</v>
      </c>
      <c r="G8" s="3" t="s">
        <v>9</v>
      </c>
      <c r="H8">
        <v>-7.9999999999991189E-4</v>
      </c>
      <c r="I8">
        <v>-9.9999999999909051E-2</v>
      </c>
    </row>
    <row r="9" spans="1:19" x14ac:dyDescent="0.25">
      <c r="B9" s="3" t="s">
        <v>10</v>
      </c>
      <c r="C9">
        <v>0</v>
      </c>
      <c r="D9">
        <v>0</v>
      </c>
      <c r="G9" s="3" t="s">
        <v>10</v>
      </c>
      <c r="H9">
        <v>-9.9999999974897946E-5</v>
      </c>
      <c r="I9">
        <v>0</v>
      </c>
    </row>
    <row r="10" spans="1:19" x14ac:dyDescent="0.25">
      <c r="B10" s="3" t="s">
        <v>11</v>
      </c>
      <c r="C10">
        <v>6.1007582956885883E-5</v>
      </c>
      <c r="D10">
        <v>0</v>
      </c>
      <c r="G10" s="3" t="s">
        <v>11</v>
      </c>
      <c r="H10">
        <v>0</v>
      </c>
      <c r="I10">
        <v>0</v>
      </c>
    </row>
    <row r="11" spans="1:19" x14ac:dyDescent="0.25">
      <c r="B11" s="3" t="s">
        <v>12</v>
      </c>
      <c r="C11">
        <v>2.6707333031419629E-4</v>
      </c>
      <c r="D11">
        <v>0</v>
      </c>
      <c r="G11" s="3" t="s">
        <v>12</v>
      </c>
      <c r="H11">
        <v>9.9999999998878764E-5</v>
      </c>
      <c r="I11">
        <v>0</v>
      </c>
    </row>
    <row r="12" spans="1:19" x14ac:dyDescent="0.25">
      <c r="B12" s="3" t="s">
        <v>13</v>
      </c>
      <c r="C12">
        <v>1.2537612838528091E-2</v>
      </c>
      <c r="D12">
        <v>2.1097046413506911E-2</v>
      </c>
      <c r="G12" s="3" t="s">
        <v>13</v>
      </c>
      <c r="H12">
        <v>1.6000000000033761E-3</v>
      </c>
      <c r="I12">
        <v>0.1000000000000227</v>
      </c>
    </row>
    <row r="13" spans="1:19" x14ac:dyDescent="0.25">
      <c r="A13" s="2" t="s">
        <v>14</v>
      </c>
    </row>
    <row r="14" spans="1:19" x14ac:dyDescent="0.25">
      <c r="A14" t="s">
        <v>2</v>
      </c>
      <c r="F14" t="s">
        <v>3</v>
      </c>
      <c r="K14" t="s">
        <v>15</v>
      </c>
      <c r="P14" t="s">
        <v>16</v>
      </c>
    </row>
    <row r="15" spans="1:19" x14ac:dyDescent="0.25">
      <c r="A15" s="3" t="s">
        <v>17</v>
      </c>
      <c r="B15" s="3" t="s">
        <v>18</v>
      </c>
      <c r="C15" s="3" t="s">
        <v>4</v>
      </c>
      <c r="D15" s="3" t="s">
        <v>5</v>
      </c>
      <c r="F15" s="3" t="s">
        <v>17</v>
      </c>
      <c r="G15" s="3" t="s">
        <v>18</v>
      </c>
      <c r="H15" s="3" t="s">
        <v>4</v>
      </c>
      <c r="I15" s="3" t="s">
        <v>5</v>
      </c>
      <c r="K15" s="3" t="s">
        <v>17</v>
      </c>
      <c r="L15" s="3" t="s">
        <v>18</v>
      </c>
      <c r="M15" s="3" t="s">
        <v>4</v>
      </c>
      <c r="N15" s="3" t="s">
        <v>5</v>
      </c>
      <c r="P15" s="3" t="s">
        <v>17</v>
      </c>
      <c r="Q15" s="3" t="s">
        <v>18</v>
      </c>
      <c r="R15" s="3" t="s">
        <v>4</v>
      </c>
      <c r="S15" s="3" t="s">
        <v>5</v>
      </c>
    </row>
    <row r="16" spans="1:19" x14ac:dyDescent="0.25">
      <c r="A16" s="3">
        <v>0</v>
      </c>
      <c r="B16" s="3">
        <v>1</v>
      </c>
      <c r="F16" s="3">
        <v>0</v>
      </c>
      <c r="G16" s="3">
        <v>1</v>
      </c>
      <c r="H16">
        <v>0</v>
      </c>
      <c r="I16">
        <v>0</v>
      </c>
      <c r="K16" s="3">
        <v>0</v>
      </c>
      <c r="L16" s="3">
        <v>1</v>
      </c>
      <c r="M16">
        <v>0</v>
      </c>
      <c r="N16">
        <v>0</v>
      </c>
      <c r="P16" s="3">
        <v>0</v>
      </c>
      <c r="Q16" s="3">
        <v>1</v>
      </c>
      <c r="R16">
        <v>0</v>
      </c>
      <c r="S16">
        <v>0</v>
      </c>
    </row>
    <row r="17" spans="1:19" x14ac:dyDescent="0.25">
      <c r="A17" s="3">
        <v>0</v>
      </c>
      <c r="B17" s="3">
        <v>2</v>
      </c>
      <c r="F17" s="3">
        <v>0</v>
      </c>
      <c r="G17" s="3">
        <v>2</v>
      </c>
      <c r="H17">
        <v>0</v>
      </c>
      <c r="I17">
        <v>0</v>
      </c>
      <c r="K17" s="3">
        <v>0</v>
      </c>
      <c r="L17" s="3">
        <v>2</v>
      </c>
      <c r="M17">
        <v>0</v>
      </c>
      <c r="N17">
        <v>0</v>
      </c>
      <c r="P17" s="3">
        <v>0</v>
      </c>
      <c r="Q17" s="3">
        <v>2</v>
      </c>
      <c r="R17">
        <v>0</v>
      </c>
      <c r="S17">
        <v>0</v>
      </c>
    </row>
    <row r="18" spans="1:19" x14ac:dyDescent="0.25">
      <c r="A18" s="3">
        <v>0</v>
      </c>
      <c r="B18" s="3">
        <v>3</v>
      </c>
      <c r="F18" s="3">
        <v>0</v>
      </c>
      <c r="G18" s="3">
        <v>3</v>
      </c>
      <c r="H18">
        <v>0</v>
      </c>
      <c r="I18">
        <v>0</v>
      </c>
      <c r="K18" s="3">
        <v>0</v>
      </c>
      <c r="L18" s="3">
        <v>3</v>
      </c>
      <c r="M18">
        <v>0</v>
      </c>
      <c r="N18">
        <v>0</v>
      </c>
      <c r="P18" s="3">
        <v>0</v>
      </c>
      <c r="Q18" s="3">
        <v>3</v>
      </c>
      <c r="R18">
        <v>0</v>
      </c>
      <c r="S18">
        <v>0</v>
      </c>
    </row>
    <row r="19" spans="1:19" x14ac:dyDescent="0.25">
      <c r="A19" s="3">
        <v>0</v>
      </c>
      <c r="B19" s="3">
        <v>4</v>
      </c>
      <c r="F19" s="3">
        <v>0</v>
      </c>
      <c r="G19" s="3">
        <v>4</v>
      </c>
      <c r="H19">
        <v>0</v>
      </c>
      <c r="I19">
        <v>0</v>
      </c>
      <c r="K19" s="3">
        <v>0</v>
      </c>
      <c r="L19" s="3">
        <v>4</v>
      </c>
      <c r="M19">
        <v>0</v>
      </c>
      <c r="N19">
        <v>0</v>
      </c>
      <c r="P19" s="3">
        <v>0</v>
      </c>
      <c r="Q19" s="3">
        <v>4</v>
      </c>
      <c r="R19">
        <v>0</v>
      </c>
      <c r="S19">
        <v>0</v>
      </c>
    </row>
    <row r="20" spans="1:19" x14ac:dyDescent="0.25">
      <c r="A20" s="3">
        <v>0</v>
      </c>
      <c r="B20" s="3">
        <v>5</v>
      </c>
      <c r="F20" s="3">
        <v>0</v>
      </c>
      <c r="G20" s="3">
        <v>5</v>
      </c>
      <c r="H20">
        <v>0</v>
      </c>
      <c r="I20">
        <v>0</v>
      </c>
      <c r="K20" s="3">
        <v>0</v>
      </c>
      <c r="L20" s="3">
        <v>5</v>
      </c>
      <c r="M20">
        <v>0</v>
      </c>
      <c r="N20">
        <v>0</v>
      </c>
      <c r="P20" s="3">
        <v>0</v>
      </c>
      <c r="Q20" s="3">
        <v>5</v>
      </c>
      <c r="R20">
        <v>0</v>
      </c>
      <c r="S20">
        <v>0</v>
      </c>
    </row>
    <row r="21" spans="1:19" x14ac:dyDescent="0.25">
      <c r="A21" s="3">
        <v>0</v>
      </c>
      <c r="B21" s="3">
        <v>6</v>
      </c>
      <c r="F21" s="3">
        <v>0</v>
      </c>
      <c r="G21" s="3">
        <v>6</v>
      </c>
      <c r="H21">
        <v>0</v>
      </c>
      <c r="I21">
        <v>0</v>
      </c>
      <c r="K21" s="3">
        <v>0</v>
      </c>
      <c r="L21" s="3">
        <v>6</v>
      </c>
      <c r="M21">
        <v>0</v>
      </c>
      <c r="N21">
        <v>0</v>
      </c>
      <c r="P21" s="3">
        <v>0</v>
      </c>
      <c r="Q21" s="3">
        <v>6</v>
      </c>
      <c r="R21">
        <v>0</v>
      </c>
      <c r="S21">
        <v>0</v>
      </c>
    </row>
    <row r="22" spans="1:19" x14ac:dyDescent="0.25">
      <c r="A22" s="3">
        <v>0</v>
      </c>
      <c r="B22" s="3">
        <v>7</v>
      </c>
      <c r="F22" s="3">
        <v>0</v>
      </c>
      <c r="G22" s="3">
        <v>7</v>
      </c>
      <c r="H22">
        <v>0</v>
      </c>
      <c r="I22">
        <v>0</v>
      </c>
      <c r="K22" s="3">
        <v>0</v>
      </c>
      <c r="L22" s="3">
        <v>7</v>
      </c>
      <c r="M22">
        <v>0</v>
      </c>
      <c r="N22">
        <v>0</v>
      </c>
      <c r="P22" s="3">
        <v>0</v>
      </c>
      <c r="Q22" s="3">
        <v>7</v>
      </c>
      <c r="R22">
        <v>0</v>
      </c>
      <c r="S22">
        <v>0</v>
      </c>
    </row>
    <row r="23" spans="1:19" x14ac:dyDescent="0.25">
      <c r="A23" s="3">
        <v>0</v>
      </c>
      <c r="B23" s="3">
        <v>8</v>
      </c>
      <c r="F23" s="3">
        <v>0</v>
      </c>
      <c r="G23" s="3">
        <v>8</v>
      </c>
      <c r="H23">
        <v>0</v>
      </c>
      <c r="I23">
        <v>0</v>
      </c>
      <c r="K23" s="3">
        <v>0</v>
      </c>
      <c r="L23" s="3">
        <v>8</v>
      </c>
      <c r="M23">
        <v>0</v>
      </c>
      <c r="N23">
        <v>0</v>
      </c>
      <c r="P23" s="3">
        <v>0</v>
      </c>
      <c r="Q23" s="3">
        <v>8</v>
      </c>
      <c r="R23">
        <v>0</v>
      </c>
      <c r="S23">
        <v>0</v>
      </c>
    </row>
    <row r="24" spans="1:19" x14ac:dyDescent="0.25">
      <c r="A24" s="3">
        <v>0</v>
      </c>
      <c r="B24" s="3">
        <v>9</v>
      </c>
      <c r="F24" s="3">
        <v>0</v>
      </c>
      <c r="G24" s="3">
        <v>9</v>
      </c>
      <c r="H24">
        <v>0</v>
      </c>
      <c r="I24">
        <v>0</v>
      </c>
      <c r="K24" s="3">
        <v>0</v>
      </c>
      <c r="L24" s="3">
        <v>9</v>
      </c>
      <c r="M24">
        <v>0</v>
      </c>
      <c r="N24">
        <v>0</v>
      </c>
      <c r="P24" s="3">
        <v>0</v>
      </c>
      <c r="Q24" s="3">
        <v>9</v>
      </c>
      <c r="R24">
        <v>0</v>
      </c>
      <c r="S24">
        <v>0</v>
      </c>
    </row>
    <row r="25" spans="1:19" x14ac:dyDescent="0.25">
      <c r="A25" s="3">
        <v>0</v>
      </c>
      <c r="B25" s="3">
        <v>10</v>
      </c>
      <c r="F25" s="3">
        <v>0</v>
      </c>
      <c r="G25" s="3">
        <v>10</v>
      </c>
      <c r="H25">
        <v>0</v>
      </c>
      <c r="I25">
        <v>0</v>
      </c>
      <c r="K25" s="3">
        <v>0</v>
      </c>
      <c r="L25" s="3">
        <v>10</v>
      </c>
      <c r="M25">
        <v>0</v>
      </c>
      <c r="N25">
        <v>0</v>
      </c>
      <c r="P25" s="3">
        <v>0</v>
      </c>
      <c r="Q25" s="3">
        <v>10</v>
      </c>
      <c r="R25">
        <v>0</v>
      </c>
      <c r="S25">
        <v>0</v>
      </c>
    </row>
    <row r="26" spans="1:19" x14ac:dyDescent="0.25">
      <c r="A26" s="3">
        <v>0</v>
      </c>
      <c r="B26" s="3">
        <v>11</v>
      </c>
      <c r="F26" s="3">
        <v>0</v>
      </c>
      <c r="G26" s="3">
        <v>11</v>
      </c>
      <c r="H26">
        <v>0</v>
      </c>
      <c r="I26">
        <v>0</v>
      </c>
      <c r="K26" s="3">
        <v>0</v>
      </c>
      <c r="L26" s="3">
        <v>11</v>
      </c>
      <c r="M26">
        <v>0</v>
      </c>
      <c r="N26">
        <v>0</v>
      </c>
      <c r="P26" s="3">
        <v>0</v>
      </c>
      <c r="Q26" s="3">
        <v>11</v>
      </c>
      <c r="R26">
        <v>0</v>
      </c>
      <c r="S26">
        <v>0</v>
      </c>
    </row>
    <row r="27" spans="1:19" x14ac:dyDescent="0.25">
      <c r="A27" s="3">
        <v>0</v>
      </c>
      <c r="B27" s="3">
        <v>12</v>
      </c>
      <c r="F27" s="3">
        <v>0</v>
      </c>
      <c r="G27" s="3">
        <v>12</v>
      </c>
      <c r="H27">
        <v>0</v>
      </c>
      <c r="I27">
        <v>0</v>
      </c>
      <c r="K27" s="3">
        <v>0</v>
      </c>
      <c r="L27" s="3">
        <v>12</v>
      </c>
      <c r="M27">
        <v>0</v>
      </c>
      <c r="N27">
        <v>0</v>
      </c>
      <c r="P27" s="3">
        <v>0</v>
      </c>
      <c r="Q27" s="3">
        <v>12</v>
      </c>
      <c r="R27">
        <v>0</v>
      </c>
      <c r="S27">
        <v>0</v>
      </c>
    </row>
    <row r="28" spans="1:19" x14ac:dyDescent="0.25">
      <c r="A28" s="3">
        <v>0</v>
      </c>
      <c r="B28" s="3">
        <v>13</v>
      </c>
      <c r="F28" s="3">
        <v>0</v>
      </c>
      <c r="G28" s="3">
        <v>13</v>
      </c>
      <c r="H28">
        <v>0</v>
      </c>
      <c r="I28">
        <v>0</v>
      </c>
      <c r="K28" s="3">
        <v>0</v>
      </c>
      <c r="L28" s="3">
        <v>13</v>
      </c>
      <c r="M28">
        <v>0</v>
      </c>
      <c r="N28">
        <v>0</v>
      </c>
      <c r="P28" s="3">
        <v>0</v>
      </c>
      <c r="Q28" s="3">
        <v>13</v>
      </c>
      <c r="R28">
        <v>0</v>
      </c>
      <c r="S28">
        <v>0</v>
      </c>
    </row>
    <row r="29" spans="1:19" x14ac:dyDescent="0.25">
      <c r="A29" s="3">
        <v>0</v>
      </c>
      <c r="B29" s="3">
        <v>14</v>
      </c>
      <c r="F29" s="3">
        <v>0</v>
      </c>
      <c r="G29" s="3">
        <v>14</v>
      </c>
      <c r="H29">
        <v>0</v>
      </c>
      <c r="I29">
        <v>0</v>
      </c>
      <c r="K29" s="3">
        <v>0</v>
      </c>
      <c r="L29" s="3">
        <v>14</v>
      </c>
      <c r="M29">
        <v>0</v>
      </c>
      <c r="N29">
        <v>0</v>
      </c>
      <c r="P29" s="3">
        <v>0</v>
      </c>
      <c r="Q29" s="3">
        <v>14</v>
      </c>
      <c r="R29">
        <v>0</v>
      </c>
      <c r="S29">
        <v>0</v>
      </c>
    </row>
    <row r="30" spans="1:19" x14ac:dyDescent="0.25">
      <c r="A30" s="3">
        <v>0</v>
      </c>
      <c r="B30" s="3">
        <v>103</v>
      </c>
      <c r="F30" s="3">
        <v>0</v>
      </c>
      <c r="G30" s="3">
        <v>103</v>
      </c>
      <c r="H30">
        <v>0</v>
      </c>
      <c r="I30">
        <v>0</v>
      </c>
      <c r="K30" s="3">
        <v>0</v>
      </c>
      <c r="L30" s="3">
        <v>103</v>
      </c>
      <c r="M30">
        <v>0</v>
      </c>
      <c r="N30">
        <v>0</v>
      </c>
      <c r="P30" s="3">
        <v>0</v>
      </c>
      <c r="Q30" s="3">
        <v>103</v>
      </c>
      <c r="R30">
        <v>0</v>
      </c>
      <c r="S30">
        <v>0</v>
      </c>
    </row>
    <row r="31" spans="1:19" x14ac:dyDescent="0.25">
      <c r="A31" s="3">
        <v>0</v>
      </c>
      <c r="B31" s="3">
        <v>104</v>
      </c>
      <c r="F31" s="3">
        <v>0</v>
      </c>
      <c r="G31" s="3">
        <v>104</v>
      </c>
      <c r="H31">
        <v>0</v>
      </c>
      <c r="I31">
        <v>0</v>
      </c>
      <c r="K31" s="3">
        <v>0</v>
      </c>
      <c r="L31" s="3">
        <v>104</v>
      </c>
      <c r="M31">
        <v>0</v>
      </c>
      <c r="N31">
        <v>0</v>
      </c>
      <c r="P31" s="3">
        <v>0</v>
      </c>
      <c r="Q31" s="3">
        <v>104</v>
      </c>
      <c r="R31">
        <v>0</v>
      </c>
      <c r="S31">
        <v>0</v>
      </c>
    </row>
    <row r="32" spans="1:19" x14ac:dyDescent="0.25">
      <c r="A32" s="3">
        <v>0</v>
      </c>
      <c r="B32" s="3">
        <v>110</v>
      </c>
      <c r="F32" s="3">
        <v>0</v>
      </c>
      <c r="G32" s="3">
        <v>110</v>
      </c>
      <c r="H32">
        <v>0</v>
      </c>
      <c r="I32">
        <v>0</v>
      </c>
      <c r="K32" s="3">
        <v>0</v>
      </c>
      <c r="L32" s="3">
        <v>110</v>
      </c>
      <c r="M32">
        <v>0</v>
      </c>
      <c r="N32">
        <v>0</v>
      </c>
      <c r="P32" s="3">
        <v>0</v>
      </c>
      <c r="Q32" s="3">
        <v>110</v>
      </c>
      <c r="R32">
        <v>0</v>
      </c>
      <c r="S32">
        <v>0</v>
      </c>
    </row>
    <row r="33" spans="1:19" x14ac:dyDescent="0.25">
      <c r="A33" s="3">
        <v>0</v>
      </c>
      <c r="B33" s="3">
        <v>114</v>
      </c>
      <c r="F33" s="3">
        <v>0</v>
      </c>
      <c r="G33" s="3">
        <v>114</v>
      </c>
      <c r="H33">
        <v>0</v>
      </c>
      <c r="I33">
        <v>0</v>
      </c>
      <c r="K33" s="3">
        <v>0</v>
      </c>
      <c r="L33" s="3">
        <v>114</v>
      </c>
      <c r="M33">
        <v>0</v>
      </c>
      <c r="N33">
        <v>0</v>
      </c>
      <c r="P33" s="3">
        <v>0</v>
      </c>
      <c r="Q33" s="3">
        <v>114</v>
      </c>
      <c r="R33">
        <v>0</v>
      </c>
      <c r="S33">
        <v>0</v>
      </c>
    </row>
    <row r="34" spans="1:19" x14ac:dyDescent="0.25">
      <c r="A34" s="3">
        <v>180</v>
      </c>
      <c r="B34" s="3">
        <v>1</v>
      </c>
      <c r="C34">
        <v>1.5102318205809399E-3</v>
      </c>
      <c r="D34">
        <v>0</v>
      </c>
      <c r="F34" s="3">
        <v>180</v>
      </c>
      <c r="G34" s="3">
        <v>1</v>
      </c>
      <c r="H34">
        <v>-5.9999999999860165E-4</v>
      </c>
      <c r="I34">
        <v>0</v>
      </c>
      <c r="K34" s="3">
        <v>180</v>
      </c>
      <c r="L34" s="3">
        <v>1</v>
      </c>
      <c r="M34">
        <v>39.728400000000001</v>
      </c>
      <c r="N34">
        <v>132.4</v>
      </c>
      <c r="P34" s="3">
        <v>180</v>
      </c>
      <c r="Q34" s="3">
        <v>1</v>
      </c>
      <c r="R34">
        <v>39.728999999999999</v>
      </c>
      <c r="S34">
        <v>132.4</v>
      </c>
    </row>
    <row r="35" spans="1:19" x14ac:dyDescent="0.25">
      <c r="A35" s="3">
        <v>180</v>
      </c>
      <c r="B35" s="3">
        <v>2</v>
      </c>
      <c r="C35">
        <v>1.5102318205809399E-3</v>
      </c>
      <c r="D35">
        <v>0</v>
      </c>
      <c r="F35" s="3">
        <v>180</v>
      </c>
      <c r="G35" s="3">
        <v>2</v>
      </c>
      <c r="H35">
        <v>-5.9999999999860165E-4</v>
      </c>
      <c r="I35">
        <v>0</v>
      </c>
      <c r="K35" s="3">
        <v>180</v>
      </c>
      <c r="L35" s="3">
        <v>2</v>
      </c>
      <c r="M35">
        <v>39.728400000000001</v>
      </c>
      <c r="N35">
        <v>158.9</v>
      </c>
      <c r="P35" s="3">
        <v>180</v>
      </c>
      <c r="Q35" s="3">
        <v>2</v>
      </c>
      <c r="R35">
        <v>39.728999999999999</v>
      </c>
      <c r="S35">
        <v>158.9</v>
      </c>
    </row>
    <row r="36" spans="1:19" x14ac:dyDescent="0.25">
      <c r="A36" s="3">
        <v>180</v>
      </c>
      <c r="B36" s="3">
        <v>3</v>
      </c>
      <c r="C36">
        <v>1.5102318205809399E-3</v>
      </c>
      <c r="D36">
        <v>0</v>
      </c>
      <c r="F36" s="3">
        <v>180</v>
      </c>
      <c r="G36" s="3">
        <v>3</v>
      </c>
      <c r="H36">
        <v>-5.9999999999860165E-4</v>
      </c>
      <c r="I36">
        <v>0</v>
      </c>
      <c r="K36" s="3">
        <v>180</v>
      </c>
      <c r="L36" s="3">
        <v>3</v>
      </c>
      <c r="M36">
        <v>39.728400000000001</v>
      </c>
      <c r="N36">
        <v>176.6</v>
      </c>
      <c r="P36" s="3">
        <v>180</v>
      </c>
      <c r="Q36" s="3">
        <v>3</v>
      </c>
      <c r="R36">
        <v>39.728999999999999</v>
      </c>
      <c r="S36">
        <v>176.6</v>
      </c>
    </row>
    <row r="37" spans="1:19" x14ac:dyDescent="0.25">
      <c r="A37" s="3">
        <v>180</v>
      </c>
      <c r="B37" s="3">
        <v>4</v>
      </c>
      <c r="C37">
        <v>1.5697473271541069E-4</v>
      </c>
      <c r="D37">
        <v>0</v>
      </c>
      <c r="F37" s="3">
        <v>180</v>
      </c>
      <c r="G37" s="3">
        <v>4</v>
      </c>
      <c r="H37">
        <v>4.9999999998817657E-4</v>
      </c>
      <c r="I37">
        <v>0</v>
      </c>
      <c r="K37" s="3">
        <v>180</v>
      </c>
      <c r="L37" s="3">
        <v>4</v>
      </c>
      <c r="M37">
        <v>-318.52210000000002</v>
      </c>
      <c r="N37">
        <v>-1415.7</v>
      </c>
      <c r="P37" s="3">
        <v>180</v>
      </c>
      <c r="Q37" s="3">
        <v>4</v>
      </c>
      <c r="R37">
        <v>-318.52260000000001</v>
      </c>
      <c r="S37">
        <v>-1415.7</v>
      </c>
    </row>
    <row r="38" spans="1:19" x14ac:dyDescent="0.25">
      <c r="A38" s="3">
        <v>180</v>
      </c>
      <c r="B38" s="3">
        <v>5</v>
      </c>
      <c r="C38">
        <v>1.1706899377440739E-3</v>
      </c>
      <c r="D38">
        <v>0</v>
      </c>
      <c r="F38" s="3">
        <v>180</v>
      </c>
      <c r="G38" s="3">
        <v>5</v>
      </c>
      <c r="H38">
        <v>-6.9999999999481588E-4</v>
      </c>
      <c r="I38">
        <v>0</v>
      </c>
      <c r="K38" s="3">
        <v>180</v>
      </c>
      <c r="L38" s="3">
        <v>5</v>
      </c>
      <c r="M38">
        <v>-59.794499999999999</v>
      </c>
      <c r="N38">
        <v>-265.8</v>
      </c>
      <c r="P38" s="3">
        <v>180</v>
      </c>
      <c r="Q38" s="3">
        <v>5</v>
      </c>
      <c r="R38">
        <v>-59.793799999999997</v>
      </c>
      <c r="S38">
        <v>-265.8</v>
      </c>
    </row>
    <row r="39" spans="1:19" x14ac:dyDescent="0.25">
      <c r="A39" s="3">
        <v>180</v>
      </c>
      <c r="B39" s="3">
        <v>6</v>
      </c>
      <c r="C39">
        <v>1.3203342028496619E-4</v>
      </c>
      <c r="D39">
        <v>0</v>
      </c>
      <c r="F39" s="3">
        <v>180</v>
      </c>
      <c r="G39" s="3">
        <v>6</v>
      </c>
      <c r="H39">
        <v>3.999999999564352E-4</v>
      </c>
      <c r="I39">
        <v>0</v>
      </c>
      <c r="K39" s="3">
        <v>180</v>
      </c>
      <c r="L39" s="3">
        <v>6</v>
      </c>
      <c r="M39">
        <v>-302.95319999999998</v>
      </c>
      <c r="N39">
        <v>-1346.5</v>
      </c>
      <c r="P39" s="3">
        <v>180</v>
      </c>
      <c r="Q39" s="3">
        <v>6</v>
      </c>
      <c r="R39">
        <v>-302.95359999999999</v>
      </c>
      <c r="S39">
        <v>-1346.5</v>
      </c>
    </row>
    <row r="40" spans="1:19" x14ac:dyDescent="0.25">
      <c r="A40" s="3">
        <v>180</v>
      </c>
      <c r="B40" s="3">
        <v>7</v>
      </c>
      <c r="C40">
        <v>8.2702177874062574E-5</v>
      </c>
      <c r="D40">
        <v>0</v>
      </c>
      <c r="F40" s="3">
        <v>180</v>
      </c>
      <c r="G40" s="3">
        <v>7</v>
      </c>
      <c r="H40">
        <v>-2.9999999998153731E-4</v>
      </c>
      <c r="I40">
        <v>0</v>
      </c>
      <c r="K40" s="3">
        <v>180</v>
      </c>
      <c r="L40" s="3">
        <v>7</v>
      </c>
      <c r="M40">
        <v>-362.74770000000001</v>
      </c>
      <c r="N40">
        <v>-518.20000000000005</v>
      </c>
      <c r="P40" s="3">
        <v>180</v>
      </c>
      <c r="Q40" s="3">
        <v>7</v>
      </c>
      <c r="R40">
        <v>-362.74740000000003</v>
      </c>
      <c r="S40">
        <v>-518.20000000000005</v>
      </c>
    </row>
    <row r="41" spans="1:19" x14ac:dyDescent="0.25">
      <c r="A41" s="3">
        <v>180</v>
      </c>
      <c r="B41" s="3">
        <v>8</v>
      </c>
      <c r="C41">
        <v>6.4283877603347225E-4</v>
      </c>
      <c r="D41">
        <v>0</v>
      </c>
      <c r="F41" s="3">
        <v>180</v>
      </c>
      <c r="G41" s="3">
        <v>8</v>
      </c>
      <c r="H41">
        <v>-9.9999999999766942E-5</v>
      </c>
      <c r="I41">
        <v>0</v>
      </c>
      <c r="K41" s="3">
        <v>180</v>
      </c>
      <c r="L41" s="3">
        <v>8</v>
      </c>
      <c r="M41">
        <v>15.555899999999999</v>
      </c>
      <c r="N41">
        <v>34.6</v>
      </c>
      <c r="P41" s="3">
        <v>180</v>
      </c>
      <c r="Q41" s="3">
        <v>8</v>
      </c>
      <c r="R41">
        <v>15.555999999999999</v>
      </c>
      <c r="S41">
        <v>34.6</v>
      </c>
    </row>
    <row r="42" spans="1:19" x14ac:dyDescent="0.25">
      <c r="A42" s="3">
        <v>180</v>
      </c>
      <c r="B42" s="3">
        <v>9</v>
      </c>
      <c r="C42">
        <v>5.2867618940193477E-5</v>
      </c>
      <c r="D42">
        <v>0</v>
      </c>
      <c r="F42" s="3">
        <v>180</v>
      </c>
      <c r="G42" s="3">
        <v>9</v>
      </c>
      <c r="H42">
        <v>-1.9999999994979589E-4</v>
      </c>
      <c r="I42">
        <v>0</v>
      </c>
      <c r="K42" s="3">
        <v>180</v>
      </c>
      <c r="L42" s="3">
        <v>9</v>
      </c>
      <c r="M42">
        <v>-378.30360000000002</v>
      </c>
      <c r="N42">
        <v>-540.4</v>
      </c>
      <c r="P42" s="3">
        <v>180</v>
      </c>
      <c r="Q42" s="3">
        <v>9</v>
      </c>
      <c r="R42">
        <v>-378.30340000000001</v>
      </c>
      <c r="S42">
        <v>-540.4</v>
      </c>
    </row>
    <row r="43" spans="1:19" x14ac:dyDescent="0.25">
      <c r="A43" s="3">
        <v>180</v>
      </c>
      <c r="B43" s="3">
        <v>10</v>
      </c>
      <c r="C43">
        <v>0</v>
      </c>
      <c r="D43">
        <v>0</v>
      </c>
      <c r="F43" s="3">
        <v>180</v>
      </c>
      <c r="G43" s="3">
        <v>10</v>
      </c>
      <c r="H43">
        <v>0</v>
      </c>
      <c r="I43">
        <v>0</v>
      </c>
      <c r="K43" s="3">
        <v>180</v>
      </c>
      <c r="L43" s="3">
        <v>10</v>
      </c>
      <c r="M43">
        <v>51.250300000000003</v>
      </c>
      <c r="N43">
        <v>113.9</v>
      </c>
      <c r="P43" s="3">
        <v>180</v>
      </c>
      <c r="Q43" s="3">
        <v>10</v>
      </c>
      <c r="R43">
        <v>51.250300000000003</v>
      </c>
      <c r="S43">
        <v>113.9</v>
      </c>
    </row>
    <row r="44" spans="1:19" x14ac:dyDescent="0.25">
      <c r="A44" s="3">
        <v>180</v>
      </c>
      <c r="B44" s="3">
        <v>11</v>
      </c>
      <c r="C44">
        <v>6.1152149301333436E-5</v>
      </c>
      <c r="D44">
        <v>0</v>
      </c>
      <c r="F44" s="3">
        <v>180</v>
      </c>
      <c r="G44" s="3">
        <v>11</v>
      </c>
      <c r="H44">
        <v>-2.0000000000663931E-4</v>
      </c>
      <c r="I44">
        <v>0</v>
      </c>
      <c r="K44" s="3">
        <v>180</v>
      </c>
      <c r="L44" s="3">
        <v>11</v>
      </c>
      <c r="M44">
        <v>-327.05329999999998</v>
      </c>
      <c r="N44">
        <v>-467.2</v>
      </c>
      <c r="P44" s="3">
        <v>180</v>
      </c>
      <c r="Q44" s="3">
        <v>11</v>
      </c>
      <c r="R44">
        <v>-327.05309999999997</v>
      </c>
      <c r="S44">
        <v>-467.2</v>
      </c>
    </row>
    <row r="45" spans="1:19" x14ac:dyDescent="0.25">
      <c r="A45" s="3">
        <v>180</v>
      </c>
      <c r="B45" s="3">
        <v>12</v>
      </c>
      <c r="C45">
        <v>6.1152149301333436E-5</v>
      </c>
      <c r="D45">
        <v>0</v>
      </c>
      <c r="F45" s="3">
        <v>180</v>
      </c>
      <c r="G45" s="3">
        <v>12</v>
      </c>
      <c r="H45">
        <v>-2.0000000000663931E-4</v>
      </c>
      <c r="I45">
        <v>0</v>
      </c>
      <c r="K45" s="3">
        <v>180</v>
      </c>
      <c r="L45" s="3">
        <v>12</v>
      </c>
      <c r="M45">
        <v>-327.05329999999998</v>
      </c>
      <c r="N45">
        <v>-817.6</v>
      </c>
      <c r="P45" s="3">
        <v>180</v>
      </c>
      <c r="Q45" s="3">
        <v>12</v>
      </c>
      <c r="R45">
        <v>-327.05309999999997</v>
      </c>
      <c r="S45">
        <v>-817.6</v>
      </c>
    </row>
    <row r="46" spans="1:19" x14ac:dyDescent="0.25">
      <c r="A46" s="3">
        <v>180</v>
      </c>
      <c r="B46" s="3">
        <v>13</v>
      </c>
      <c r="C46">
        <v>6.446742492855124E-5</v>
      </c>
      <c r="D46">
        <v>0</v>
      </c>
      <c r="F46" s="3">
        <v>180</v>
      </c>
      <c r="G46" s="3">
        <v>13</v>
      </c>
      <c r="H46">
        <v>-2.9999999998153731E-4</v>
      </c>
      <c r="I46">
        <v>0</v>
      </c>
      <c r="K46" s="3">
        <v>180</v>
      </c>
      <c r="L46" s="3">
        <v>13</v>
      </c>
      <c r="M46">
        <v>-465.35160000000002</v>
      </c>
      <c r="N46">
        <v>-1163.4000000000001</v>
      </c>
      <c r="P46" s="3">
        <v>180</v>
      </c>
      <c r="Q46" s="3">
        <v>13</v>
      </c>
      <c r="R46">
        <v>-465.35129999999998</v>
      </c>
      <c r="S46">
        <v>-1163.4000000000001</v>
      </c>
    </row>
    <row r="47" spans="1:19" x14ac:dyDescent="0.25">
      <c r="A47" s="3">
        <v>180</v>
      </c>
      <c r="B47" s="3">
        <v>14</v>
      </c>
      <c r="C47">
        <v>6.446742492855124E-5</v>
      </c>
      <c r="D47">
        <v>0</v>
      </c>
      <c r="F47" s="3">
        <v>180</v>
      </c>
      <c r="G47" s="3">
        <v>14</v>
      </c>
      <c r="H47">
        <v>-2.9999999998153731E-4</v>
      </c>
      <c r="I47">
        <v>0</v>
      </c>
      <c r="K47" s="3">
        <v>180</v>
      </c>
      <c r="L47" s="3">
        <v>14</v>
      </c>
      <c r="M47">
        <v>-465.35160000000002</v>
      </c>
      <c r="N47">
        <v>-664.8</v>
      </c>
      <c r="P47" s="3">
        <v>180</v>
      </c>
      <c r="Q47" s="3">
        <v>14</v>
      </c>
      <c r="R47">
        <v>-465.35129999999998</v>
      </c>
      <c r="S47">
        <v>-664.8</v>
      </c>
    </row>
    <row r="48" spans="1:19" x14ac:dyDescent="0.25">
      <c r="A48" s="3">
        <v>180</v>
      </c>
      <c r="B48" s="3">
        <v>103</v>
      </c>
      <c r="C48">
        <v>0</v>
      </c>
      <c r="D48">
        <v>0</v>
      </c>
      <c r="F48" s="3">
        <v>180</v>
      </c>
      <c r="G48" s="3">
        <v>103</v>
      </c>
      <c r="H48">
        <v>0</v>
      </c>
      <c r="I48">
        <v>0</v>
      </c>
      <c r="K48" s="3">
        <v>180</v>
      </c>
      <c r="L48" s="3">
        <v>103</v>
      </c>
      <c r="M48">
        <v>99.522800000000004</v>
      </c>
      <c r="N48">
        <v>497.6</v>
      </c>
      <c r="P48" s="3">
        <v>180</v>
      </c>
      <c r="Q48" s="3">
        <v>103</v>
      </c>
      <c r="R48">
        <v>99.522800000000004</v>
      </c>
      <c r="S48">
        <v>497.6</v>
      </c>
    </row>
    <row r="49" spans="1:19" x14ac:dyDescent="0.25">
      <c r="A49" s="3">
        <v>180</v>
      </c>
      <c r="B49" s="3">
        <v>104</v>
      </c>
      <c r="C49">
        <v>0</v>
      </c>
      <c r="D49">
        <v>0</v>
      </c>
      <c r="F49" s="3">
        <v>180</v>
      </c>
      <c r="G49" s="3">
        <v>104</v>
      </c>
      <c r="H49">
        <v>0</v>
      </c>
      <c r="I49">
        <v>0</v>
      </c>
      <c r="K49" s="3">
        <v>180</v>
      </c>
      <c r="L49" s="3">
        <v>104</v>
      </c>
      <c r="M49">
        <v>-15.568899999999999</v>
      </c>
      <c r="N49">
        <v>-117.3</v>
      </c>
      <c r="P49" s="3">
        <v>180</v>
      </c>
      <c r="Q49" s="3">
        <v>104</v>
      </c>
      <c r="R49">
        <v>-15.568899999999999</v>
      </c>
      <c r="S49">
        <v>-117.3</v>
      </c>
    </row>
    <row r="50" spans="1:19" x14ac:dyDescent="0.25">
      <c r="A50" s="3">
        <v>180</v>
      </c>
      <c r="B50" s="3">
        <v>110</v>
      </c>
      <c r="C50">
        <v>2.8015677572109331E-4</v>
      </c>
      <c r="D50">
        <v>0</v>
      </c>
      <c r="F50" s="3">
        <v>180</v>
      </c>
      <c r="G50" s="3">
        <v>110</v>
      </c>
      <c r="H50">
        <v>-9.9999999996214228E-5</v>
      </c>
      <c r="I50">
        <v>0</v>
      </c>
      <c r="K50" s="3">
        <v>180</v>
      </c>
      <c r="L50" s="3">
        <v>110</v>
      </c>
      <c r="M50">
        <v>-35.694400000000002</v>
      </c>
      <c r="N50">
        <v>-369.9</v>
      </c>
      <c r="P50" s="3">
        <v>180</v>
      </c>
      <c r="Q50" s="3">
        <v>110</v>
      </c>
      <c r="R50">
        <v>-35.694300000000013</v>
      </c>
      <c r="S50">
        <v>-369.9</v>
      </c>
    </row>
    <row r="51" spans="1:19" x14ac:dyDescent="0.25">
      <c r="A51" s="3">
        <v>180</v>
      </c>
      <c r="B51" s="3">
        <v>114</v>
      </c>
      <c r="C51">
        <v>0</v>
      </c>
      <c r="D51">
        <v>0</v>
      </c>
      <c r="F51" s="3">
        <v>180</v>
      </c>
      <c r="G51" s="3">
        <v>114</v>
      </c>
      <c r="H51">
        <v>0</v>
      </c>
      <c r="I51">
        <v>0</v>
      </c>
      <c r="K51" s="3">
        <v>180</v>
      </c>
      <c r="L51" s="3">
        <v>114</v>
      </c>
      <c r="M51">
        <v>138.29830000000001</v>
      </c>
      <c r="N51">
        <v>921.8</v>
      </c>
      <c r="P51" s="3">
        <v>180</v>
      </c>
      <c r="Q51" s="3">
        <v>114</v>
      </c>
      <c r="R51">
        <v>138.29830000000001</v>
      </c>
      <c r="S51">
        <v>921.8</v>
      </c>
    </row>
    <row r="52" spans="1:19" x14ac:dyDescent="0.25">
      <c r="A52" s="3">
        <v>270</v>
      </c>
      <c r="B52" s="3">
        <v>1</v>
      </c>
      <c r="C52">
        <v>7.5105899318752829E-4</v>
      </c>
      <c r="D52">
        <v>0</v>
      </c>
      <c r="F52" s="3">
        <v>270</v>
      </c>
      <c r="G52" s="3">
        <v>1</v>
      </c>
      <c r="H52">
        <v>3.0000000000285349E-4</v>
      </c>
      <c r="I52">
        <v>0</v>
      </c>
      <c r="K52" s="3">
        <v>270</v>
      </c>
      <c r="L52" s="3">
        <v>1</v>
      </c>
      <c r="M52">
        <v>39.943899999999999</v>
      </c>
      <c r="N52">
        <v>133.1</v>
      </c>
      <c r="P52" s="3">
        <v>270</v>
      </c>
      <c r="Q52" s="3">
        <v>1</v>
      </c>
      <c r="R52">
        <v>39.943600000000004</v>
      </c>
      <c r="S52">
        <v>133.1</v>
      </c>
    </row>
    <row r="53" spans="1:19" x14ac:dyDescent="0.25">
      <c r="A53" s="3">
        <v>270</v>
      </c>
      <c r="B53" s="3">
        <v>2</v>
      </c>
      <c r="C53">
        <v>7.5105899318752829E-4</v>
      </c>
      <c r="D53">
        <v>0</v>
      </c>
      <c r="F53" s="3">
        <v>270</v>
      </c>
      <c r="G53" s="3">
        <v>2</v>
      </c>
      <c r="H53">
        <v>3.0000000000285349E-4</v>
      </c>
      <c r="I53">
        <v>0</v>
      </c>
      <c r="K53" s="3">
        <v>270</v>
      </c>
      <c r="L53" s="3">
        <v>2</v>
      </c>
      <c r="M53">
        <v>39.943899999999999</v>
      </c>
      <c r="N53">
        <v>159.80000000000001</v>
      </c>
      <c r="P53" s="3">
        <v>270</v>
      </c>
      <c r="Q53" s="3">
        <v>2</v>
      </c>
      <c r="R53">
        <v>39.943600000000004</v>
      </c>
      <c r="S53">
        <v>159.80000000000001</v>
      </c>
    </row>
    <row r="54" spans="1:19" x14ac:dyDescent="0.25">
      <c r="A54" s="3">
        <v>270</v>
      </c>
      <c r="B54" s="3">
        <v>3</v>
      </c>
      <c r="C54">
        <v>7.5105899318752829E-4</v>
      </c>
      <c r="D54">
        <v>0</v>
      </c>
      <c r="F54" s="3">
        <v>270</v>
      </c>
      <c r="G54" s="3">
        <v>3</v>
      </c>
      <c r="H54">
        <v>3.0000000000285349E-4</v>
      </c>
      <c r="I54">
        <v>0</v>
      </c>
      <c r="K54" s="3">
        <v>270</v>
      </c>
      <c r="L54" s="3">
        <v>3</v>
      </c>
      <c r="M54">
        <v>39.943899999999999</v>
      </c>
      <c r="N54">
        <v>177.5</v>
      </c>
      <c r="P54" s="3">
        <v>270</v>
      </c>
      <c r="Q54" s="3">
        <v>3</v>
      </c>
      <c r="R54">
        <v>39.943600000000004</v>
      </c>
      <c r="S54">
        <v>177.5</v>
      </c>
    </row>
    <row r="55" spans="1:19" x14ac:dyDescent="0.25">
      <c r="A55" s="3">
        <v>270</v>
      </c>
      <c r="B55" s="3">
        <v>4</v>
      </c>
      <c r="C55">
        <v>6.283874008534736E-5</v>
      </c>
      <c r="D55">
        <v>0</v>
      </c>
      <c r="F55" s="3">
        <v>270</v>
      </c>
      <c r="G55" s="3">
        <v>4</v>
      </c>
      <c r="H55">
        <v>-2.0000000000663931E-4</v>
      </c>
      <c r="I55">
        <v>0</v>
      </c>
      <c r="K55" s="3">
        <v>270</v>
      </c>
      <c r="L55" s="3">
        <v>4</v>
      </c>
      <c r="M55">
        <v>-318.27519999999998</v>
      </c>
      <c r="N55">
        <v>-1414.6</v>
      </c>
      <c r="P55" s="3">
        <v>270</v>
      </c>
      <c r="Q55" s="3">
        <v>4</v>
      </c>
      <c r="R55">
        <v>-318.27499999999998</v>
      </c>
      <c r="S55">
        <v>-1414.6</v>
      </c>
    </row>
    <row r="56" spans="1:19" x14ac:dyDescent="0.25">
      <c r="A56" s="3">
        <v>270</v>
      </c>
      <c r="B56" s="3">
        <v>5</v>
      </c>
      <c r="C56">
        <v>8.4154683040203618E-4</v>
      </c>
      <c r="D56">
        <v>0</v>
      </c>
      <c r="F56" s="3">
        <v>270</v>
      </c>
      <c r="G56" s="3">
        <v>5</v>
      </c>
      <c r="H56">
        <v>5.0000000000238742E-4</v>
      </c>
      <c r="I56">
        <v>0</v>
      </c>
      <c r="K56" s="3">
        <v>270</v>
      </c>
      <c r="L56" s="3">
        <v>5</v>
      </c>
      <c r="M56">
        <v>-59.413899999999998</v>
      </c>
      <c r="N56">
        <v>-264.10000000000002</v>
      </c>
      <c r="P56" s="3">
        <v>270</v>
      </c>
      <c r="Q56" s="3">
        <v>5</v>
      </c>
      <c r="R56">
        <v>-59.414400000000001</v>
      </c>
      <c r="S56">
        <v>-264.10000000000002</v>
      </c>
    </row>
    <row r="57" spans="1:19" x14ac:dyDescent="0.25">
      <c r="A57" s="3">
        <v>270</v>
      </c>
      <c r="B57" s="3">
        <v>6</v>
      </c>
      <c r="C57">
        <v>9.9030556862532789E-5</v>
      </c>
      <c r="D57">
        <v>0</v>
      </c>
      <c r="F57" s="3">
        <v>270</v>
      </c>
      <c r="G57" s="3">
        <v>6</v>
      </c>
      <c r="H57">
        <v>-2.9999999998153731E-4</v>
      </c>
      <c r="I57">
        <v>0</v>
      </c>
      <c r="K57" s="3">
        <v>270</v>
      </c>
      <c r="L57" s="3">
        <v>6</v>
      </c>
      <c r="M57">
        <v>-302.93709999999999</v>
      </c>
      <c r="N57">
        <v>-1346.4</v>
      </c>
      <c r="P57" s="3">
        <v>270</v>
      </c>
      <c r="Q57" s="3">
        <v>6</v>
      </c>
      <c r="R57">
        <v>-302.93680000000001</v>
      </c>
      <c r="S57">
        <v>-1346.4</v>
      </c>
    </row>
    <row r="58" spans="1:19" x14ac:dyDescent="0.25">
      <c r="A58" s="3">
        <v>270</v>
      </c>
      <c r="B58" s="3">
        <v>7</v>
      </c>
      <c r="C58">
        <v>5.5195070419703132E-5</v>
      </c>
      <c r="D58">
        <v>0</v>
      </c>
      <c r="F58" s="3">
        <v>270</v>
      </c>
      <c r="G58" s="3">
        <v>7</v>
      </c>
      <c r="H58">
        <v>2.0000000000663931E-4</v>
      </c>
      <c r="I58">
        <v>0</v>
      </c>
      <c r="K58" s="3">
        <v>270</v>
      </c>
      <c r="L58" s="3">
        <v>7</v>
      </c>
      <c r="M58">
        <v>-362.351</v>
      </c>
      <c r="N58">
        <v>-517.6</v>
      </c>
      <c r="P58" s="3">
        <v>270</v>
      </c>
      <c r="Q58" s="3">
        <v>7</v>
      </c>
      <c r="R58">
        <v>-362.35120000000001</v>
      </c>
      <c r="S58">
        <v>-517.6</v>
      </c>
    </row>
    <row r="59" spans="1:19" x14ac:dyDescent="0.25">
      <c r="A59" s="3">
        <v>270</v>
      </c>
      <c r="B59" s="3">
        <v>8</v>
      </c>
      <c r="C59">
        <v>0</v>
      </c>
      <c r="D59">
        <v>0</v>
      </c>
      <c r="F59" s="3">
        <v>270</v>
      </c>
      <c r="G59" s="3">
        <v>8</v>
      </c>
      <c r="H59">
        <v>0</v>
      </c>
      <c r="I59">
        <v>0</v>
      </c>
      <c r="K59" s="3">
        <v>270</v>
      </c>
      <c r="L59" s="3">
        <v>8</v>
      </c>
      <c r="M59">
        <v>15.6021</v>
      </c>
      <c r="N59">
        <v>34.700000000000003</v>
      </c>
      <c r="P59" s="3">
        <v>270</v>
      </c>
      <c r="Q59" s="3">
        <v>8</v>
      </c>
      <c r="R59">
        <v>15.6021</v>
      </c>
      <c r="S59">
        <v>34.700000000000003</v>
      </c>
    </row>
    <row r="60" spans="1:19" x14ac:dyDescent="0.25">
      <c r="A60" s="3">
        <v>270</v>
      </c>
      <c r="B60" s="3">
        <v>9</v>
      </c>
      <c r="C60">
        <v>7.9374885743392276E-5</v>
      </c>
      <c r="D60">
        <v>0</v>
      </c>
      <c r="F60" s="3">
        <v>270</v>
      </c>
      <c r="G60" s="3">
        <v>9</v>
      </c>
      <c r="H60">
        <v>3.0000000003838068E-4</v>
      </c>
      <c r="I60">
        <v>0</v>
      </c>
      <c r="K60" s="3">
        <v>270</v>
      </c>
      <c r="L60" s="3">
        <v>9</v>
      </c>
      <c r="M60">
        <v>-377.95299999999997</v>
      </c>
      <c r="N60">
        <v>-539.9</v>
      </c>
      <c r="P60" s="3">
        <v>270</v>
      </c>
      <c r="Q60" s="3">
        <v>9</v>
      </c>
      <c r="R60">
        <v>-377.95330000000001</v>
      </c>
      <c r="S60">
        <v>-539.9</v>
      </c>
    </row>
    <row r="61" spans="1:19" x14ac:dyDescent="0.25">
      <c r="A61" s="3">
        <v>270</v>
      </c>
      <c r="B61" s="3">
        <v>10</v>
      </c>
      <c r="C61">
        <v>1.9484783357698581E-4</v>
      </c>
      <c r="D61">
        <v>0</v>
      </c>
      <c r="F61" s="3">
        <v>270</v>
      </c>
      <c r="G61" s="3">
        <v>10</v>
      </c>
      <c r="H61">
        <v>9.9999999996214228E-5</v>
      </c>
      <c r="I61">
        <v>0</v>
      </c>
      <c r="K61" s="3">
        <v>270</v>
      </c>
      <c r="L61" s="3">
        <v>10</v>
      </c>
      <c r="M61">
        <v>51.322200000000002</v>
      </c>
      <c r="N61">
        <v>114</v>
      </c>
      <c r="P61" s="3">
        <v>270</v>
      </c>
      <c r="Q61" s="3">
        <v>10</v>
      </c>
      <c r="R61">
        <v>51.322099999999999</v>
      </c>
      <c r="S61">
        <v>114</v>
      </c>
    </row>
    <row r="62" spans="1:19" x14ac:dyDescent="0.25">
      <c r="A62" s="3">
        <v>270</v>
      </c>
      <c r="B62" s="3">
        <v>11</v>
      </c>
      <c r="C62">
        <v>9.1846706633775543E-5</v>
      </c>
      <c r="D62">
        <v>0</v>
      </c>
      <c r="F62" s="3">
        <v>270</v>
      </c>
      <c r="G62" s="3">
        <v>11</v>
      </c>
      <c r="H62">
        <v>3.0000000003838068E-4</v>
      </c>
      <c r="I62">
        <v>0</v>
      </c>
      <c r="K62" s="3">
        <v>270</v>
      </c>
      <c r="L62" s="3">
        <v>11</v>
      </c>
      <c r="M62">
        <v>-326.6309</v>
      </c>
      <c r="N62">
        <v>-466.6</v>
      </c>
      <c r="P62" s="3">
        <v>270</v>
      </c>
      <c r="Q62" s="3">
        <v>11</v>
      </c>
      <c r="R62">
        <v>-326.63119999999998</v>
      </c>
      <c r="S62">
        <v>-466.6</v>
      </c>
    </row>
    <row r="63" spans="1:19" x14ac:dyDescent="0.25">
      <c r="A63" s="3">
        <v>270</v>
      </c>
      <c r="B63" s="3">
        <v>12</v>
      </c>
      <c r="C63">
        <v>9.1846706633775543E-5</v>
      </c>
      <c r="D63">
        <v>0</v>
      </c>
      <c r="F63" s="3">
        <v>270</v>
      </c>
      <c r="G63" s="3">
        <v>12</v>
      </c>
      <c r="H63">
        <v>3.0000000003838068E-4</v>
      </c>
      <c r="I63">
        <v>0</v>
      </c>
      <c r="K63" s="3">
        <v>270</v>
      </c>
      <c r="L63" s="3">
        <v>12</v>
      </c>
      <c r="M63">
        <v>-326.6309</v>
      </c>
      <c r="N63">
        <v>-816.6</v>
      </c>
      <c r="P63" s="3">
        <v>270</v>
      </c>
      <c r="Q63" s="3">
        <v>12</v>
      </c>
      <c r="R63">
        <v>-326.63119999999998</v>
      </c>
      <c r="S63">
        <v>-816.6</v>
      </c>
    </row>
    <row r="64" spans="1:19" x14ac:dyDescent="0.25">
      <c r="A64" s="3">
        <v>270</v>
      </c>
      <c r="B64" s="3">
        <v>13</v>
      </c>
      <c r="C64">
        <v>6.4526064666813366E-5</v>
      </c>
      <c r="D64">
        <v>0</v>
      </c>
      <c r="F64" s="3">
        <v>270</v>
      </c>
      <c r="G64" s="3">
        <v>13</v>
      </c>
      <c r="H64">
        <v>3.0000000003838068E-4</v>
      </c>
      <c r="I64">
        <v>0</v>
      </c>
      <c r="K64" s="3">
        <v>270</v>
      </c>
      <c r="L64" s="3">
        <v>13</v>
      </c>
      <c r="M64">
        <v>-464.92809999999997</v>
      </c>
      <c r="N64">
        <v>-1162.3</v>
      </c>
      <c r="P64" s="3">
        <v>270</v>
      </c>
      <c r="Q64" s="3">
        <v>13</v>
      </c>
      <c r="R64">
        <v>-464.92840000000001</v>
      </c>
      <c r="S64">
        <v>-1162.3</v>
      </c>
    </row>
    <row r="65" spans="1:19" x14ac:dyDescent="0.25">
      <c r="A65" s="3">
        <v>270</v>
      </c>
      <c r="B65" s="3">
        <v>14</v>
      </c>
      <c r="C65">
        <v>6.4526064666813366E-5</v>
      </c>
      <c r="D65">
        <v>0</v>
      </c>
      <c r="F65" s="3">
        <v>270</v>
      </c>
      <c r="G65" s="3">
        <v>14</v>
      </c>
      <c r="H65">
        <v>3.0000000003838068E-4</v>
      </c>
      <c r="I65">
        <v>0</v>
      </c>
      <c r="K65" s="3">
        <v>270</v>
      </c>
      <c r="L65" s="3">
        <v>14</v>
      </c>
      <c r="M65">
        <v>-464.92809999999997</v>
      </c>
      <c r="N65">
        <v>-664.2</v>
      </c>
      <c r="P65" s="3">
        <v>270</v>
      </c>
      <c r="Q65" s="3">
        <v>14</v>
      </c>
      <c r="R65">
        <v>-464.92840000000001</v>
      </c>
      <c r="S65">
        <v>-664.2</v>
      </c>
    </row>
    <row r="66" spans="1:19" x14ac:dyDescent="0.25">
      <c r="A66" s="3">
        <v>270</v>
      </c>
      <c r="B66" s="3">
        <v>103</v>
      </c>
      <c r="C66">
        <v>2.012922965504935E-4</v>
      </c>
      <c r="D66">
        <v>0</v>
      </c>
      <c r="F66" s="3">
        <v>270</v>
      </c>
      <c r="G66" s="3">
        <v>103</v>
      </c>
      <c r="H66">
        <v>-2.0000000000663931E-4</v>
      </c>
      <c r="I66">
        <v>0</v>
      </c>
      <c r="K66" s="3">
        <v>270</v>
      </c>
      <c r="L66" s="3">
        <v>103</v>
      </c>
      <c r="M66">
        <v>99.357799999999997</v>
      </c>
      <c r="N66">
        <v>496.8</v>
      </c>
      <c r="P66" s="3">
        <v>270</v>
      </c>
      <c r="Q66" s="3">
        <v>103</v>
      </c>
      <c r="R66">
        <v>99.358000000000004</v>
      </c>
      <c r="S66">
        <v>496.8</v>
      </c>
    </row>
    <row r="67" spans="1:19" x14ac:dyDescent="0.25">
      <c r="A67" s="3">
        <v>270</v>
      </c>
      <c r="B67" s="3">
        <v>104</v>
      </c>
      <c r="C67">
        <v>6.5196698439039095E-4</v>
      </c>
      <c r="D67">
        <v>0</v>
      </c>
      <c r="F67" s="3">
        <v>270</v>
      </c>
      <c r="G67" s="3">
        <v>104</v>
      </c>
      <c r="H67">
        <v>9.9999999999766942E-5</v>
      </c>
      <c r="I67">
        <v>0</v>
      </c>
      <c r="K67" s="3">
        <v>270</v>
      </c>
      <c r="L67" s="3">
        <v>104</v>
      </c>
      <c r="M67">
        <v>-15.338100000000001</v>
      </c>
      <c r="N67">
        <v>-115.6</v>
      </c>
      <c r="P67" s="3">
        <v>270</v>
      </c>
      <c r="Q67" s="3">
        <v>104</v>
      </c>
      <c r="R67">
        <v>-15.338200000000001</v>
      </c>
      <c r="S67">
        <v>-115.6</v>
      </c>
    </row>
    <row r="68" spans="1:19" x14ac:dyDescent="0.25">
      <c r="A68" s="3">
        <v>270</v>
      </c>
      <c r="B68" s="3">
        <v>110</v>
      </c>
      <c r="C68">
        <v>2.799552071562548E-4</v>
      </c>
      <c r="D68">
        <v>0</v>
      </c>
      <c r="F68" s="3">
        <v>270</v>
      </c>
      <c r="G68" s="3">
        <v>110</v>
      </c>
      <c r="H68">
        <v>-9.9999999996214228E-5</v>
      </c>
      <c r="I68">
        <v>0</v>
      </c>
      <c r="K68" s="3">
        <v>270</v>
      </c>
      <c r="L68" s="3">
        <v>110</v>
      </c>
      <c r="M68">
        <v>-35.720100000000002</v>
      </c>
      <c r="N68">
        <v>-370.2</v>
      </c>
      <c r="P68" s="3">
        <v>270</v>
      </c>
      <c r="Q68" s="3">
        <v>110</v>
      </c>
      <c r="R68">
        <v>-35.72</v>
      </c>
      <c r="S68">
        <v>-370.2</v>
      </c>
    </row>
    <row r="69" spans="1:19" x14ac:dyDescent="0.25">
      <c r="A69" s="3">
        <v>270</v>
      </c>
      <c r="B69" s="3">
        <v>114</v>
      </c>
      <c r="C69">
        <v>0</v>
      </c>
      <c r="D69">
        <v>0</v>
      </c>
      <c r="F69" s="3">
        <v>270</v>
      </c>
      <c r="G69" s="3">
        <v>114</v>
      </c>
      <c r="H69">
        <v>0</v>
      </c>
      <c r="I69">
        <v>0</v>
      </c>
      <c r="K69" s="3">
        <v>270</v>
      </c>
      <c r="L69" s="3">
        <v>114</v>
      </c>
      <c r="M69">
        <v>138.2972</v>
      </c>
      <c r="N69">
        <v>921.8</v>
      </c>
      <c r="P69" s="3">
        <v>270</v>
      </c>
      <c r="Q69" s="3">
        <v>114</v>
      </c>
      <c r="R69">
        <v>138.2972</v>
      </c>
      <c r="S69">
        <v>921.8</v>
      </c>
    </row>
    <row r="70" spans="1:19" x14ac:dyDescent="0.25">
      <c r="A70" s="3">
        <v>360</v>
      </c>
      <c r="B70" s="3">
        <v>1</v>
      </c>
      <c r="C70">
        <v>2.5057381403355422E-3</v>
      </c>
      <c r="D70">
        <v>0</v>
      </c>
      <c r="F70" s="3">
        <v>360</v>
      </c>
      <c r="G70" s="3">
        <v>1</v>
      </c>
      <c r="H70">
        <v>9.9999999999766942E-4</v>
      </c>
      <c r="I70">
        <v>0</v>
      </c>
      <c r="K70" s="3">
        <v>360</v>
      </c>
      <c r="L70" s="3">
        <v>1</v>
      </c>
      <c r="M70">
        <v>39.909399999999998</v>
      </c>
      <c r="N70">
        <v>133</v>
      </c>
      <c r="P70" s="3">
        <v>360</v>
      </c>
      <c r="Q70" s="3">
        <v>1</v>
      </c>
      <c r="R70">
        <v>39.9084</v>
      </c>
      <c r="S70">
        <v>133</v>
      </c>
    </row>
    <row r="71" spans="1:19" x14ac:dyDescent="0.25">
      <c r="A71" s="3">
        <v>360</v>
      </c>
      <c r="B71" s="3">
        <v>2</v>
      </c>
      <c r="C71">
        <v>2.5057381403355422E-3</v>
      </c>
      <c r="D71">
        <v>0</v>
      </c>
      <c r="F71" s="3">
        <v>360</v>
      </c>
      <c r="G71" s="3">
        <v>2</v>
      </c>
      <c r="H71">
        <v>9.9999999999766942E-4</v>
      </c>
      <c r="I71">
        <v>0</v>
      </c>
      <c r="K71" s="3">
        <v>360</v>
      </c>
      <c r="L71" s="3">
        <v>2</v>
      </c>
      <c r="M71">
        <v>39.909399999999998</v>
      </c>
      <c r="N71">
        <v>159.6</v>
      </c>
      <c r="P71" s="3">
        <v>360</v>
      </c>
      <c r="Q71" s="3">
        <v>2</v>
      </c>
      <c r="R71">
        <v>39.9084</v>
      </c>
      <c r="S71">
        <v>159.6</v>
      </c>
    </row>
    <row r="72" spans="1:19" x14ac:dyDescent="0.25">
      <c r="A72" s="3">
        <v>360</v>
      </c>
      <c r="B72" s="3">
        <v>3</v>
      </c>
      <c r="C72">
        <v>2.5057381403355422E-3</v>
      </c>
      <c r="D72">
        <v>0</v>
      </c>
      <c r="F72" s="3">
        <v>360</v>
      </c>
      <c r="G72" s="3">
        <v>3</v>
      </c>
      <c r="H72">
        <v>9.9999999999766942E-4</v>
      </c>
      <c r="I72">
        <v>0</v>
      </c>
      <c r="K72" s="3">
        <v>360</v>
      </c>
      <c r="L72" s="3">
        <v>3</v>
      </c>
      <c r="M72">
        <v>39.909399999999998</v>
      </c>
      <c r="N72">
        <v>177.4</v>
      </c>
      <c r="P72" s="3">
        <v>360</v>
      </c>
      <c r="Q72" s="3">
        <v>3</v>
      </c>
      <c r="R72">
        <v>39.9084</v>
      </c>
      <c r="S72">
        <v>177.4</v>
      </c>
    </row>
    <row r="73" spans="1:19" x14ac:dyDescent="0.25">
      <c r="A73" s="3">
        <v>360</v>
      </c>
      <c r="B73" s="3">
        <v>4</v>
      </c>
      <c r="C73">
        <v>1.25859779623704E-4</v>
      </c>
      <c r="D73">
        <v>0</v>
      </c>
      <c r="F73" s="3">
        <v>360</v>
      </c>
      <c r="G73" s="3">
        <v>4</v>
      </c>
      <c r="H73">
        <v>-4.0000000001327862E-4</v>
      </c>
      <c r="I73">
        <v>0</v>
      </c>
      <c r="K73" s="3">
        <v>360</v>
      </c>
      <c r="L73" s="3">
        <v>4</v>
      </c>
      <c r="M73">
        <v>-317.81439999999998</v>
      </c>
      <c r="N73">
        <v>-1412.5</v>
      </c>
      <c r="P73" s="3">
        <v>360</v>
      </c>
      <c r="Q73" s="3">
        <v>4</v>
      </c>
      <c r="R73">
        <v>-317.81400000000002</v>
      </c>
      <c r="S73">
        <v>-1412.5</v>
      </c>
    </row>
    <row r="74" spans="1:19" x14ac:dyDescent="0.25">
      <c r="A74" s="3">
        <v>360</v>
      </c>
      <c r="B74" s="3">
        <v>5</v>
      </c>
      <c r="C74">
        <v>2.49700775237683E-3</v>
      </c>
      <c r="D74">
        <v>0</v>
      </c>
      <c r="F74" s="3">
        <v>360</v>
      </c>
      <c r="G74" s="3">
        <v>5</v>
      </c>
      <c r="H74">
        <v>1.5000000000000571E-3</v>
      </c>
      <c r="I74">
        <v>0</v>
      </c>
      <c r="K74" s="3">
        <v>360</v>
      </c>
      <c r="L74" s="3">
        <v>5</v>
      </c>
      <c r="M74">
        <v>-60.070399999999999</v>
      </c>
      <c r="N74">
        <v>-267</v>
      </c>
      <c r="P74" s="3">
        <v>360</v>
      </c>
      <c r="Q74" s="3">
        <v>5</v>
      </c>
      <c r="R74">
        <v>-60.071899999999999</v>
      </c>
      <c r="S74">
        <v>-267</v>
      </c>
    </row>
    <row r="75" spans="1:19" x14ac:dyDescent="0.25">
      <c r="A75" s="3">
        <v>360</v>
      </c>
      <c r="B75" s="3">
        <v>6</v>
      </c>
      <c r="C75">
        <v>2.3015171602817951E-4</v>
      </c>
      <c r="D75">
        <v>0</v>
      </c>
      <c r="F75" s="3">
        <v>360</v>
      </c>
      <c r="G75" s="3">
        <v>6</v>
      </c>
      <c r="H75">
        <v>-7.000000000516593E-4</v>
      </c>
      <c r="I75">
        <v>0</v>
      </c>
      <c r="K75" s="3">
        <v>360</v>
      </c>
      <c r="L75" s="3">
        <v>6</v>
      </c>
      <c r="M75">
        <v>-304.14789999999999</v>
      </c>
      <c r="N75">
        <v>-1351.8</v>
      </c>
      <c r="P75" s="3">
        <v>360</v>
      </c>
      <c r="Q75" s="3">
        <v>6</v>
      </c>
      <c r="R75">
        <v>-304.1472</v>
      </c>
      <c r="S75">
        <v>-1351.8</v>
      </c>
    </row>
    <row r="76" spans="1:19" x14ac:dyDescent="0.25">
      <c r="A76" s="3">
        <v>360</v>
      </c>
      <c r="B76" s="3">
        <v>7</v>
      </c>
      <c r="C76">
        <v>2.196480085667429E-4</v>
      </c>
      <c r="D76">
        <v>0</v>
      </c>
      <c r="F76" s="3">
        <v>360</v>
      </c>
      <c r="G76" s="3">
        <v>7</v>
      </c>
      <c r="H76">
        <v>7.9999999996971383E-4</v>
      </c>
      <c r="I76">
        <v>0</v>
      </c>
      <c r="K76" s="3">
        <v>360</v>
      </c>
      <c r="L76" s="3">
        <v>7</v>
      </c>
      <c r="M76">
        <v>-364.2183</v>
      </c>
      <c r="N76">
        <v>-520.29999999999995</v>
      </c>
      <c r="P76" s="3">
        <v>360</v>
      </c>
      <c r="Q76" s="3">
        <v>7</v>
      </c>
      <c r="R76">
        <v>-364.21910000000003</v>
      </c>
      <c r="S76">
        <v>-520.29999999999995</v>
      </c>
    </row>
    <row r="77" spans="1:19" x14ac:dyDescent="0.25">
      <c r="A77" s="3">
        <v>360</v>
      </c>
      <c r="B77" s="3">
        <v>8</v>
      </c>
      <c r="C77">
        <v>5.628032102281995E-4</v>
      </c>
      <c r="D77">
        <v>0</v>
      </c>
      <c r="F77" s="3">
        <v>360</v>
      </c>
      <c r="G77" s="3">
        <v>8</v>
      </c>
      <c r="H77">
        <v>9.9999999999766942E-5</v>
      </c>
      <c r="I77">
        <v>0</v>
      </c>
      <c r="K77" s="3">
        <v>360</v>
      </c>
      <c r="L77" s="3">
        <v>8</v>
      </c>
      <c r="M77">
        <v>17.7683</v>
      </c>
      <c r="N77">
        <v>39.5</v>
      </c>
      <c r="P77" s="3">
        <v>360</v>
      </c>
      <c r="Q77" s="3">
        <v>8</v>
      </c>
      <c r="R77">
        <v>17.7682</v>
      </c>
      <c r="S77">
        <v>39.5</v>
      </c>
    </row>
    <row r="78" spans="1:19" x14ac:dyDescent="0.25">
      <c r="A78" s="3">
        <v>360</v>
      </c>
      <c r="B78" s="3">
        <v>9</v>
      </c>
      <c r="C78">
        <v>1.8325216572688649E-4</v>
      </c>
      <c r="D78">
        <v>0</v>
      </c>
      <c r="F78" s="3">
        <v>360</v>
      </c>
      <c r="G78" s="3">
        <v>9</v>
      </c>
      <c r="H78">
        <v>7.000000000516593E-4</v>
      </c>
      <c r="I78">
        <v>0</v>
      </c>
      <c r="K78" s="3">
        <v>360</v>
      </c>
      <c r="L78" s="3">
        <v>9</v>
      </c>
      <c r="M78">
        <v>-381.98660000000001</v>
      </c>
      <c r="N78">
        <v>-545.70000000000005</v>
      </c>
      <c r="P78" s="3">
        <v>360</v>
      </c>
      <c r="Q78" s="3">
        <v>9</v>
      </c>
      <c r="R78">
        <v>-381.9873</v>
      </c>
      <c r="S78">
        <v>-545.70000000000005</v>
      </c>
    </row>
    <row r="79" spans="1:19" x14ac:dyDescent="0.25">
      <c r="A79" s="3">
        <v>360</v>
      </c>
      <c r="B79" s="3">
        <v>10</v>
      </c>
      <c r="C79">
        <v>0</v>
      </c>
      <c r="D79">
        <v>0</v>
      </c>
      <c r="F79" s="3">
        <v>360</v>
      </c>
      <c r="G79" s="3">
        <v>10</v>
      </c>
      <c r="H79">
        <v>0</v>
      </c>
      <c r="I79">
        <v>0</v>
      </c>
      <c r="K79" s="3">
        <v>360</v>
      </c>
      <c r="L79" s="3">
        <v>10</v>
      </c>
      <c r="M79">
        <v>52.770699999999998</v>
      </c>
      <c r="N79">
        <v>117.3</v>
      </c>
      <c r="P79" s="3">
        <v>360</v>
      </c>
      <c r="Q79" s="3">
        <v>10</v>
      </c>
      <c r="R79">
        <v>52.770699999999998</v>
      </c>
      <c r="S79">
        <v>117.3</v>
      </c>
    </row>
    <row r="80" spans="1:19" x14ac:dyDescent="0.25">
      <c r="A80" s="3">
        <v>360</v>
      </c>
      <c r="B80" s="3">
        <v>11</v>
      </c>
      <c r="C80">
        <v>2.126259732765518E-4</v>
      </c>
      <c r="D80">
        <v>0</v>
      </c>
      <c r="F80" s="3">
        <v>360</v>
      </c>
      <c r="G80" s="3">
        <v>11</v>
      </c>
      <c r="H80">
        <v>6.9999999993797246E-4</v>
      </c>
      <c r="I80">
        <v>0</v>
      </c>
      <c r="K80" s="3">
        <v>360</v>
      </c>
      <c r="L80" s="3">
        <v>11</v>
      </c>
      <c r="M80">
        <v>-329.21589999999998</v>
      </c>
      <c r="N80">
        <v>-470.3</v>
      </c>
      <c r="P80" s="3">
        <v>360</v>
      </c>
      <c r="Q80" s="3">
        <v>11</v>
      </c>
      <c r="R80">
        <v>-329.21660000000003</v>
      </c>
      <c r="S80">
        <v>-470.3</v>
      </c>
    </row>
    <row r="81" spans="1:19" x14ac:dyDescent="0.25">
      <c r="A81" s="3">
        <v>360</v>
      </c>
      <c r="B81" s="3">
        <v>12</v>
      </c>
      <c r="C81">
        <v>2.126259732765518E-4</v>
      </c>
      <c r="D81">
        <v>0</v>
      </c>
      <c r="F81" s="3">
        <v>360</v>
      </c>
      <c r="G81" s="3">
        <v>12</v>
      </c>
      <c r="H81">
        <v>6.9999999993797246E-4</v>
      </c>
      <c r="I81">
        <v>0</v>
      </c>
      <c r="K81" s="3">
        <v>360</v>
      </c>
      <c r="L81" s="3">
        <v>12</v>
      </c>
      <c r="M81">
        <v>-329.21589999999998</v>
      </c>
      <c r="N81">
        <v>-823</v>
      </c>
      <c r="P81" s="3">
        <v>360</v>
      </c>
      <c r="Q81" s="3">
        <v>12</v>
      </c>
      <c r="R81">
        <v>-329.21660000000003</v>
      </c>
      <c r="S81">
        <v>-823</v>
      </c>
    </row>
    <row r="82" spans="1:19" x14ac:dyDescent="0.25">
      <c r="A82" s="3">
        <v>360</v>
      </c>
      <c r="B82" s="3">
        <v>13</v>
      </c>
      <c r="C82">
        <v>1.4975911247864791E-4</v>
      </c>
      <c r="D82">
        <v>0</v>
      </c>
      <c r="F82" s="3">
        <v>360</v>
      </c>
      <c r="G82" s="3">
        <v>13</v>
      </c>
      <c r="H82">
        <v>7.000000000516593E-4</v>
      </c>
      <c r="I82">
        <v>0</v>
      </c>
      <c r="K82" s="3">
        <v>360</v>
      </c>
      <c r="L82" s="3">
        <v>13</v>
      </c>
      <c r="M82">
        <v>-467.41660000000002</v>
      </c>
      <c r="N82">
        <v>-1168.5</v>
      </c>
      <c r="P82" s="3">
        <v>360</v>
      </c>
      <c r="Q82" s="3">
        <v>13</v>
      </c>
      <c r="R82">
        <v>-467.41730000000001</v>
      </c>
      <c r="S82">
        <v>-1168.5</v>
      </c>
    </row>
    <row r="83" spans="1:19" x14ac:dyDescent="0.25">
      <c r="A83" s="3">
        <v>360</v>
      </c>
      <c r="B83" s="3">
        <v>14</v>
      </c>
      <c r="C83">
        <v>1.4975911247864791E-4</v>
      </c>
      <c r="D83">
        <v>0</v>
      </c>
      <c r="F83" s="3">
        <v>360</v>
      </c>
      <c r="G83" s="3">
        <v>14</v>
      </c>
      <c r="H83">
        <v>7.000000000516593E-4</v>
      </c>
      <c r="I83">
        <v>0</v>
      </c>
      <c r="K83" s="3">
        <v>360</v>
      </c>
      <c r="L83" s="3">
        <v>14</v>
      </c>
      <c r="M83">
        <v>-467.41660000000002</v>
      </c>
      <c r="N83">
        <v>-667.7</v>
      </c>
      <c r="P83" s="3">
        <v>360</v>
      </c>
      <c r="Q83" s="3">
        <v>14</v>
      </c>
      <c r="R83">
        <v>-467.41730000000001</v>
      </c>
      <c r="S83">
        <v>-667.7</v>
      </c>
    </row>
    <row r="84" spans="1:19" x14ac:dyDescent="0.25">
      <c r="A84" s="3">
        <v>360</v>
      </c>
      <c r="B84" s="3">
        <v>103</v>
      </c>
      <c r="C84">
        <v>5.0009851941071131E-4</v>
      </c>
      <c r="D84">
        <v>0</v>
      </c>
      <c r="F84" s="3">
        <v>360</v>
      </c>
      <c r="G84" s="3">
        <v>103</v>
      </c>
      <c r="H84">
        <v>-5.0000000000238742E-4</v>
      </c>
      <c r="I84">
        <v>0</v>
      </c>
      <c r="K84" s="3">
        <v>360</v>
      </c>
      <c r="L84" s="3">
        <v>103</v>
      </c>
      <c r="M84">
        <v>99.979799999999997</v>
      </c>
      <c r="N84">
        <v>499.9</v>
      </c>
      <c r="P84" s="3">
        <v>360</v>
      </c>
      <c r="Q84" s="3">
        <v>103</v>
      </c>
      <c r="R84">
        <v>99.9803</v>
      </c>
      <c r="S84">
        <v>499.9</v>
      </c>
    </row>
    <row r="85" spans="1:19" x14ac:dyDescent="0.25">
      <c r="A85" s="3">
        <v>360</v>
      </c>
      <c r="B85" s="3">
        <v>104</v>
      </c>
      <c r="C85">
        <v>2.1951005355994148E-3</v>
      </c>
      <c r="D85">
        <v>0</v>
      </c>
      <c r="F85" s="3">
        <v>360</v>
      </c>
      <c r="G85" s="3">
        <v>104</v>
      </c>
      <c r="H85">
        <v>2.9999999999930083E-4</v>
      </c>
      <c r="I85">
        <v>0</v>
      </c>
      <c r="K85" s="3">
        <v>360</v>
      </c>
      <c r="L85" s="3">
        <v>104</v>
      </c>
      <c r="M85">
        <v>-13.666499999999999</v>
      </c>
      <c r="N85">
        <v>-103</v>
      </c>
      <c r="P85" s="3">
        <v>360</v>
      </c>
      <c r="Q85" s="3">
        <v>104</v>
      </c>
      <c r="R85">
        <v>-13.6668</v>
      </c>
      <c r="S85">
        <v>-103</v>
      </c>
    </row>
    <row r="86" spans="1:19" x14ac:dyDescent="0.25">
      <c r="A86" s="3">
        <v>360</v>
      </c>
      <c r="B86" s="3">
        <v>110</v>
      </c>
      <c r="C86">
        <v>2.8569387899782662E-4</v>
      </c>
      <c r="D86">
        <v>0</v>
      </c>
      <c r="F86" s="3">
        <v>360</v>
      </c>
      <c r="G86" s="3">
        <v>110</v>
      </c>
      <c r="H86">
        <v>9.9999999996214228E-5</v>
      </c>
      <c r="I86">
        <v>0</v>
      </c>
      <c r="K86" s="3">
        <v>360</v>
      </c>
      <c r="L86" s="3">
        <v>110</v>
      </c>
      <c r="M86">
        <v>-35.002400000000002</v>
      </c>
      <c r="N86">
        <v>-362.7</v>
      </c>
      <c r="P86" s="3">
        <v>360</v>
      </c>
      <c r="Q86" s="3">
        <v>110</v>
      </c>
      <c r="R86">
        <v>-35.002499999999998</v>
      </c>
      <c r="S86">
        <v>-362.7</v>
      </c>
    </row>
    <row r="87" spans="1:19" x14ac:dyDescent="0.25">
      <c r="A87" s="3">
        <v>360</v>
      </c>
      <c r="B87" s="3">
        <v>114</v>
      </c>
      <c r="C87">
        <v>0</v>
      </c>
      <c r="D87">
        <v>0</v>
      </c>
      <c r="F87" s="3">
        <v>360</v>
      </c>
      <c r="G87" s="3">
        <v>114</v>
      </c>
      <c r="H87">
        <v>0</v>
      </c>
      <c r="I87">
        <v>0</v>
      </c>
      <c r="K87" s="3">
        <v>360</v>
      </c>
      <c r="L87" s="3">
        <v>114</v>
      </c>
      <c r="M87">
        <v>138.20079999999999</v>
      </c>
      <c r="N87">
        <v>921.1</v>
      </c>
      <c r="P87" s="3">
        <v>360</v>
      </c>
      <c r="Q87" s="3">
        <v>114</v>
      </c>
      <c r="R87">
        <v>138.20079999999999</v>
      </c>
      <c r="S87">
        <v>921.1</v>
      </c>
    </row>
    <row r="88" spans="1:19" x14ac:dyDescent="0.25">
      <c r="A88" s="3">
        <v>450</v>
      </c>
      <c r="B88" s="3">
        <v>1</v>
      </c>
      <c r="C88">
        <v>3.2566680278060039E-3</v>
      </c>
      <c r="D88">
        <v>0</v>
      </c>
      <c r="F88" s="3">
        <v>450</v>
      </c>
      <c r="G88" s="3">
        <v>1</v>
      </c>
      <c r="H88">
        <v>1.300000000007628E-3</v>
      </c>
      <c r="I88">
        <v>0</v>
      </c>
      <c r="K88" s="3">
        <v>450</v>
      </c>
      <c r="L88" s="3">
        <v>1</v>
      </c>
      <c r="M88">
        <v>39.919400000000003</v>
      </c>
      <c r="N88">
        <v>133.1</v>
      </c>
      <c r="P88" s="3">
        <v>450</v>
      </c>
      <c r="Q88" s="3">
        <v>1</v>
      </c>
      <c r="R88">
        <v>39.918100000000003</v>
      </c>
      <c r="S88">
        <v>133.1</v>
      </c>
    </row>
    <row r="89" spans="1:19" x14ac:dyDescent="0.25">
      <c r="A89" s="3">
        <v>450</v>
      </c>
      <c r="B89" s="3">
        <v>2</v>
      </c>
      <c r="C89">
        <v>3.2566680278060039E-3</v>
      </c>
      <c r="D89">
        <v>0</v>
      </c>
      <c r="F89" s="3">
        <v>450</v>
      </c>
      <c r="G89" s="3">
        <v>2</v>
      </c>
      <c r="H89">
        <v>1.300000000007628E-3</v>
      </c>
      <c r="I89">
        <v>0</v>
      </c>
      <c r="K89" s="3">
        <v>450</v>
      </c>
      <c r="L89" s="3">
        <v>2</v>
      </c>
      <c r="M89">
        <v>39.919400000000003</v>
      </c>
      <c r="N89">
        <v>159.69999999999999</v>
      </c>
      <c r="P89" s="3">
        <v>450</v>
      </c>
      <c r="Q89" s="3">
        <v>2</v>
      </c>
      <c r="R89">
        <v>39.918100000000003</v>
      </c>
      <c r="S89">
        <v>159.69999999999999</v>
      </c>
    </row>
    <row r="90" spans="1:19" x14ac:dyDescent="0.25">
      <c r="A90" s="3">
        <v>450</v>
      </c>
      <c r="B90" s="3">
        <v>3</v>
      </c>
      <c r="C90">
        <v>3.2566680278060039E-3</v>
      </c>
      <c r="D90">
        <v>0</v>
      </c>
      <c r="F90" s="3">
        <v>450</v>
      </c>
      <c r="G90" s="3">
        <v>3</v>
      </c>
      <c r="H90">
        <v>1.300000000007628E-3</v>
      </c>
      <c r="I90">
        <v>0</v>
      </c>
      <c r="K90" s="3">
        <v>450</v>
      </c>
      <c r="L90" s="3">
        <v>3</v>
      </c>
      <c r="M90">
        <v>39.919400000000003</v>
      </c>
      <c r="N90">
        <v>177.4</v>
      </c>
      <c r="P90" s="3">
        <v>450</v>
      </c>
      <c r="Q90" s="3">
        <v>3</v>
      </c>
      <c r="R90">
        <v>39.918100000000003</v>
      </c>
      <c r="S90">
        <v>177.4</v>
      </c>
    </row>
    <row r="91" spans="1:19" x14ac:dyDescent="0.25">
      <c r="A91" s="3">
        <v>450</v>
      </c>
      <c r="B91" s="3">
        <v>4</v>
      </c>
      <c r="C91">
        <v>1.5735903698414999E-4</v>
      </c>
      <c r="D91">
        <v>0</v>
      </c>
      <c r="F91" s="3">
        <v>450</v>
      </c>
      <c r="G91" s="3">
        <v>4</v>
      </c>
      <c r="H91">
        <v>-4.9999999998817657E-4</v>
      </c>
      <c r="I91">
        <v>0</v>
      </c>
      <c r="K91" s="3">
        <v>450</v>
      </c>
      <c r="L91" s="3">
        <v>4</v>
      </c>
      <c r="M91">
        <v>-317.74520000000001</v>
      </c>
      <c r="N91">
        <v>-1412.2</v>
      </c>
      <c r="P91" s="3">
        <v>450</v>
      </c>
      <c r="Q91" s="3">
        <v>4</v>
      </c>
      <c r="R91">
        <v>-317.74470000000002</v>
      </c>
      <c r="S91">
        <v>-1412.2</v>
      </c>
    </row>
    <row r="92" spans="1:19" x14ac:dyDescent="0.25">
      <c r="A92" s="3">
        <v>450</v>
      </c>
      <c r="B92" s="3">
        <v>5</v>
      </c>
      <c r="C92">
        <v>2.665351759804124E-3</v>
      </c>
      <c r="D92">
        <v>0</v>
      </c>
      <c r="F92" s="3">
        <v>450</v>
      </c>
      <c r="G92" s="3">
        <v>5</v>
      </c>
      <c r="H92">
        <v>1.6000000000033761E-3</v>
      </c>
      <c r="I92">
        <v>0</v>
      </c>
      <c r="K92" s="3">
        <v>450</v>
      </c>
      <c r="L92" s="3">
        <v>5</v>
      </c>
      <c r="M92">
        <v>-60.027999999999999</v>
      </c>
      <c r="N92">
        <v>-266.8</v>
      </c>
      <c r="P92" s="3">
        <v>450</v>
      </c>
      <c r="Q92" s="3">
        <v>5</v>
      </c>
      <c r="R92">
        <v>-60.029600000000002</v>
      </c>
      <c r="S92">
        <v>-266.8</v>
      </c>
    </row>
    <row r="93" spans="1:19" x14ac:dyDescent="0.25">
      <c r="A93" s="3">
        <v>450</v>
      </c>
      <c r="B93" s="3">
        <v>6</v>
      </c>
      <c r="C93">
        <v>2.301244019811934E-4</v>
      </c>
      <c r="D93">
        <v>0</v>
      </c>
      <c r="F93" s="3">
        <v>450</v>
      </c>
      <c r="G93" s="3">
        <v>6</v>
      </c>
      <c r="H93">
        <v>-7.000000000516593E-4</v>
      </c>
      <c r="I93">
        <v>0</v>
      </c>
      <c r="K93" s="3">
        <v>450</v>
      </c>
      <c r="L93" s="3">
        <v>6</v>
      </c>
      <c r="M93">
        <v>-304.18400000000003</v>
      </c>
      <c r="N93">
        <v>-1351.9</v>
      </c>
      <c r="P93" s="3">
        <v>450</v>
      </c>
      <c r="Q93" s="3">
        <v>6</v>
      </c>
      <c r="R93">
        <v>-304.18329999999997</v>
      </c>
      <c r="S93">
        <v>-1351.9</v>
      </c>
    </row>
    <row r="94" spans="1:19" x14ac:dyDescent="0.25">
      <c r="A94" s="3">
        <v>450</v>
      </c>
      <c r="B94" s="3">
        <v>7</v>
      </c>
      <c r="C94">
        <v>2.4710821611708382E-4</v>
      </c>
      <c r="D94">
        <v>0</v>
      </c>
      <c r="F94" s="3">
        <v>450</v>
      </c>
      <c r="G94" s="3">
        <v>7</v>
      </c>
      <c r="H94">
        <v>9.0000000005829861E-4</v>
      </c>
      <c r="I94">
        <v>0</v>
      </c>
      <c r="K94" s="3">
        <v>450</v>
      </c>
      <c r="L94" s="3">
        <v>7</v>
      </c>
      <c r="M94">
        <v>-364.21199999999999</v>
      </c>
      <c r="N94">
        <v>-520.29999999999995</v>
      </c>
      <c r="P94" s="3">
        <v>450</v>
      </c>
      <c r="Q94" s="3">
        <v>7</v>
      </c>
      <c r="R94">
        <v>-364.21289999999999</v>
      </c>
      <c r="S94">
        <v>-520.29999999999995</v>
      </c>
    </row>
    <row r="95" spans="1:19" x14ac:dyDescent="0.25">
      <c r="A95" s="3">
        <v>450</v>
      </c>
      <c r="B95" s="3">
        <v>8</v>
      </c>
      <c r="C95">
        <v>1.1229646266315921E-3</v>
      </c>
      <c r="D95">
        <v>0</v>
      </c>
      <c r="F95" s="3">
        <v>450</v>
      </c>
      <c r="G95" s="3">
        <v>8</v>
      </c>
      <c r="H95">
        <v>2.000000000030866E-4</v>
      </c>
      <c r="I95">
        <v>0</v>
      </c>
      <c r="K95" s="3">
        <v>450</v>
      </c>
      <c r="L95" s="3">
        <v>8</v>
      </c>
      <c r="M95">
        <v>17.810199999999998</v>
      </c>
      <c r="N95">
        <v>39.6</v>
      </c>
      <c r="P95" s="3">
        <v>450</v>
      </c>
      <c r="Q95" s="3">
        <v>8</v>
      </c>
      <c r="R95">
        <v>17.809999999999999</v>
      </c>
      <c r="S95">
        <v>39.6</v>
      </c>
    </row>
    <row r="96" spans="1:19" x14ac:dyDescent="0.25">
      <c r="A96" s="3">
        <v>450</v>
      </c>
      <c r="B96" s="3">
        <v>9</v>
      </c>
      <c r="C96">
        <v>1.8323508880008479E-4</v>
      </c>
      <c r="D96">
        <v>0</v>
      </c>
      <c r="F96" s="3">
        <v>450</v>
      </c>
      <c r="G96" s="3">
        <v>9</v>
      </c>
      <c r="H96">
        <v>7.000000000516593E-4</v>
      </c>
      <c r="I96">
        <v>0</v>
      </c>
      <c r="K96" s="3">
        <v>450</v>
      </c>
      <c r="L96" s="3">
        <v>9</v>
      </c>
      <c r="M96">
        <v>-382.0222</v>
      </c>
      <c r="N96">
        <v>-545.70000000000005</v>
      </c>
      <c r="P96" s="3">
        <v>450</v>
      </c>
      <c r="Q96" s="3">
        <v>9</v>
      </c>
      <c r="R96">
        <v>-382.02289999999999</v>
      </c>
      <c r="S96">
        <v>-545.70000000000005</v>
      </c>
    </row>
    <row r="97" spans="1:19" x14ac:dyDescent="0.25">
      <c r="A97" s="3">
        <v>450</v>
      </c>
      <c r="B97" s="3">
        <v>10</v>
      </c>
      <c r="C97">
        <v>1.8966514617723109E-4</v>
      </c>
      <c r="D97">
        <v>0</v>
      </c>
      <c r="F97" s="3">
        <v>450</v>
      </c>
      <c r="G97" s="3">
        <v>10</v>
      </c>
      <c r="H97">
        <v>9.9999999996214228E-5</v>
      </c>
      <c r="I97">
        <v>0</v>
      </c>
      <c r="K97" s="3">
        <v>450</v>
      </c>
      <c r="L97" s="3">
        <v>10</v>
      </c>
      <c r="M97">
        <v>52.724600000000002</v>
      </c>
      <c r="N97">
        <v>117.2</v>
      </c>
      <c r="P97" s="3">
        <v>450</v>
      </c>
      <c r="Q97" s="3">
        <v>10</v>
      </c>
      <c r="R97">
        <v>52.724499999999999</v>
      </c>
      <c r="S97">
        <v>117.2</v>
      </c>
    </row>
    <row r="98" spans="1:19" x14ac:dyDescent="0.25">
      <c r="A98" s="3">
        <v>450</v>
      </c>
      <c r="B98" s="3">
        <v>11</v>
      </c>
      <c r="C98">
        <v>2.4294074918874709E-4</v>
      </c>
      <c r="D98">
        <v>0</v>
      </c>
      <c r="F98" s="3">
        <v>450</v>
      </c>
      <c r="G98" s="3">
        <v>11</v>
      </c>
      <c r="H98">
        <v>8.0000000002655725E-4</v>
      </c>
      <c r="I98">
        <v>0</v>
      </c>
      <c r="K98" s="3">
        <v>450</v>
      </c>
      <c r="L98" s="3">
        <v>11</v>
      </c>
      <c r="M98">
        <v>-329.29759999999999</v>
      </c>
      <c r="N98">
        <v>-470.4</v>
      </c>
      <c r="P98" s="3">
        <v>450</v>
      </c>
      <c r="Q98" s="3">
        <v>11</v>
      </c>
      <c r="R98">
        <v>-329.29840000000002</v>
      </c>
      <c r="S98">
        <v>-470.4</v>
      </c>
    </row>
    <row r="99" spans="1:19" x14ac:dyDescent="0.25">
      <c r="A99" s="3">
        <v>450</v>
      </c>
      <c r="B99" s="3">
        <v>12</v>
      </c>
      <c r="C99">
        <v>2.4294074918874709E-4</v>
      </c>
      <c r="D99">
        <v>0</v>
      </c>
      <c r="F99" s="3">
        <v>450</v>
      </c>
      <c r="G99" s="3">
        <v>12</v>
      </c>
      <c r="H99">
        <v>8.0000000002655725E-4</v>
      </c>
      <c r="I99">
        <v>0</v>
      </c>
      <c r="K99" s="3">
        <v>450</v>
      </c>
      <c r="L99" s="3">
        <v>12</v>
      </c>
      <c r="M99">
        <v>-329.29759999999999</v>
      </c>
      <c r="N99">
        <v>-823.2</v>
      </c>
      <c r="P99" s="3">
        <v>450</v>
      </c>
      <c r="Q99" s="3">
        <v>12</v>
      </c>
      <c r="R99">
        <v>-329.29840000000002</v>
      </c>
      <c r="S99">
        <v>-823.2</v>
      </c>
    </row>
    <row r="100" spans="1:19" x14ac:dyDescent="0.25">
      <c r="A100" s="3">
        <v>450</v>
      </c>
      <c r="B100" s="3">
        <v>13</v>
      </c>
      <c r="C100">
        <v>1.497329726447825E-4</v>
      </c>
      <c r="D100">
        <v>0</v>
      </c>
      <c r="F100" s="3">
        <v>450</v>
      </c>
      <c r="G100" s="3">
        <v>13</v>
      </c>
      <c r="H100">
        <v>7.000000000516593E-4</v>
      </c>
      <c r="I100">
        <v>0</v>
      </c>
      <c r="K100" s="3">
        <v>450</v>
      </c>
      <c r="L100" s="3">
        <v>13</v>
      </c>
      <c r="M100">
        <v>-467.4982</v>
      </c>
      <c r="N100">
        <v>-1168.7</v>
      </c>
      <c r="P100" s="3">
        <v>450</v>
      </c>
      <c r="Q100" s="3">
        <v>13</v>
      </c>
      <c r="R100">
        <v>-467.49889999999999</v>
      </c>
      <c r="S100">
        <v>-1168.7</v>
      </c>
    </row>
    <row r="101" spans="1:19" x14ac:dyDescent="0.25">
      <c r="A101" s="3">
        <v>450</v>
      </c>
      <c r="B101" s="3">
        <v>14</v>
      </c>
      <c r="C101">
        <v>1.497329726447825E-4</v>
      </c>
      <c r="D101">
        <v>0</v>
      </c>
      <c r="F101" s="3">
        <v>450</v>
      </c>
      <c r="G101" s="3">
        <v>14</v>
      </c>
      <c r="H101">
        <v>7.000000000516593E-4</v>
      </c>
      <c r="I101">
        <v>0</v>
      </c>
      <c r="K101" s="3">
        <v>450</v>
      </c>
      <c r="L101" s="3">
        <v>14</v>
      </c>
      <c r="M101">
        <v>-467.4982</v>
      </c>
      <c r="N101">
        <v>-667.9</v>
      </c>
      <c r="P101" s="3">
        <v>450</v>
      </c>
      <c r="Q101" s="3">
        <v>14</v>
      </c>
      <c r="R101">
        <v>-467.49889999999999</v>
      </c>
      <c r="S101">
        <v>-667.9</v>
      </c>
    </row>
    <row r="102" spans="1:19" x14ac:dyDescent="0.25">
      <c r="A102" s="3">
        <v>450</v>
      </c>
      <c r="B102" s="3">
        <v>103</v>
      </c>
      <c r="C102">
        <v>3.001569821116033E-4</v>
      </c>
      <c r="D102">
        <v>0</v>
      </c>
      <c r="F102" s="3">
        <v>450</v>
      </c>
      <c r="G102" s="3">
        <v>103</v>
      </c>
      <c r="H102">
        <v>-3.0000000000995902E-4</v>
      </c>
      <c r="I102">
        <v>0</v>
      </c>
      <c r="K102" s="3">
        <v>450</v>
      </c>
      <c r="L102" s="3">
        <v>103</v>
      </c>
      <c r="M102">
        <v>99.947399999999988</v>
      </c>
      <c r="N102">
        <v>499.7</v>
      </c>
      <c r="P102" s="3">
        <v>450</v>
      </c>
      <c r="Q102" s="3">
        <v>103</v>
      </c>
      <c r="R102">
        <v>99.947699999999998</v>
      </c>
      <c r="S102">
        <v>499.7</v>
      </c>
    </row>
    <row r="103" spans="1:19" x14ac:dyDescent="0.25">
      <c r="A103" s="3">
        <v>450</v>
      </c>
      <c r="B103" s="3">
        <v>104</v>
      </c>
      <c r="C103">
        <v>1.4747739908693609E-3</v>
      </c>
      <c r="D103">
        <v>0</v>
      </c>
      <c r="F103" s="3">
        <v>450</v>
      </c>
      <c r="G103" s="3">
        <v>104</v>
      </c>
      <c r="H103">
        <v>1.999999999977575E-4</v>
      </c>
      <c r="I103">
        <v>0</v>
      </c>
      <c r="K103" s="3">
        <v>450</v>
      </c>
      <c r="L103" s="3">
        <v>104</v>
      </c>
      <c r="M103">
        <v>-13.561199999999999</v>
      </c>
      <c r="N103">
        <v>-102.2</v>
      </c>
      <c r="P103" s="3">
        <v>450</v>
      </c>
      <c r="Q103" s="3">
        <v>104</v>
      </c>
      <c r="R103">
        <v>-13.561400000000001</v>
      </c>
      <c r="S103">
        <v>-102.2</v>
      </c>
    </row>
    <row r="104" spans="1:19" x14ac:dyDescent="0.25">
      <c r="A104" s="3">
        <v>450</v>
      </c>
      <c r="B104" s="3">
        <v>110</v>
      </c>
      <c r="C104">
        <v>2.8641395407700019E-4</v>
      </c>
      <c r="D104">
        <v>0</v>
      </c>
      <c r="F104" s="3">
        <v>450</v>
      </c>
      <c r="G104" s="3">
        <v>110</v>
      </c>
      <c r="H104">
        <v>9.9999999996214228E-5</v>
      </c>
      <c r="I104">
        <v>0</v>
      </c>
      <c r="K104" s="3">
        <v>450</v>
      </c>
      <c r="L104" s="3">
        <v>110</v>
      </c>
      <c r="M104">
        <v>-34.914400000000001</v>
      </c>
      <c r="N104">
        <v>-361.8</v>
      </c>
      <c r="P104" s="3">
        <v>450</v>
      </c>
      <c r="Q104" s="3">
        <v>110</v>
      </c>
      <c r="R104">
        <v>-34.914499999999997</v>
      </c>
      <c r="S104">
        <v>-361.8</v>
      </c>
    </row>
    <row r="105" spans="1:19" x14ac:dyDescent="0.25">
      <c r="A105" s="3">
        <v>450</v>
      </c>
      <c r="B105" s="3">
        <v>114</v>
      </c>
      <c r="C105">
        <v>7.2358638357545495E-5</v>
      </c>
      <c r="D105">
        <v>0</v>
      </c>
      <c r="F105" s="3">
        <v>450</v>
      </c>
      <c r="G105" s="3">
        <v>114</v>
      </c>
      <c r="H105">
        <v>1.000000000033197E-4</v>
      </c>
      <c r="I105">
        <v>0</v>
      </c>
      <c r="K105" s="3">
        <v>450</v>
      </c>
      <c r="L105" s="3">
        <v>114</v>
      </c>
      <c r="M105">
        <v>138.20060000000001</v>
      </c>
      <c r="N105">
        <v>921.1</v>
      </c>
      <c r="P105" s="3">
        <v>450</v>
      </c>
      <c r="Q105" s="3">
        <v>114</v>
      </c>
      <c r="R105">
        <v>138.20050000000001</v>
      </c>
      <c r="S105">
        <v>921.1</v>
      </c>
    </row>
    <row r="106" spans="1:19" x14ac:dyDescent="0.25">
      <c r="A106" s="3">
        <v>630</v>
      </c>
      <c r="B106" s="3">
        <v>1</v>
      </c>
      <c r="C106">
        <v>2.1175505234458918E-3</v>
      </c>
      <c r="D106">
        <v>0</v>
      </c>
      <c r="F106" s="3">
        <v>630</v>
      </c>
      <c r="G106" s="3">
        <v>1</v>
      </c>
      <c r="H106">
        <v>8.0000000000524096E-4</v>
      </c>
      <c r="I106">
        <v>0</v>
      </c>
      <c r="K106" s="3">
        <v>630</v>
      </c>
      <c r="L106" s="3">
        <v>1</v>
      </c>
      <c r="M106">
        <v>37.780299999999997</v>
      </c>
      <c r="N106">
        <v>125.9</v>
      </c>
      <c r="P106" s="3">
        <v>630</v>
      </c>
      <c r="Q106" s="3">
        <v>1</v>
      </c>
      <c r="R106">
        <v>37.779499999999999</v>
      </c>
      <c r="S106">
        <v>125.9</v>
      </c>
    </row>
    <row r="107" spans="1:19" x14ac:dyDescent="0.25">
      <c r="A107" s="3">
        <v>630</v>
      </c>
      <c r="B107" s="3">
        <v>2</v>
      </c>
      <c r="C107">
        <v>2.1175505234458918E-3</v>
      </c>
      <c r="D107">
        <v>0</v>
      </c>
      <c r="F107" s="3">
        <v>630</v>
      </c>
      <c r="G107" s="3">
        <v>2</v>
      </c>
      <c r="H107">
        <v>8.0000000000524096E-4</v>
      </c>
      <c r="I107">
        <v>0</v>
      </c>
      <c r="K107" s="3">
        <v>630</v>
      </c>
      <c r="L107" s="3">
        <v>2</v>
      </c>
      <c r="M107">
        <v>37.780299999999997</v>
      </c>
      <c r="N107">
        <v>151.1</v>
      </c>
      <c r="P107" s="3">
        <v>630</v>
      </c>
      <c r="Q107" s="3">
        <v>2</v>
      </c>
      <c r="R107">
        <v>37.779499999999999</v>
      </c>
      <c r="S107">
        <v>151.1</v>
      </c>
    </row>
    <row r="108" spans="1:19" x14ac:dyDescent="0.25">
      <c r="A108" s="3">
        <v>630</v>
      </c>
      <c r="B108" s="3">
        <v>3</v>
      </c>
      <c r="C108">
        <v>2.1175505234458918E-3</v>
      </c>
      <c r="D108">
        <v>0</v>
      </c>
      <c r="F108" s="3">
        <v>630</v>
      </c>
      <c r="G108" s="3">
        <v>3</v>
      </c>
      <c r="H108">
        <v>8.0000000000524096E-4</v>
      </c>
      <c r="I108">
        <v>0</v>
      </c>
      <c r="K108" s="3">
        <v>630</v>
      </c>
      <c r="L108" s="3">
        <v>3</v>
      </c>
      <c r="M108">
        <v>37.780299999999997</v>
      </c>
      <c r="N108">
        <v>167.9</v>
      </c>
      <c r="P108" s="3">
        <v>630</v>
      </c>
      <c r="Q108" s="3">
        <v>3</v>
      </c>
      <c r="R108">
        <v>37.779499999999999</v>
      </c>
      <c r="S108">
        <v>167.9</v>
      </c>
    </row>
    <row r="109" spans="1:19" x14ac:dyDescent="0.25">
      <c r="A109" s="3">
        <v>630</v>
      </c>
      <c r="B109" s="3">
        <v>4</v>
      </c>
      <c r="C109">
        <v>6.2612996894908558E-5</v>
      </c>
      <c r="D109">
        <v>0</v>
      </c>
      <c r="F109" s="3">
        <v>630</v>
      </c>
      <c r="G109" s="3">
        <v>4</v>
      </c>
      <c r="H109">
        <v>-2.0000000000663931E-4</v>
      </c>
      <c r="I109">
        <v>0</v>
      </c>
      <c r="K109" s="3">
        <v>630</v>
      </c>
      <c r="L109" s="3">
        <v>4</v>
      </c>
      <c r="M109">
        <v>-319.42270000000002</v>
      </c>
      <c r="N109">
        <v>-1419.7</v>
      </c>
      <c r="P109" s="3">
        <v>630</v>
      </c>
      <c r="Q109" s="3">
        <v>4</v>
      </c>
      <c r="R109">
        <v>-319.42250000000001</v>
      </c>
      <c r="S109">
        <v>-1419.7</v>
      </c>
    </row>
    <row r="110" spans="1:19" x14ac:dyDescent="0.25">
      <c r="A110" s="3">
        <v>630</v>
      </c>
      <c r="B110" s="3">
        <v>5</v>
      </c>
      <c r="C110">
        <v>1.6683071687238699E-3</v>
      </c>
      <c r="D110">
        <v>0</v>
      </c>
      <c r="F110" s="3">
        <v>630</v>
      </c>
      <c r="G110" s="3">
        <v>5</v>
      </c>
      <c r="H110">
        <v>1.0000000000047751E-3</v>
      </c>
      <c r="I110">
        <v>0</v>
      </c>
      <c r="K110" s="3">
        <v>630</v>
      </c>
      <c r="L110" s="3">
        <v>5</v>
      </c>
      <c r="M110">
        <v>-59.94</v>
      </c>
      <c r="N110">
        <v>-266.39999999999998</v>
      </c>
      <c r="P110" s="3">
        <v>630</v>
      </c>
      <c r="Q110" s="3">
        <v>5</v>
      </c>
      <c r="R110">
        <v>-59.941000000000003</v>
      </c>
      <c r="S110">
        <v>-266.39999999999998</v>
      </c>
    </row>
    <row r="111" spans="1:19" x14ac:dyDescent="0.25">
      <c r="A111" s="3">
        <v>630</v>
      </c>
      <c r="B111" s="3">
        <v>6</v>
      </c>
      <c r="C111">
        <v>1.6530176996705539E-4</v>
      </c>
      <c r="D111">
        <v>0</v>
      </c>
      <c r="F111" s="3">
        <v>630</v>
      </c>
      <c r="G111" s="3">
        <v>6</v>
      </c>
      <c r="H111">
        <v>-5.0000000004501999E-4</v>
      </c>
      <c r="I111">
        <v>0</v>
      </c>
      <c r="K111" s="3">
        <v>630</v>
      </c>
      <c r="L111" s="3">
        <v>6</v>
      </c>
      <c r="M111">
        <v>-302.4776</v>
      </c>
      <c r="N111">
        <v>-1344.3</v>
      </c>
      <c r="P111" s="3">
        <v>630</v>
      </c>
      <c r="Q111" s="3">
        <v>6</v>
      </c>
      <c r="R111">
        <v>-302.47710000000001</v>
      </c>
      <c r="S111">
        <v>-1344.3</v>
      </c>
    </row>
    <row r="112" spans="1:19" x14ac:dyDescent="0.25">
      <c r="A112" s="3">
        <v>630</v>
      </c>
      <c r="B112" s="3">
        <v>7</v>
      </c>
      <c r="C112">
        <v>1.6555464530140039E-4</v>
      </c>
      <c r="D112">
        <v>0</v>
      </c>
      <c r="F112" s="3">
        <v>630</v>
      </c>
      <c r="G112" s="3">
        <v>7</v>
      </c>
      <c r="H112">
        <v>5.9999999996307452E-4</v>
      </c>
      <c r="I112">
        <v>0</v>
      </c>
      <c r="K112" s="3">
        <v>630</v>
      </c>
      <c r="L112" s="3">
        <v>7</v>
      </c>
      <c r="M112">
        <v>-362.41750000000002</v>
      </c>
      <c r="N112">
        <v>-517.70000000000005</v>
      </c>
      <c r="P112" s="3">
        <v>630</v>
      </c>
      <c r="Q112" s="3">
        <v>7</v>
      </c>
      <c r="R112">
        <v>-362.41809999999998</v>
      </c>
      <c r="S112">
        <v>-517.70000000000005</v>
      </c>
    </row>
    <row r="113" spans="1:19" x14ac:dyDescent="0.25">
      <c r="A113" s="3">
        <v>630</v>
      </c>
      <c r="B113" s="3">
        <v>8</v>
      </c>
      <c r="C113">
        <v>5.7332217266036942E-4</v>
      </c>
      <c r="D113">
        <v>0</v>
      </c>
      <c r="F113" s="3">
        <v>630</v>
      </c>
      <c r="G113" s="3">
        <v>8</v>
      </c>
      <c r="H113">
        <v>9.9999999999766942E-5</v>
      </c>
      <c r="I113">
        <v>0</v>
      </c>
      <c r="K113" s="3">
        <v>630</v>
      </c>
      <c r="L113" s="3">
        <v>8</v>
      </c>
      <c r="M113">
        <v>17.442299999999999</v>
      </c>
      <c r="N113">
        <v>38.799999999999997</v>
      </c>
      <c r="P113" s="3">
        <v>630</v>
      </c>
      <c r="Q113" s="3">
        <v>8</v>
      </c>
      <c r="R113">
        <v>17.4422</v>
      </c>
      <c r="S113">
        <v>38.799999999999997</v>
      </c>
    </row>
    <row r="114" spans="1:19" x14ac:dyDescent="0.25">
      <c r="A114" s="3">
        <v>630</v>
      </c>
      <c r="B114" s="3">
        <v>9</v>
      </c>
      <c r="C114">
        <v>1.3162733773131239E-4</v>
      </c>
      <c r="D114">
        <v>0</v>
      </c>
      <c r="F114" s="3">
        <v>630</v>
      </c>
      <c r="G114" s="3">
        <v>9</v>
      </c>
      <c r="H114">
        <v>4.9999999998817657E-4</v>
      </c>
      <c r="I114">
        <v>0</v>
      </c>
      <c r="K114" s="3">
        <v>630</v>
      </c>
      <c r="L114" s="3">
        <v>9</v>
      </c>
      <c r="M114">
        <v>-379.85980000000001</v>
      </c>
      <c r="N114">
        <v>-542.70000000000005</v>
      </c>
      <c r="P114" s="3">
        <v>630</v>
      </c>
      <c r="Q114" s="3">
        <v>9</v>
      </c>
      <c r="R114">
        <v>-379.8603</v>
      </c>
      <c r="S114">
        <v>-542.70000000000005</v>
      </c>
    </row>
    <row r="115" spans="1:19" x14ac:dyDescent="0.25">
      <c r="A115" s="3">
        <v>630</v>
      </c>
      <c r="B115" s="3">
        <v>10</v>
      </c>
      <c r="C115">
        <v>0</v>
      </c>
      <c r="D115">
        <v>0</v>
      </c>
      <c r="F115" s="3">
        <v>630</v>
      </c>
      <c r="G115" s="3">
        <v>10</v>
      </c>
      <c r="H115">
        <v>0</v>
      </c>
      <c r="I115">
        <v>0</v>
      </c>
      <c r="K115" s="3">
        <v>630</v>
      </c>
      <c r="L115" s="3">
        <v>10</v>
      </c>
      <c r="M115">
        <v>53.503999999999998</v>
      </c>
      <c r="N115">
        <v>118.9</v>
      </c>
      <c r="P115" s="3">
        <v>630</v>
      </c>
      <c r="Q115" s="3">
        <v>10</v>
      </c>
      <c r="R115">
        <v>53.503999999999998</v>
      </c>
      <c r="S115">
        <v>118.9</v>
      </c>
    </row>
    <row r="116" spans="1:19" x14ac:dyDescent="0.25">
      <c r="A116" s="3">
        <v>630</v>
      </c>
      <c r="B116" s="3">
        <v>11</v>
      </c>
      <c r="C116">
        <v>1.2256542924295779E-4</v>
      </c>
      <c r="D116">
        <v>0</v>
      </c>
      <c r="F116" s="3">
        <v>630</v>
      </c>
      <c r="G116" s="3">
        <v>11</v>
      </c>
      <c r="H116">
        <v>3.999999999564352E-4</v>
      </c>
      <c r="I116">
        <v>0</v>
      </c>
      <c r="K116" s="3">
        <v>630</v>
      </c>
      <c r="L116" s="3">
        <v>11</v>
      </c>
      <c r="M116">
        <v>-326.35590000000002</v>
      </c>
      <c r="N116">
        <v>-466.2</v>
      </c>
      <c r="P116" s="3">
        <v>630</v>
      </c>
      <c r="Q116" s="3">
        <v>11</v>
      </c>
      <c r="R116">
        <v>-326.35629999999998</v>
      </c>
      <c r="S116">
        <v>-466.2</v>
      </c>
    </row>
    <row r="117" spans="1:19" x14ac:dyDescent="0.25">
      <c r="A117" s="3">
        <v>630</v>
      </c>
      <c r="B117" s="3">
        <v>12</v>
      </c>
      <c r="C117">
        <v>1.2256542924295779E-4</v>
      </c>
      <c r="D117">
        <v>0</v>
      </c>
      <c r="F117" s="3">
        <v>630</v>
      </c>
      <c r="G117" s="3">
        <v>12</v>
      </c>
      <c r="H117">
        <v>3.999999999564352E-4</v>
      </c>
      <c r="I117">
        <v>0</v>
      </c>
      <c r="K117" s="3">
        <v>630</v>
      </c>
      <c r="L117" s="3">
        <v>12</v>
      </c>
      <c r="M117">
        <v>-326.35590000000002</v>
      </c>
      <c r="N117">
        <v>-815.9</v>
      </c>
      <c r="P117" s="3">
        <v>630</v>
      </c>
      <c r="Q117" s="3">
        <v>12</v>
      </c>
      <c r="R117">
        <v>-326.35629999999998</v>
      </c>
      <c r="S117">
        <v>-815.9</v>
      </c>
    </row>
    <row r="118" spans="1:19" x14ac:dyDescent="0.25">
      <c r="A118" s="3">
        <v>630</v>
      </c>
      <c r="B118" s="3">
        <v>13</v>
      </c>
      <c r="C118">
        <v>8.6107724210150773E-5</v>
      </c>
      <c r="D118">
        <v>0</v>
      </c>
      <c r="F118" s="3">
        <v>630</v>
      </c>
      <c r="G118" s="3">
        <v>13</v>
      </c>
      <c r="H118">
        <v>4.0000000001327862E-4</v>
      </c>
      <c r="I118">
        <v>0</v>
      </c>
      <c r="K118" s="3">
        <v>630</v>
      </c>
      <c r="L118" s="3">
        <v>13</v>
      </c>
      <c r="M118">
        <v>-464.53399999999999</v>
      </c>
      <c r="N118">
        <v>-1161.3</v>
      </c>
      <c r="P118" s="3">
        <v>630</v>
      </c>
      <c r="Q118" s="3">
        <v>13</v>
      </c>
      <c r="R118">
        <v>-464.53440000000001</v>
      </c>
      <c r="S118">
        <v>-1161.3</v>
      </c>
    </row>
    <row r="119" spans="1:19" x14ac:dyDescent="0.25">
      <c r="A119" s="3">
        <v>630</v>
      </c>
      <c r="B119" s="3">
        <v>14</v>
      </c>
      <c r="C119">
        <v>8.6107724210150773E-5</v>
      </c>
      <c r="D119">
        <v>0</v>
      </c>
      <c r="F119" s="3">
        <v>630</v>
      </c>
      <c r="G119" s="3">
        <v>14</v>
      </c>
      <c r="H119">
        <v>4.0000000001327862E-4</v>
      </c>
      <c r="I119">
        <v>0</v>
      </c>
      <c r="K119" s="3">
        <v>630</v>
      </c>
      <c r="L119" s="3">
        <v>14</v>
      </c>
      <c r="M119">
        <v>-464.53399999999999</v>
      </c>
      <c r="N119">
        <v>-663.6</v>
      </c>
      <c r="P119" s="3">
        <v>630</v>
      </c>
      <c r="Q119" s="3">
        <v>14</v>
      </c>
      <c r="R119">
        <v>-464.53440000000001</v>
      </c>
      <c r="S119">
        <v>-663.6</v>
      </c>
    </row>
    <row r="120" spans="1:19" x14ac:dyDescent="0.25">
      <c r="A120" s="3">
        <v>630</v>
      </c>
      <c r="B120" s="3">
        <v>103</v>
      </c>
      <c r="C120">
        <v>4.093302742853386E-4</v>
      </c>
      <c r="D120">
        <v>0</v>
      </c>
      <c r="F120" s="3">
        <v>630</v>
      </c>
      <c r="G120" s="3">
        <v>103</v>
      </c>
      <c r="H120">
        <v>-4.0000000001327862E-4</v>
      </c>
      <c r="I120">
        <v>0</v>
      </c>
      <c r="K120" s="3">
        <v>630</v>
      </c>
      <c r="L120" s="3">
        <v>103</v>
      </c>
      <c r="M120">
        <v>97.720199999999991</v>
      </c>
      <c r="N120">
        <v>488.6</v>
      </c>
      <c r="P120" s="3">
        <v>630</v>
      </c>
      <c r="Q120" s="3">
        <v>103</v>
      </c>
      <c r="R120">
        <v>97.720600000000005</v>
      </c>
      <c r="S120">
        <v>488.6</v>
      </c>
    </row>
    <row r="121" spans="1:19" x14ac:dyDescent="0.25">
      <c r="A121" s="3">
        <v>630</v>
      </c>
      <c r="B121" s="3">
        <v>104</v>
      </c>
      <c r="C121">
        <v>1.1802613098722159E-3</v>
      </c>
      <c r="D121">
        <v>0</v>
      </c>
      <c r="F121" s="3">
        <v>630</v>
      </c>
      <c r="G121" s="3">
        <v>104</v>
      </c>
      <c r="H121">
        <v>2.000000000030866E-4</v>
      </c>
      <c r="I121">
        <v>0</v>
      </c>
      <c r="K121" s="3">
        <v>630</v>
      </c>
      <c r="L121" s="3">
        <v>104</v>
      </c>
      <c r="M121">
        <v>-16.9452</v>
      </c>
      <c r="N121">
        <v>-127.7</v>
      </c>
      <c r="P121" s="3">
        <v>630</v>
      </c>
      <c r="Q121" s="3">
        <v>104</v>
      </c>
      <c r="R121">
        <v>-16.945399999999999</v>
      </c>
      <c r="S121">
        <v>-127.7</v>
      </c>
    </row>
    <row r="122" spans="1:19" x14ac:dyDescent="0.25">
      <c r="A122" s="3">
        <v>630</v>
      </c>
      <c r="B122" s="3">
        <v>110</v>
      </c>
      <c r="C122">
        <v>2.7730251207295901E-4</v>
      </c>
      <c r="D122">
        <v>0</v>
      </c>
      <c r="F122" s="3">
        <v>630</v>
      </c>
      <c r="G122" s="3">
        <v>110</v>
      </c>
      <c r="H122">
        <v>9.9999999996214228E-5</v>
      </c>
      <c r="I122">
        <v>0</v>
      </c>
      <c r="K122" s="3">
        <v>630</v>
      </c>
      <c r="L122" s="3">
        <v>110</v>
      </c>
      <c r="M122">
        <v>-36.061599999999999</v>
      </c>
      <c r="N122">
        <v>-373.7</v>
      </c>
      <c r="P122" s="3">
        <v>630</v>
      </c>
      <c r="Q122" s="3">
        <v>110</v>
      </c>
      <c r="R122">
        <v>-36.061699999999988</v>
      </c>
      <c r="S122">
        <v>-373.7</v>
      </c>
    </row>
    <row r="123" spans="1:19" x14ac:dyDescent="0.25">
      <c r="A123" s="3">
        <v>630</v>
      </c>
      <c r="B123" s="3">
        <v>114</v>
      </c>
      <c r="C123">
        <v>0</v>
      </c>
      <c r="D123">
        <v>0</v>
      </c>
      <c r="F123" s="3">
        <v>630</v>
      </c>
      <c r="G123" s="3">
        <v>114</v>
      </c>
      <c r="H123">
        <v>0</v>
      </c>
      <c r="I123">
        <v>0</v>
      </c>
      <c r="K123" s="3">
        <v>630</v>
      </c>
      <c r="L123" s="3">
        <v>114</v>
      </c>
      <c r="M123">
        <v>138.1781</v>
      </c>
      <c r="N123">
        <v>921</v>
      </c>
      <c r="P123" s="3">
        <v>630</v>
      </c>
      <c r="Q123" s="3">
        <v>114</v>
      </c>
      <c r="R123">
        <v>138.1781</v>
      </c>
      <c r="S123">
        <v>921</v>
      </c>
    </row>
    <row r="124" spans="1:19" x14ac:dyDescent="0.25">
      <c r="A124" s="3">
        <v>720</v>
      </c>
      <c r="B124" s="3">
        <v>1</v>
      </c>
      <c r="C124">
        <v>1.0590892361900381E-3</v>
      </c>
      <c r="D124">
        <v>0</v>
      </c>
      <c r="F124" s="3">
        <v>720</v>
      </c>
      <c r="G124" s="3">
        <v>1</v>
      </c>
      <c r="H124">
        <v>3.9999999999196229E-4</v>
      </c>
      <c r="I124">
        <v>0</v>
      </c>
      <c r="K124" s="3">
        <v>720</v>
      </c>
      <c r="L124" s="3">
        <v>1</v>
      </c>
      <c r="M124">
        <v>37.768700000000003</v>
      </c>
      <c r="N124">
        <v>125.9</v>
      </c>
      <c r="P124" s="3">
        <v>720</v>
      </c>
      <c r="Q124" s="3">
        <v>1</v>
      </c>
      <c r="R124">
        <v>37.768300000000004</v>
      </c>
      <c r="S124">
        <v>125.9</v>
      </c>
    </row>
    <row r="125" spans="1:19" x14ac:dyDescent="0.25">
      <c r="A125" s="3">
        <v>720</v>
      </c>
      <c r="B125" s="3">
        <v>2</v>
      </c>
      <c r="C125">
        <v>1.0590892361900381E-3</v>
      </c>
      <c r="D125">
        <v>0</v>
      </c>
      <c r="F125" s="3">
        <v>720</v>
      </c>
      <c r="G125" s="3">
        <v>2</v>
      </c>
      <c r="H125">
        <v>3.9999999999196229E-4</v>
      </c>
      <c r="I125">
        <v>0</v>
      </c>
      <c r="K125" s="3">
        <v>720</v>
      </c>
      <c r="L125" s="3">
        <v>2</v>
      </c>
      <c r="M125">
        <v>37.768700000000003</v>
      </c>
      <c r="N125">
        <v>151.1</v>
      </c>
      <c r="P125" s="3">
        <v>720</v>
      </c>
      <c r="Q125" s="3">
        <v>2</v>
      </c>
      <c r="R125">
        <v>37.768300000000004</v>
      </c>
      <c r="S125">
        <v>151.1</v>
      </c>
    </row>
    <row r="126" spans="1:19" x14ac:dyDescent="0.25">
      <c r="A126" s="3">
        <v>720</v>
      </c>
      <c r="B126" s="3">
        <v>3</v>
      </c>
      <c r="C126">
        <v>1.0590892361900381E-3</v>
      </c>
      <c r="D126">
        <v>0</v>
      </c>
      <c r="F126" s="3">
        <v>720</v>
      </c>
      <c r="G126" s="3">
        <v>3</v>
      </c>
      <c r="H126">
        <v>3.9999999999196229E-4</v>
      </c>
      <c r="I126">
        <v>0</v>
      </c>
      <c r="K126" s="3">
        <v>720</v>
      </c>
      <c r="L126" s="3">
        <v>3</v>
      </c>
      <c r="M126">
        <v>37.768700000000003</v>
      </c>
      <c r="N126">
        <v>167.9</v>
      </c>
      <c r="P126" s="3">
        <v>720</v>
      </c>
      <c r="Q126" s="3">
        <v>3</v>
      </c>
      <c r="R126">
        <v>37.768300000000004</v>
      </c>
      <c r="S126">
        <v>167.9</v>
      </c>
    </row>
    <row r="127" spans="1:19" x14ac:dyDescent="0.25">
      <c r="A127" s="3">
        <v>720</v>
      </c>
      <c r="B127" s="3">
        <v>4</v>
      </c>
      <c r="C127">
        <v>0</v>
      </c>
      <c r="D127">
        <v>0</v>
      </c>
      <c r="F127" s="3">
        <v>720</v>
      </c>
      <c r="G127" s="3">
        <v>4</v>
      </c>
      <c r="H127">
        <v>0</v>
      </c>
      <c r="I127">
        <v>0</v>
      </c>
      <c r="K127" s="3">
        <v>720</v>
      </c>
      <c r="L127" s="3">
        <v>4</v>
      </c>
      <c r="M127">
        <v>-319.42099999999999</v>
      </c>
      <c r="N127">
        <v>-1419.6</v>
      </c>
      <c r="P127" s="3">
        <v>720</v>
      </c>
      <c r="Q127" s="3">
        <v>4</v>
      </c>
      <c r="R127">
        <v>-319.42099999999999</v>
      </c>
      <c r="S127">
        <v>-1419.6</v>
      </c>
    </row>
    <row r="128" spans="1:19" x14ac:dyDescent="0.25">
      <c r="A128" s="3">
        <v>720</v>
      </c>
      <c r="B128" s="3">
        <v>5</v>
      </c>
      <c r="C128">
        <v>5.0049549052853673E-4</v>
      </c>
      <c r="D128">
        <v>0</v>
      </c>
      <c r="F128" s="3">
        <v>720</v>
      </c>
      <c r="G128" s="3">
        <v>5</v>
      </c>
      <c r="H128">
        <v>2.9999999999574811E-4</v>
      </c>
      <c r="I128">
        <v>0</v>
      </c>
      <c r="K128" s="3">
        <v>720</v>
      </c>
      <c r="L128" s="3">
        <v>5</v>
      </c>
      <c r="M128">
        <v>-59.940300000000001</v>
      </c>
      <c r="N128">
        <v>-266.39999999999998</v>
      </c>
      <c r="P128" s="3">
        <v>720</v>
      </c>
      <c r="Q128" s="3">
        <v>5</v>
      </c>
      <c r="R128">
        <v>-59.940600000000003</v>
      </c>
      <c r="S128">
        <v>-266.39999999999998</v>
      </c>
    </row>
    <row r="129" spans="1:19" x14ac:dyDescent="0.25">
      <c r="A129" s="3">
        <v>720</v>
      </c>
      <c r="B129" s="3">
        <v>6</v>
      </c>
      <c r="C129">
        <v>3.3060692811579833E-5</v>
      </c>
      <c r="D129">
        <v>0</v>
      </c>
      <c r="F129" s="3">
        <v>720</v>
      </c>
      <c r="G129" s="3">
        <v>6</v>
      </c>
      <c r="H129">
        <v>-9.9999999974897946E-5</v>
      </c>
      <c r="I129">
        <v>0</v>
      </c>
      <c r="K129" s="3">
        <v>720</v>
      </c>
      <c r="L129" s="3">
        <v>6</v>
      </c>
      <c r="M129">
        <v>-302.47410000000002</v>
      </c>
      <c r="N129">
        <v>-1344.3</v>
      </c>
      <c r="P129" s="3">
        <v>720</v>
      </c>
      <c r="Q129" s="3">
        <v>6</v>
      </c>
      <c r="R129">
        <v>-302.47399999999999</v>
      </c>
      <c r="S129">
        <v>-1344.3</v>
      </c>
    </row>
    <row r="130" spans="1:19" x14ac:dyDescent="0.25">
      <c r="A130" s="3">
        <v>720</v>
      </c>
      <c r="B130" s="3">
        <v>7</v>
      </c>
      <c r="C130">
        <v>5.5185414701779652E-5</v>
      </c>
      <c r="D130">
        <v>0</v>
      </c>
      <c r="F130" s="3">
        <v>720</v>
      </c>
      <c r="G130" s="3">
        <v>7</v>
      </c>
      <c r="H130">
        <v>1.9999999994979589E-4</v>
      </c>
      <c r="I130">
        <v>0</v>
      </c>
      <c r="K130" s="3">
        <v>720</v>
      </c>
      <c r="L130" s="3">
        <v>7</v>
      </c>
      <c r="M130">
        <v>-362.4144</v>
      </c>
      <c r="N130">
        <v>-517.70000000000005</v>
      </c>
      <c r="P130" s="3">
        <v>720</v>
      </c>
      <c r="Q130" s="3">
        <v>7</v>
      </c>
      <c r="R130">
        <v>-362.41460000000001</v>
      </c>
      <c r="S130">
        <v>-517.70000000000005</v>
      </c>
    </row>
    <row r="131" spans="1:19" x14ac:dyDescent="0.25">
      <c r="A131" s="3">
        <v>720</v>
      </c>
      <c r="B131" s="3">
        <v>8</v>
      </c>
      <c r="C131">
        <v>5.7319400899524635E-4</v>
      </c>
      <c r="D131">
        <v>0</v>
      </c>
      <c r="F131" s="3">
        <v>720</v>
      </c>
      <c r="G131" s="3">
        <v>8</v>
      </c>
      <c r="H131">
        <v>1.000000000033197E-4</v>
      </c>
      <c r="I131">
        <v>0</v>
      </c>
      <c r="K131" s="3">
        <v>720</v>
      </c>
      <c r="L131" s="3">
        <v>8</v>
      </c>
      <c r="M131">
        <v>17.446200000000001</v>
      </c>
      <c r="N131">
        <v>38.799999999999997</v>
      </c>
      <c r="P131" s="3">
        <v>720</v>
      </c>
      <c r="Q131" s="3">
        <v>8</v>
      </c>
      <c r="R131">
        <v>17.446100000000001</v>
      </c>
      <c r="S131">
        <v>38.799999999999997</v>
      </c>
    </row>
    <row r="132" spans="1:19" x14ac:dyDescent="0.25">
      <c r="A132" s="3">
        <v>720</v>
      </c>
      <c r="B132" s="3">
        <v>9</v>
      </c>
      <c r="C132">
        <v>5.2650865792584902E-5</v>
      </c>
      <c r="D132">
        <v>0</v>
      </c>
      <c r="F132" s="3">
        <v>720</v>
      </c>
      <c r="G132" s="3">
        <v>9</v>
      </c>
      <c r="H132">
        <v>2.0000000000663931E-4</v>
      </c>
      <c r="I132">
        <v>0</v>
      </c>
      <c r="K132" s="3">
        <v>720</v>
      </c>
      <c r="L132" s="3">
        <v>9</v>
      </c>
      <c r="M132">
        <v>-379.86059999999998</v>
      </c>
      <c r="N132">
        <v>-542.70000000000005</v>
      </c>
      <c r="P132" s="3">
        <v>720</v>
      </c>
      <c r="Q132" s="3">
        <v>9</v>
      </c>
      <c r="R132">
        <v>-379.86079999999998</v>
      </c>
      <c r="S132">
        <v>-542.70000000000005</v>
      </c>
    </row>
    <row r="133" spans="1:19" x14ac:dyDescent="0.25">
      <c r="A133" s="3">
        <v>720</v>
      </c>
      <c r="B133" s="3">
        <v>10</v>
      </c>
      <c r="C133">
        <v>1.8691693598902359E-4</v>
      </c>
      <c r="D133">
        <v>0</v>
      </c>
      <c r="F133" s="3">
        <v>720</v>
      </c>
      <c r="G133" s="3">
        <v>10</v>
      </c>
      <c r="H133">
        <v>1.000000000033197E-4</v>
      </c>
      <c r="I133">
        <v>0</v>
      </c>
      <c r="K133" s="3">
        <v>720</v>
      </c>
      <c r="L133" s="3">
        <v>10</v>
      </c>
      <c r="M133">
        <v>53.4998</v>
      </c>
      <c r="N133">
        <v>118.9</v>
      </c>
      <c r="P133" s="3">
        <v>720</v>
      </c>
      <c r="Q133" s="3">
        <v>10</v>
      </c>
      <c r="R133">
        <v>53.499699999999997</v>
      </c>
      <c r="S133">
        <v>118.9</v>
      </c>
    </row>
    <row r="134" spans="1:19" x14ac:dyDescent="0.25">
      <c r="A134" s="3">
        <v>720</v>
      </c>
      <c r="B134" s="3">
        <v>11</v>
      </c>
      <c r="C134">
        <v>6.1281832083686253E-5</v>
      </c>
      <c r="D134">
        <v>0</v>
      </c>
      <c r="F134" s="3">
        <v>720</v>
      </c>
      <c r="G134" s="3">
        <v>11</v>
      </c>
      <c r="H134">
        <v>2.0000000000663931E-4</v>
      </c>
      <c r="I134">
        <v>0</v>
      </c>
      <c r="K134" s="3">
        <v>720</v>
      </c>
      <c r="L134" s="3">
        <v>11</v>
      </c>
      <c r="M134">
        <v>-326.36079999999998</v>
      </c>
      <c r="N134">
        <v>-466.2</v>
      </c>
      <c r="P134" s="3">
        <v>720</v>
      </c>
      <c r="Q134" s="3">
        <v>11</v>
      </c>
      <c r="R134">
        <v>-326.36099999999999</v>
      </c>
      <c r="S134">
        <v>-466.2</v>
      </c>
    </row>
    <row r="135" spans="1:19" x14ac:dyDescent="0.25">
      <c r="A135" s="3">
        <v>720</v>
      </c>
      <c r="B135" s="3">
        <v>12</v>
      </c>
      <c r="C135">
        <v>6.1281832083686253E-5</v>
      </c>
      <c r="D135">
        <v>0</v>
      </c>
      <c r="F135" s="3">
        <v>720</v>
      </c>
      <c r="G135" s="3">
        <v>12</v>
      </c>
      <c r="H135">
        <v>2.0000000000663931E-4</v>
      </c>
      <c r="I135">
        <v>0</v>
      </c>
      <c r="K135" s="3">
        <v>720</v>
      </c>
      <c r="L135" s="3">
        <v>12</v>
      </c>
      <c r="M135">
        <v>-326.36079999999998</v>
      </c>
      <c r="N135">
        <v>-815.9</v>
      </c>
      <c r="P135" s="3">
        <v>720</v>
      </c>
      <c r="Q135" s="3">
        <v>12</v>
      </c>
      <c r="R135">
        <v>-326.36099999999999</v>
      </c>
      <c r="S135">
        <v>-815.9</v>
      </c>
    </row>
    <row r="136" spans="1:19" x14ac:dyDescent="0.25">
      <c r="A136" s="3">
        <v>720</v>
      </c>
      <c r="B136" s="3">
        <v>13</v>
      </c>
      <c r="C136">
        <v>6.4580070241920673E-5</v>
      </c>
      <c r="D136">
        <v>0</v>
      </c>
      <c r="F136" s="3">
        <v>720</v>
      </c>
      <c r="G136" s="3">
        <v>13</v>
      </c>
      <c r="H136">
        <v>2.9999999998153731E-4</v>
      </c>
      <c r="I136">
        <v>0</v>
      </c>
      <c r="K136" s="3">
        <v>720</v>
      </c>
      <c r="L136" s="3">
        <v>13</v>
      </c>
      <c r="M136">
        <v>-464.53930000000003</v>
      </c>
      <c r="N136">
        <v>-1161.3</v>
      </c>
      <c r="P136" s="3">
        <v>720</v>
      </c>
      <c r="Q136" s="3">
        <v>13</v>
      </c>
      <c r="R136">
        <v>-464.53960000000001</v>
      </c>
      <c r="S136">
        <v>-1161.3</v>
      </c>
    </row>
    <row r="137" spans="1:19" x14ac:dyDescent="0.25">
      <c r="A137" s="3">
        <v>720</v>
      </c>
      <c r="B137" s="3">
        <v>14</v>
      </c>
      <c r="C137">
        <v>6.4580070241920673E-5</v>
      </c>
      <c r="D137">
        <v>0</v>
      </c>
      <c r="F137" s="3">
        <v>720</v>
      </c>
      <c r="G137" s="3">
        <v>14</v>
      </c>
      <c r="H137">
        <v>2.9999999998153731E-4</v>
      </c>
      <c r="I137">
        <v>0</v>
      </c>
      <c r="K137" s="3">
        <v>720</v>
      </c>
      <c r="L137" s="3">
        <v>14</v>
      </c>
      <c r="M137">
        <v>-464.53930000000003</v>
      </c>
      <c r="N137">
        <v>-663.6</v>
      </c>
      <c r="P137" s="3">
        <v>720</v>
      </c>
      <c r="Q137" s="3">
        <v>14</v>
      </c>
      <c r="R137">
        <v>-464.53960000000001</v>
      </c>
      <c r="S137">
        <v>-663.6</v>
      </c>
    </row>
    <row r="138" spans="1:19" x14ac:dyDescent="0.25">
      <c r="A138" s="3">
        <v>720</v>
      </c>
      <c r="B138" s="3">
        <v>103</v>
      </c>
      <c r="C138">
        <v>0</v>
      </c>
      <c r="D138">
        <v>0</v>
      </c>
      <c r="F138" s="3">
        <v>720</v>
      </c>
      <c r="G138" s="3">
        <v>103</v>
      </c>
      <c r="H138">
        <v>0</v>
      </c>
      <c r="I138">
        <v>0</v>
      </c>
      <c r="K138" s="3">
        <v>720</v>
      </c>
      <c r="L138" s="3">
        <v>103</v>
      </c>
      <c r="M138">
        <v>97.7089</v>
      </c>
      <c r="N138">
        <v>488.5</v>
      </c>
      <c r="P138" s="3">
        <v>720</v>
      </c>
      <c r="Q138" s="3">
        <v>103</v>
      </c>
      <c r="R138">
        <v>97.7089</v>
      </c>
      <c r="S138">
        <v>488.5</v>
      </c>
    </row>
    <row r="139" spans="1:19" x14ac:dyDescent="0.25">
      <c r="A139" s="3">
        <v>720</v>
      </c>
      <c r="B139" s="3">
        <v>104</v>
      </c>
      <c r="C139">
        <v>5.9007493949497986E-4</v>
      </c>
      <c r="D139">
        <v>0</v>
      </c>
      <c r="F139" s="3">
        <v>720</v>
      </c>
      <c r="G139" s="3">
        <v>104</v>
      </c>
      <c r="H139">
        <v>9.9999999996214228E-5</v>
      </c>
      <c r="I139">
        <v>0</v>
      </c>
      <c r="K139" s="3">
        <v>720</v>
      </c>
      <c r="L139" s="3">
        <v>104</v>
      </c>
      <c r="M139">
        <v>-16.946899999999999</v>
      </c>
      <c r="N139">
        <v>-127.7</v>
      </c>
      <c r="P139" s="3">
        <v>720</v>
      </c>
      <c r="Q139" s="3">
        <v>104</v>
      </c>
      <c r="R139">
        <v>-16.946999999999999</v>
      </c>
      <c r="S139">
        <v>-127.7</v>
      </c>
    </row>
    <row r="140" spans="1:19" x14ac:dyDescent="0.25">
      <c r="A140" s="3">
        <v>720</v>
      </c>
      <c r="B140" s="3">
        <v>110</v>
      </c>
      <c r="C140">
        <v>0</v>
      </c>
      <c r="D140">
        <v>0</v>
      </c>
      <c r="F140" s="3">
        <v>720</v>
      </c>
      <c r="G140" s="3">
        <v>110</v>
      </c>
      <c r="H140">
        <v>0</v>
      </c>
      <c r="I140">
        <v>0</v>
      </c>
      <c r="K140" s="3">
        <v>720</v>
      </c>
      <c r="L140" s="3">
        <v>110</v>
      </c>
      <c r="M140">
        <v>-36.053600000000003</v>
      </c>
      <c r="N140">
        <v>-373.6</v>
      </c>
      <c r="P140" s="3">
        <v>720</v>
      </c>
      <c r="Q140" s="3">
        <v>110</v>
      </c>
      <c r="R140">
        <v>-36.053600000000003</v>
      </c>
      <c r="S140">
        <v>-373.6</v>
      </c>
    </row>
    <row r="141" spans="1:19" x14ac:dyDescent="0.25">
      <c r="A141" s="3">
        <v>720</v>
      </c>
      <c r="B141" s="3">
        <v>114</v>
      </c>
      <c r="C141">
        <v>0</v>
      </c>
      <c r="D141">
        <v>0</v>
      </c>
      <c r="F141" s="3">
        <v>720</v>
      </c>
      <c r="G141" s="3">
        <v>114</v>
      </c>
      <c r="H141">
        <v>0</v>
      </c>
      <c r="I141">
        <v>0</v>
      </c>
      <c r="K141" s="3">
        <v>720</v>
      </c>
      <c r="L141" s="3">
        <v>114</v>
      </c>
      <c r="M141">
        <v>138.17850000000001</v>
      </c>
      <c r="N141">
        <v>921</v>
      </c>
      <c r="P141" s="3">
        <v>720</v>
      </c>
      <c r="Q141" s="3">
        <v>114</v>
      </c>
      <c r="R141">
        <v>138.17850000000001</v>
      </c>
      <c r="S141">
        <v>921</v>
      </c>
    </row>
    <row r="142" spans="1:19" x14ac:dyDescent="0.25">
      <c r="A142" s="3">
        <v>900</v>
      </c>
      <c r="B142" s="3">
        <v>1</v>
      </c>
      <c r="C142">
        <v>2.6763371648547211E-4</v>
      </c>
      <c r="D142">
        <v>0</v>
      </c>
      <c r="F142" s="3">
        <v>900</v>
      </c>
      <c r="G142" s="3">
        <v>1</v>
      </c>
      <c r="H142">
        <v>-9.9999999996214228E-5</v>
      </c>
      <c r="I142">
        <v>0</v>
      </c>
      <c r="K142" s="3">
        <v>900</v>
      </c>
      <c r="L142" s="3">
        <v>1</v>
      </c>
      <c r="M142">
        <v>37.364400000000003</v>
      </c>
      <c r="N142">
        <v>124.5</v>
      </c>
      <c r="P142" s="3">
        <v>900</v>
      </c>
      <c r="Q142" s="3">
        <v>1</v>
      </c>
      <c r="R142">
        <v>37.3645</v>
      </c>
      <c r="S142">
        <v>124.5</v>
      </c>
    </row>
    <row r="143" spans="1:19" x14ac:dyDescent="0.25">
      <c r="A143" s="3">
        <v>900</v>
      </c>
      <c r="B143" s="3">
        <v>2</v>
      </c>
      <c r="C143">
        <v>2.6763371648547211E-4</v>
      </c>
      <c r="D143">
        <v>0</v>
      </c>
      <c r="F143" s="3">
        <v>900</v>
      </c>
      <c r="G143" s="3">
        <v>2</v>
      </c>
      <c r="H143">
        <v>-9.9999999996214228E-5</v>
      </c>
      <c r="I143">
        <v>0</v>
      </c>
      <c r="K143" s="3">
        <v>900</v>
      </c>
      <c r="L143" s="3">
        <v>2</v>
      </c>
      <c r="M143">
        <v>37.364400000000003</v>
      </c>
      <c r="N143">
        <v>149.5</v>
      </c>
      <c r="P143" s="3">
        <v>900</v>
      </c>
      <c r="Q143" s="3">
        <v>2</v>
      </c>
      <c r="R143">
        <v>37.3645</v>
      </c>
      <c r="S143">
        <v>149.5</v>
      </c>
    </row>
    <row r="144" spans="1:19" x14ac:dyDescent="0.25">
      <c r="A144" s="3">
        <v>900</v>
      </c>
      <c r="B144" s="3">
        <v>3</v>
      </c>
      <c r="C144">
        <v>2.6763371648547211E-4</v>
      </c>
      <c r="D144">
        <v>0</v>
      </c>
      <c r="F144" s="3">
        <v>900</v>
      </c>
      <c r="G144" s="3">
        <v>3</v>
      </c>
      <c r="H144">
        <v>-9.9999999996214228E-5</v>
      </c>
      <c r="I144">
        <v>0</v>
      </c>
      <c r="K144" s="3">
        <v>900</v>
      </c>
      <c r="L144" s="3">
        <v>3</v>
      </c>
      <c r="M144">
        <v>37.364400000000003</v>
      </c>
      <c r="N144">
        <v>166.1</v>
      </c>
      <c r="P144" s="3">
        <v>900</v>
      </c>
      <c r="Q144" s="3">
        <v>3</v>
      </c>
      <c r="R144">
        <v>37.3645</v>
      </c>
      <c r="S144">
        <v>166.1</v>
      </c>
    </row>
    <row r="145" spans="1:19" x14ac:dyDescent="0.25">
      <c r="A145" s="3">
        <v>900</v>
      </c>
      <c r="B145" s="3">
        <v>4</v>
      </c>
      <c r="C145">
        <v>0</v>
      </c>
      <c r="D145">
        <v>0</v>
      </c>
      <c r="F145" s="3">
        <v>900</v>
      </c>
      <c r="G145" s="3">
        <v>4</v>
      </c>
      <c r="H145">
        <v>0</v>
      </c>
      <c r="I145">
        <v>0</v>
      </c>
      <c r="K145" s="3">
        <v>900</v>
      </c>
      <c r="L145" s="3">
        <v>4</v>
      </c>
      <c r="M145">
        <v>-319.81009999999998</v>
      </c>
      <c r="N145">
        <v>-1421.4</v>
      </c>
      <c r="P145" s="3">
        <v>900</v>
      </c>
      <c r="Q145" s="3">
        <v>4</v>
      </c>
      <c r="R145">
        <v>-319.81009999999998</v>
      </c>
      <c r="S145">
        <v>-1421.4</v>
      </c>
    </row>
    <row r="146" spans="1:19" x14ac:dyDescent="0.25">
      <c r="A146" s="3">
        <v>900</v>
      </c>
      <c r="B146" s="3">
        <v>5</v>
      </c>
      <c r="C146">
        <v>3.2947029413383719E-4</v>
      </c>
      <c r="D146">
        <v>0</v>
      </c>
      <c r="F146" s="3">
        <v>900</v>
      </c>
      <c r="G146" s="3">
        <v>5</v>
      </c>
      <c r="H146">
        <v>-1.9999999999953391E-4</v>
      </c>
      <c r="I146">
        <v>0</v>
      </c>
      <c r="K146" s="3">
        <v>900</v>
      </c>
      <c r="L146" s="3">
        <v>5</v>
      </c>
      <c r="M146">
        <v>-60.703699999999998</v>
      </c>
      <c r="N146">
        <v>-269.8</v>
      </c>
      <c r="P146" s="3">
        <v>900</v>
      </c>
      <c r="Q146" s="3">
        <v>5</v>
      </c>
      <c r="R146">
        <v>-60.703499999999998</v>
      </c>
      <c r="S146">
        <v>-269.8</v>
      </c>
    </row>
    <row r="147" spans="1:19" x14ac:dyDescent="0.25">
      <c r="A147" s="3">
        <v>900</v>
      </c>
      <c r="B147" s="3">
        <v>6</v>
      </c>
      <c r="C147">
        <v>3.3014054404817002E-5</v>
      </c>
      <c r="D147">
        <v>0</v>
      </c>
      <c r="F147" s="3">
        <v>900</v>
      </c>
      <c r="G147" s="3">
        <v>6</v>
      </c>
      <c r="H147">
        <v>9.9999999974897946E-5</v>
      </c>
      <c r="I147">
        <v>0</v>
      </c>
      <c r="K147" s="3">
        <v>900</v>
      </c>
      <c r="L147" s="3">
        <v>6</v>
      </c>
      <c r="M147">
        <v>-302.90120000000002</v>
      </c>
      <c r="N147">
        <v>-1346.2</v>
      </c>
      <c r="P147" s="3">
        <v>900</v>
      </c>
      <c r="Q147" s="3">
        <v>6</v>
      </c>
      <c r="R147">
        <v>-302.90129999999999</v>
      </c>
      <c r="S147">
        <v>-1346.2</v>
      </c>
    </row>
    <row r="148" spans="1:19" x14ac:dyDescent="0.25">
      <c r="A148" s="3">
        <v>900</v>
      </c>
      <c r="B148" s="3">
        <v>7</v>
      </c>
      <c r="C148">
        <v>2.7502387215939219E-5</v>
      </c>
      <c r="D148">
        <v>0</v>
      </c>
      <c r="F148" s="3">
        <v>900</v>
      </c>
      <c r="G148" s="3">
        <v>7</v>
      </c>
      <c r="H148">
        <v>-1.0000000003174141E-4</v>
      </c>
      <c r="I148">
        <v>0</v>
      </c>
      <c r="K148" s="3">
        <v>900</v>
      </c>
      <c r="L148" s="3">
        <v>7</v>
      </c>
      <c r="M148">
        <v>-363.60489999999999</v>
      </c>
      <c r="N148">
        <v>-519.4</v>
      </c>
      <c r="P148" s="3">
        <v>900</v>
      </c>
      <c r="Q148" s="3">
        <v>7</v>
      </c>
      <c r="R148">
        <v>-363.60480000000001</v>
      </c>
      <c r="S148">
        <v>-519.4</v>
      </c>
    </row>
    <row r="149" spans="1:19" x14ac:dyDescent="0.25">
      <c r="A149" s="3">
        <v>900</v>
      </c>
      <c r="B149" s="3">
        <v>8</v>
      </c>
      <c r="C149">
        <v>0</v>
      </c>
      <c r="D149">
        <v>0</v>
      </c>
      <c r="F149" s="3">
        <v>900</v>
      </c>
      <c r="G149" s="3">
        <v>8</v>
      </c>
      <c r="H149">
        <v>0</v>
      </c>
      <c r="I149">
        <v>0</v>
      </c>
      <c r="K149" s="3">
        <v>900</v>
      </c>
      <c r="L149" s="3">
        <v>8</v>
      </c>
      <c r="M149">
        <v>17.4694</v>
      </c>
      <c r="N149">
        <v>38.799999999999997</v>
      </c>
      <c r="P149" s="3">
        <v>900</v>
      </c>
      <c r="Q149" s="3">
        <v>8</v>
      </c>
      <c r="R149">
        <v>17.4694</v>
      </c>
      <c r="S149">
        <v>38.799999999999997</v>
      </c>
    </row>
    <row r="150" spans="1:19" x14ac:dyDescent="0.25">
      <c r="A150" s="3">
        <v>900</v>
      </c>
      <c r="B150" s="3">
        <v>9</v>
      </c>
      <c r="C150">
        <v>2.6241601696807669E-5</v>
      </c>
      <c r="D150">
        <v>0</v>
      </c>
      <c r="F150" s="3">
        <v>900</v>
      </c>
      <c r="G150" s="3">
        <v>9</v>
      </c>
      <c r="H150">
        <v>9.9999999974897946E-5</v>
      </c>
      <c r="I150">
        <v>0</v>
      </c>
      <c r="K150" s="3">
        <v>900</v>
      </c>
      <c r="L150" s="3">
        <v>9</v>
      </c>
      <c r="M150">
        <v>-381.07420000000002</v>
      </c>
      <c r="N150">
        <v>-544.4</v>
      </c>
      <c r="P150" s="3">
        <v>900</v>
      </c>
      <c r="Q150" s="3">
        <v>9</v>
      </c>
      <c r="R150">
        <v>-381.07429999999999</v>
      </c>
      <c r="S150">
        <v>-544.4</v>
      </c>
    </row>
    <row r="151" spans="1:19" x14ac:dyDescent="0.25">
      <c r="A151" s="3">
        <v>900</v>
      </c>
      <c r="B151" s="3">
        <v>10</v>
      </c>
      <c r="C151">
        <v>1.8782764186232059E-4</v>
      </c>
      <c r="D151">
        <v>0</v>
      </c>
      <c r="F151" s="3">
        <v>900</v>
      </c>
      <c r="G151" s="3">
        <v>10</v>
      </c>
      <c r="H151">
        <v>-1.000000000104251E-4</v>
      </c>
      <c r="I151">
        <v>0</v>
      </c>
      <c r="K151" s="3">
        <v>900</v>
      </c>
      <c r="L151" s="3">
        <v>10</v>
      </c>
      <c r="M151">
        <v>53.240199999999987</v>
      </c>
      <c r="N151">
        <v>118.3</v>
      </c>
      <c r="P151" s="3">
        <v>900</v>
      </c>
      <c r="Q151" s="3">
        <v>10</v>
      </c>
      <c r="R151">
        <v>53.240299999999998</v>
      </c>
      <c r="S151">
        <v>118.3</v>
      </c>
    </row>
    <row r="152" spans="1:19" x14ac:dyDescent="0.25">
      <c r="A152" s="3">
        <v>900</v>
      </c>
      <c r="B152" s="3">
        <v>11</v>
      </c>
      <c r="C152">
        <v>0</v>
      </c>
      <c r="D152">
        <v>0</v>
      </c>
      <c r="F152" s="3">
        <v>900</v>
      </c>
      <c r="G152" s="3">
        <v>11</v>
      </c>
      <c r="H152">
        <v>0</v>
      </c>
      <c r="I152">
        <v>0</v>
      </c>
      <c r="K152" s="3">
        <v>900</v>
      </c>
      <c r="L152" s="3">
        <v>11</v>
      </c>
      <c r="M152">
        <v>-327.834</v>
      </c>
      <c r="N152">
        <v>-468.3</v>
      </c>
      <c r="P152" s="3">
        <v>900</v>
      </c>
      <c r="Q152" s="3">
        <v>11</v>
      </c>
      <c r="R152">
        <v>-327.834</v>
      </c>
      <c r="S152">
        <v>-468.3</v>
      </c>
    </row>
    <row r="153" spans="1:19" x14ac:dyDescent="0.25">
      <c r="A153" s="3">
        <v>900</v>
      </c>
      <c r="B153" s="3">
        <v>12</v>
      </c>
      <c r="C153">
        <v>0</v>
      </c>
      <c r="D153">
        <v>0</v>
      </c>
      <c r="F153" s="3">
        <v>900</v>
      </c>
      <c r="G153" s="3">
        <v>12</v>
      </c>
      <c r="H153">
        <v>0</v>
      </c>
      <c r="I153">
        <v>0</v>
      </c>
      <c r="K153" s="3">
        <v>900</v>
      </c>
      <c r="L153" s="3">
        <v>12</v>
      </c>
      <c r="M153">
        <v>-327.834</v>
      </c>
      <c r="N153">
        <v>-819.6</v>
      </c>
      <c r="P153" s="3">
        <v>900</v>
      </c>
      <c r="Q153" s="3">
        <v>12</v>
      </c>
      <c r="R153">
        <v>-327.834</v>
      </c>
      <c r="S153">
        <v>-819.6</v>
      </c>
    </row>
    <row r="154" spans="1:19" x14ac:dyDescent="0.25">
      <c r="A154" s="3">
        <v>900</v>
      </c>
      <c r="B154" s="3">
        <v>13</v>
      </c>
      <c r="C154">
        <v>2.1458674878522001E-5</v>
      </c>
      <c r="D154">
        <v>0</v>
      </c>
      <c r="F154" s="3">
        <v>900</v>
      </c>
      <c r="G154" s="3">
        <v>13</v>
      </c>
      <c r="H154">
        <v>-9.9999999974897946E-5</v>
      </c>
      <c r="I154">
        <v>0</v>
      </c>
      <c r="K154" s="3">
        <v>900</v>
      </c>
      <c r="L154" s="3">
        <v>13</v>
      </c>
      <c r="M154">
        <v>-466.01209999999998</v>
      </c>
      <c r="N154">
        <v>-1165</v>
      </c>
      <c r="P154" s="3">
        <v>900</v>
      </c>
      <c r="Q154" s="3">
        <v>13</v>
      </c>
      <c r="R154">
        <v>-466.012</v>
      </c>
      <c r="S154">
        <v>-1165</v>
      </c>
    </row>
    <row r="155" spans="1:19" x14ac:dyDescent="0.25">
      <c r="A155" s="3">
        <v>900</v>
      </c>
      <c r="B155" s="3">
        <v>14</v>
      </c>
      <c r="C155">
        <v>2.1458674878522001E-5</v>
      </c>
      <c r="D155">
        <v>0</v>
      </c>
      <c r="F155" s="3">
        <v>900</v>
      </c>
      <c r="G155" s="3">
        <v>14</v>
      </c>
      <c r="H155">
        <v>-9.9999999974897946E-5</v>
      </c>
      <c r="I155">
        <v>0</v>
      </c>
      <c r="K155" s="3">
        <v>900</v>
      </c>
      <c r="L155" s="3">
        <v>14</v>
      </c>
      <c r="M155">
        <v>-466.01209999999998</v>
      </c>
      <c r="N155">
        <v>-665.7</v>
      </c>
      <c r="P155" s="3">
        <v>900</v>
      </c>
      <c r="Q155" s="3">
        <v>14</v>
      </c>
      <c r="R155">
        <v>-466.012</v>
      </c>
      <c r="S155">
        <v>-665.7</v>
      </c>
    </row>
    <row r="156" spans="1:19" x14ac:dyDescent="0.25">
      <c r="A156" s="3">
        <v>900</v>
      </c>
      <c r="B156" s="3">
        <v>103</v>
      </c>
      <c r="C156">
        <v>0</v>
      </c>
      <c r="D156">
        <v>0</v>
      </c>
      <c r="F156" s="3">
        <v>900</v>
      </c>
      <c r="G156" s="3">
        <v>103</v>
      </c>
      <c r="H156">
        <v>0</v>
      </c>
      <c r="I156">
        <v>0</v>
      </c>
      <c r="K156" s="3">
        <v>900</v>
      </c>
      <c r="L156" s="3">
        <v>103</v>
      </c>
      <c r="M156">
        <v>98.067999999999998</v>
      </c>
      <c r="N156">
        <v>490.3</v>
      </c>
      <c r="P156" s="3">
        <v>900</v>
      </c>
      <c r="Q156" s="3">
        <v>103</v>
      </c>
      <c r="R156">
        <v>98.067999999999998</v>
      </c>
      <c r="S156">
        <v>490.3</v>
      </c>
    </row>
    <row r="157" spans="1:19" x14ac:dyDescent="0.25">
      <c r="A157" s="3">
        <v>900</v>
      </c>
      <c r="B157" s="3">
        <v>104</v>
      </c>
      <c r="C157">
        <v>0</v>
      </c>
      <c r="D157">
        <v>0</v>
      </c>
      <c r="F157" s="3">
        <v>900</v>
      </c>
      <c r="G157" s="3">
        <v>104</v>
      </c>
      <c r="H157">
        <v>0</v>
      </c>
      <c r="I157">
        <v>0</v>
      </c>
      <c r="K157" s="3">
        <v>900</v>
      </c>
      <c r="L157" s="3">
        <v>104</v>
      </c>
      <c r="M157">
        <v>-16.908899999999999</v>
      </c>
      <c r="N157">
        <v>-127.4</v>
      </c>
      <c r="P157" s="3">
        <v>900</v>
      </c>
      <c r="Q157" s="3">
        <v>104</v>
      </c>
      <c r="R157">
        <v>-16.908899999999999</v>
      </c>
      <c r="S157">
        <v>-127.4</v>
      </c>
    </row>
    <row r="158" spans="1:19" x14ac:dyDescent="0.25">
      <c r="A158" s="3">
        <v>900</v>
      </c>
      <c r="B158" s="3">
        <v>110</v>
      </c>
      <c r="C158">
        <v>2.7955762801871819E-4</v>
      </c>
      <c r="D158">
        <v>0</v>
      </c>
      <c r="F158" s="3">
        <v>900</v>
      </c>
      <c r="G158" s="3">
        <v>110</v>
      </c>
      <c r="H158">
        <v>-1.000000000033197E-4</v>
      </c>
      <c r="I158">
        <v>0</v>
      </c>
      <c r="K158" s="3">
        <v>900</v>
      </c>
      <c r="L158" s="3">
        <v>110</v>
      </c>
      <c r="M158">
        <v>-35.770899999999997</v>
      </c>
      <c r="N158">
        <v>-370.7</v>
      </c>
      <c r="P158" s="3">
        <v>900</v>
      </c>
      <c r="Q158" s="3">
        <v>110</v>
      </c>
      <c r="R158">
        <v>-35.770800000000001</v>
      </c>
      <c r="S158">
        <v>-370.7</v>
      </c>
    </row>
    <row r="159" spans="1:19" x14ac:dyDescent="0.25">
      <c r="A159" s="3">
        <v>900</v>
      </c>
      <c r="B159" s="3">
        <v>114</v>
      </c>
      <c r="C159">
        <v>7.2370420764028762E-5</v>
      </c>
      <c r="D159">
        <v>0</v>
      </c>
      <c r="F159" s="3">
        <v>900</v>
      </c>
      <c r="G159" s="3">
        <v>114</v>
      </c>
      <c r="H159">
        <v>1.000000000033197E-4</v>
      </c>
      <c r="I159">
        <v>0</v>
      </c>
      <c r="K159" s="3">
        <v>900</v>
      </c>
      <c r="L159" s="3">
        <v>114</v>
      </c>
      <c r="M159">
        <v>138.1781</v>
      </c>
      <c r="N159">
        <v>921</v>
      </c>
      <c r="P159" s="3">
        <v>900</v>
      </c>
      <c r="Q159" s="3">
        <v>114</v>
      </c>
      <c r="R159">
        <v>138.178</v>
      </c>
      <c r="S159">
        <v>921</v>
      </c>
    </row>
    <row r="160" spans="1:19" x14ac:dyDescent="0.25">
      <c r="A160" s="3">
        <v>910</v>
      </c>
      <c r="B160" s="3">
        <v>1</v>
      </c>
      <c r="C160">
        <v>4.3566910061917138E-4</v>
      </c>
      <c r="D160">
        <v>0</v>
      </c>
      <c r="F160" s="3">
        <v>910</v>
      </c>
      <c r="G160" s="3">
        <v>1</v>
      </c>
      <c r="H160">
        <v>-1.000000000033197E-4</v>
      </c>
      <c r="I160">
        <v>0</v>
      </c>
      <c r="K160" s="3">
        <v>910</v>
      </c>
      <c r="L160" s="3">
        <v>1</v>
      </c>
      <c r="M160">
        <v>22.953099999999999</v>
      </c>
      <c r="N160">
        <v>76.5</v>
      </c>
      <c r="P160" s="3">
        <v>910</v>
      </c>
      <c r="Q160" s="3">
        <v>1</v>
      </c>
      <c r="R160">
        <v>22.953199999999999</v>
      </c>
      <c r="S160">
        <v>76.5</v>
      </c>
    </row>
    <row r="161" spans="1:19" x14ac:dyDescent="0.25">
      <c r="A161" s="3">
        <v>910</v>
      </c>
      <c r="B161" s="3">
        <v>2</v>
      </c>
      <c r="C161">
        <v>4.3566910061917138E-4</v>
      </c>
      <c r="D161">
        <v>0</v>
      </c>
      <c r="F161" s="3">
        <v>910</v>
      </c>
      <c r="G161" s="3">
        <v>2</v>
      </c>
      <c r="H161">
        <v>-1.000000000033197E-4</v>
      </c>
      <c r="I161">
        <v>0</v>
      </c>
      <c r="K161" s="3">
        <v>910</v>
      </c>
      <c r="L161" s="3">
        <v>2</v>
      </c>
      <c r="M161">
        <v>22.953099999999999</v>
      </c>
      <c r="N161">
        <v>91.8</v>
      </c>
      <c r="P161" s="3">
        <v>910</v>
      </c>
      <c r="Q161" s="3">
        <v>2</v>
      </c>
      <c r="R161">
        <v>22.953199999999999</v>
      </c>
      <c r="S161">
        <v>91.8</v>
      </c>
    </row>
    <row r="162" spans="1:19" x14ac:dyDescent="0.25">
      <c r="A162" s="3">
        <v>910</v>
      </c>
      <c r="B162" s="3">
        <v>3</v>
      </c>
      <c r="C162">
        <v>4.3566910061917138E-4</v>
      </c>
      <c r="D162">
        <v>0</v>
      </c>
      <c r="F162" s="3">
        <v>910</v>
      </c>
      <c r="G162" s="3">
        <v>3</v>
      </c>
      <c r="H162">
        <v>-1.000000000033197E-4</v>
      </c>
      <c r="I162">
        <v>0</v>
      </c>
      <c r="K162" s="3">
        <v>910</v>
      </c>
      <c r="L162" s="3">
        <v>3</v>
      </c>
      <c r="M162">
        <v>22.953099999999999</v>
      </c>
      <c r="N162">
        <v>102</v>
      </c>
      <c r="P162" s="3">
        <v>910</v>
      </c>
      <c r="Q162" s="3">
        <v>3</v>
      </c>
      <c r="R162">
        <v>22.953199999999999</v>
      </c>
      <c r="S162">
        <v>102</v>
      </c>
    </row>
    <row r="163" spans="1:19" x14ac:dyDescent="0.25">
      <c r="A163" s="3">
        <v>910</v>
      </c>
      <c r="B163" s="3">
        <v>4</v>
      </c>
      <c r="C163">
        <v>0</v>
      </c>
      <c r="D163">
        <v>0</v>
      </c>
      <c r="F163" s="3">
        <v>910</v>
      </c>
      <c r="G163" s="3">
        <v>4</v>
      </c>
      <c r="H163">
        <v>0</v>
      </c>
      <c r="I163">
        <v>0</v>
      </c>
      <c r="K163" s="3">
        <v>910</v>
      </c>
      <c r="L163" s="3">
        <v>4</v>
      </c>
      <c r="M163">
        <v>-265.60000000000002</v>
      </c>
      <c r="N163">
        <v>-1180.4000000000001</v>
      </c>
      <c r="P163" s="3">
        <v>910</v>
      </c>
      <c r="Q163" s="3">
        <v>4</v>
      </c>
      <c r="R163">
        <v>-265.60000000000002</v>
      </c>
      <c r="S163">
        <v>-1180.4000000000001</v>
      </c>
    </row>
    <row r="164" spans="1:19" x14ac:dyDescent="0.25">
      <c r="A164" s="3">
        <v>910</v>
      </c>
      <c r="B164" s="3">
        <v>5</v>
      </c>
      <c r="C164">
        <v>4.752309622465448E-4</v>
      </c>
      <c r="D164">
        <v>0</v>
      </c>
      <c r="F164" s="3">
        <v>910</v>
      </c>
      <c r="G164" s="3">
        <v>5</v>
      </c>
      <c r="H164">
        <v>-9.9999999999766942E-5</v>
      </c>
      <c r="I164">
        <v>0</v>
      </c>
      <c r="K164" s="3">
        <v>910</v>
      </c>
      <c r="L164" s="3">
        <v>5</v>
      </c>
      <c r="M164">
        <v>-21.0425</v>
      </c>
      <c r="N164">
        <v>-93.5</v>
      </c>
      <c r="P164" s="3">
        <v>910</v>
      </c>
      <c r="Q164" s="3">
        <v>5</v>
      </c>
      <c r="R164">
        <v>-21.042400000000001</v>
      </c>
      <c r="S164">
        <v>-93.5</v>
      </c>
    </row>
    <row r="165" spans="1:19" x14ac:dyDescent="0.25">
      <c r="A165" s="3">
        <v>910</v>
      </c>
      <c r="B165" s="3">
        <v>6</v>
      </c>
      <c r="C165">
        <v>0</v>
      </c>
      <c r="D165">
        <v>0</v>
      </c>
      <c r="F165" s="3">
        <v>910</v>
      </c>
      <c r="G165" s="3">
        <v>6</v>
      </c>
      <c r="H165">
        <v>0</v>
      </c>
      <c r="I165">
        <v>0</v>
      </c>
      <c r="K165" s="3">
        <v>910</v>
      </c>
      <c r="L165" s="3">
        <v>6</v>
      </c>
      <c r="M165">
        <v>-210.40649999999999</v>
      </c>
      <c r="N165">
        <v>-935.1</v>
      </c>
      <c r="P165" s="3">
        <v>910</v>
      </c>
      <c r="Q165" s="3">
        <v>6</v>
      </c>
      <c r="R165">
        <v>-210.40649999999999</v>
      </c>
      <c r="S165">
        <v>-935.1</v>
      </c>
    </row>
    <row r="166" spans="1:19" x14ac:dyDescent="0.25">
      <c r="A166" s="3">
        <v>910</v>
      </c>
      <c r="B166" s="3">
        <v>7</v>
      </c>
      <c r="C166">
        <v>0</v>
      </c>
      <c r="D166">
        <v>0</v>
      </c>
      <c r="F166" s="3">
        <v>910</v>
      </c>
      <c r="G166" s="3">
        <v>7</v>
      </c>
      <c r="H166">
        <v>0</v>
      </c>
      <c r="I166">
        <v>0</v>
      </c>
      <c r="K166" s="3">
        <v>910</v>
      </c>
      <c r="L166" s="3">
        <v>7</v>
      </c>
      <c r="M166">
        <v>-231.44890000000001</v>
      </c>
      <c r="N166">
        <v>-330.6</v>
      </c>
      <c r="P166" s="3">
        <v>910</v>
      </c>
      <c r="Q166" s="3">
        <v>7</v>
      </c>
      <c r="R166">
        <v>-231.44890000000001</v>
      </c>
      <c r="S166">
        <v>-330.6</v>
      </c>
    </row>
    <row r="167" spans="1:19" x14ac:dyDescent="0.25">
      <c r="A167" s="3">
        <v>910</v>
      </c>
      <c r="B167" s="3">
        <v>8</v>
      </c>
      <c r="C167">
        <v>0</v>
      </c>
      <c r="D167">
        <v>0</v>
      </c>
      <c r="F167" s="3">
        <v>910</v>
      </c>
      <c r="G167" s="3">
        <v>8</v>
      </c>
      <c r="H167">
        <v>0</v>
      </c>
      <c r="I167">
        <v>0</v>
      </c>
      <c r="K167" s="3">
        <v>910</v>
      </c>
      <c r="L167" s="3">
        <v>8</v>
      </c>
      <c r="M167">
        <v>-71.604600000000005</v>
      </c>
      <c r="N167">
        <v>-159.1</v>
      </c>
      <c r="P167" s="3">
        <v>910</v>
      </c>
      <c r="Q167" s="3">
        <v>8</v>
      </c>
      <c r="R167">
        <v>-71.604600000000005</v>
      </c>
      <c r="S167">
        <v>-159.1</v>
      </c>
    </row>
    <row r="168" spans="1:19" x14ac:dyDescent="0.25">
      <c r="A168" s="3">
        <v>910</v>
      </c>
      <c r="B168" s="3">
        <v>9</v>
      </c>
      <c r="C168">
        <v>0</v>
      </c>
      <c r="D168">
        <v>0</v>
      </c>
      <c r="F168" s="3">
        <v>910</v>
      </c>
      <c r="G168" s="3">
        <v>9</v>
      </c>
      <c r="H168">
        <v>0</v>
      </c>
      <c r="I168">
        <v>0</v>
      </c>
      <c r="K168" s="3">
        <v>910</v>
      </c>
      <c r="L168" s="3">
        <v>9</v>
      </c>
      <c r="M168">
        <v>-159.8443</v>
      </c>
      <c r="N168">
        <v>-228.3</v>
      </c>
      <c r="P168" s="3">
        <v>910</v>
      </c>
      <c r="Q168" s="3">
        <v>9</v>
      </c>
      <c r="R168">
        <v>-159.8443</v>
      </c>
      <c r="S168">
        <v>-228.3</v>
      </c>
    </row>
    <row r="169" spans="1:19" x14ac:dyDescent="0.25">
      <c r="A169" s="3">
        <v>910</v>
      </c>
      <c r="B169" s="3">
        <v>10</v>
      </c>
      <c r="C169">
        <v>5.0717140362837633E-4</v>
      </c>
      <c r="D169">
        <v>0</v>
      </c>
      <c r="F169" s="3">
        <v>910</v>
      </c>
      <c r="G169" s="3">
        <v>10</v>
      </c>
      <c r="H169">
        <v>9.9999999996214228E-5</v>
      </c>
      <c r="I169">
        <v>0</v>
      </c>
      <c r="K169" s="3">
        <v>910</v>
      </c>
      <c r="L169" s="3">
        <v>10</v>
      </c>
      <c r="M169">
        <v>19.717300000000002</v>
      </c>
      <c r="N169">
        <v>43.8</v>
      </c>
      <c r="P169" s="3">
        <v>910</v>
      </c>
      <c r="Q169" s="3">
        <v>10</v>
      </c>
      <c r="R169">
        <v>19.717199999999998</v>
      </c>
      <c r="S169">
        <v>43.8</v>
      </c>
    </row>
    <row r="170" spans="1:19" x14ac:dyDescent="0.25">
      <c r="A170" s="3">
        <v>910</v>
      </c>
      <c r="B170" s="3">
        <v>11</v>
      </c>
      <c r="C170">
        <v>0</v>
      </c>
      <c r="D170">
        <v>0</v>
      </c>
      <c r="F170" s="3">
        <v>910</v>
      </c>
      <c r="G170" s="3">
        <v>11</v>
      </c>
      <c r="H170">
        <v>0</v>
      </c>
      <c r="I170">
        <v>0</v>
      </c>
      <c r="K170" s="3">
        <v>910</v>
      </c>
      <c r="L170" s="3">
        <v>11</v>
      </c>
      <c r="M170">
        <v>-140.12700000000001</v>
      </c>
      <c r="N170">
        <v>-200.2</v>
      </c>
      <c r="P170" s="3">
        <v>910</v>
      </c>
      <c r="Q170" s="3">
        <v>11</v>
      </c>
      <c r="R170">
        <v>-140.12700000000001</v>
      </c>
      <c r="S170">
        <v>-200.2</v>
      </c>
    </row>
    <row r="171" spans="1:19" x14ac:dyDescent="0.25">
      <c r="A171" s="3">
        <v>910</v>
      </c>
      <c r="B171" s="3">
        <v>12</v>
      </c>
      <c r="C171">
        <v>0</v>
      </c>
      <c r="D171">
        <v>0</v>
      </c>
      <c r="F171" s="3">
        <v>910</v>
      </c>
      <c r="G171" s="3">
        <v>12</v>
      </c>
      <c r="H171">
        <v>0</v>
      </c>
      <c r="I171">
        <v>0</v>
      </c>
      <c r="K171" s="3">
        <v>910</v>
      </c>
      <c r="L171" s="3">
        <v>12</v>
      </c>
      <c r="M171">
        <v>-140.12700000000001</v>
      </c>
      <c r="N171">
        <v>-350.3</v>
      </c>
      <c r="P171" s="3">
        <v>910</v>
      </c>
      <c r="Q171" s="3">
        <v>12</v>
      </c>
      <c r="R171">
        <v>-140.12700000000001</v>
      </c>
      <c r="S171">
        <v>-350.3</v>
      </c>
    </row>
    <row r="172" spans="1:19" x14ac:dyDescent="0.25">
      <c r="A172" s="3">
        <v>910</v>
      </c>
      <c r="B172" s="3">
        <v>13</v>
      </c>
      <c r="C172">
        <v>0</v>
      </c>
      <c r="D172">
        <v>0</v>
      </c>
      <c r="F172" s="3">
        <v>910</v>
      </c>
      <c r="G172" s="3">
        <v>13</v>
      </c>
      <c r="H172">
        <v>0</v>
      </c>
      <c r="I172">
        <v>0</v>
      </c>
      <c r="K172" s="3">
        <v>910</v>
      </c>
      <c r="L172" s="3">
        <v>13</v>
      </c>
      <c r="M172">
        <v>-281.73270000000002</v>
      </c>
      <c r="N172">
        <v>-704.3</v>
      </c>
      <c r="P172" s="3">
        <v>910</v>
      </c>
      <c r="Q172" s="3">
        <v>13</v>
      </c>
      <c r="R172">
        <v>-281.73270000000002</v>
      </c>
      <c r="S172">
        <v>-704.3</v>
      </c>
    </row>
    <row r="173" spans="1:19" x14ac:dyDescent="0.25">
      <c r="A173" s="3">
        <v>910</v>
      </c>
      <c r="B173" s="3">
        <v>14</v>
      </c>
      <c r="C173">
        <v>0</v>
      </c>
      <c r="D173">
        <v>0</v>
      </c>
      <c r="F173" s="3">
        <v>910</v>
      </c>
      <c r="G173" s="3">
        <v>14</v>
      </c>
      <c r="H173">
        <v>0</v>
      </c>
      <c r="I173">
        <v>0</v>
      </c>
      <c r="K173" s="3">
        <v>910</v>
      </c>
      <c r="L173" s="3">
        <v>14</v>
      </c>
      <c r="M173">
        <v>-281.73270000000002</v>
      </c>
      <c r="N173">
        <v>-402.5</v>
      </c>
      <c r="P173" s="3">
        <v>910</v>
      </c>
      <c r="Q173" s="3">
        <v>14</v>
      </c>
      <c r="R173">
        <v>-281.73270000000002</v>
      </c>
      <c r="S173">
        <v>-402.5</v>
      </c>
    </row>
    <row r="174" spans="1:19" x14ac:dyDescent="0.25">
      <c r="A174" s="3">
        <v>910</v>
      </c>
      <c r="B174" s="3">
        <v>103</v>
      </c>
      <c r="C174">
        <v>0</v>
      </c>
      <c r="D174">
        <v>0</v>
      </c>
      <c r="F174" s="3">
        <v>910</v>
      </c>
      <c r="G174" s="3">
        <v>103</v>
      </c>
      <c r="H174">
        <v>0</v>
      </c>
      <c r="I174">
        <v>0</v>
      </c>
      <c r="K174" s="3">
        <v>910</v>
      </c>
      <c r="L174" s="3">
        <v>103</v>
      </c>
      <c r="M174">
        <v>43.995600000000003</v>
      </c>
      <c r="N174">
        <v>220</v>
      </c>
      <c r="P174" s="3">
        <v>910</v>
      </c>
      <c r="Q174" s="3">
        <v>103</v>
      </c>
      <c r="R174">
        <v>43.995600000000003</v>
      </c>
      <c r="S174">
        <v>220</v>
      </c>
    </row>
    <row r="175" spans="1:19" x14ac:dyDescent="0.25">
      <c r="A175" s="3">
        <v>910</v>
      </c>
      <c r="B175" s="3">
        <v>104</v>
      </c>
      <c r="C175">
        <v>0</v>
      </c>
      <c r="D175">
        <v>0</v>
      </c>
      <c r="F175" s="3">
        <v>910</v>
      </c>
      <c r="G175" s="3">
        <v>104</v>
      </c>
      <c r="H175">
        <v>0</v>
      </c>
      <c r="I175">
        <v>0</v>
      </c>
      <c r="K175" s="3">
        <v>910</v>
      </c>
      <c r="L175" s="3">
        <v>104</v>
      </c>
      <c r="M175">
        <v>-55.1935</v>
      </c>
      <c r="N175">
        <v>-415.8</v>
      </c>
      <c r="P175" s="3">
        <v>910</v>
      </c>
      <c r="Q175" s="3">
        <v>104</v>
      </c>
      <c r="R175">
        <v>-55.1935</v>
      </c>
      <c r="S175">
        <v>-415.8</v>
      </c>
    </row>
    <row r="176" spans="1:19" x14ac:dyDescent="0.25">
      <c r="A176" s="3">
        <v>910</v>
      </c>
      <c r="B176" s="3">
        <v>110</v>
      </c>
      <c r="C176">
        <v>0</v>
      </c>
      <c r="D176">
        <v>0</v>
      </c>
      <c r="F176" s="3">
        <v>910</v>
      </c>
      <c r="G176" s="3">
        <v>110</v>
      </c>
      <c r="H176">
        <v>0</v>
      </c>
      <c r="I176">
        <v>0</v>
      </c>
      <c r="K176" s="3">
        <v>910</v>
      </c>
      <c r="L176" s="3">
        <v>110</v>
      </c>
      <c r="M176">
        <v>-91.321899999999999</v>
      </c>
      <c r="N176">
        <v>-946.3</v>
      </c>
      <c r="P176" s="3">
        <v>910</v>
      </c>
      <c r="Q176" s="3">
        <v>110</v>
      </c>
      <c r="R176">
        <v>-91.321899999999999</v>
      </c>
      <c r="S176">
        <v>-946.3</v>
      </c>
    </row>
    <row r="177" spans="1:19" x14ac:dyDescent="0.25">
      <c r="A177" s="3">
        <v>910</v>
      </c>
      <c r="B177" s="3">
        <v>114</v>
      </c>
      <c r="C177">
        <v>7.061867609989976E-5</v>
      </c>
      <c r="D177">
        <v>0</v>
      </c>
      <c r="F177" s="3">
        <v>910</v>
      </c>
      <c r="G177" s="3">
        <v>114</v>
      </c>
      <c r="H177">
        <v>1.000000000033197E-4</v>
      </c>
      <c r="I177">
        <v>0</v>
      </c>
      <c r="K177" s="3">
        <v>910</v>
      </c>
      <c r="L177" s="3">
        <v>114</v>
      </c>
      <c r="M177">
        <v>141.60570000000001</v>
      </c>
      <c r="N177">
        <v>943.8</v>
      </c>
      <c r="P177" s="3">
        <v>910</v>
      </c>
      <c r="Q177" s="3">
        <v>114</v>
      </c>
      <c r="R177">
        <v>141.60560000000001</v>
      </c>
      <c r="S177">
        <v>943.8</v>
      </c>
    </row>
    <row r="178" spans="1:19" x14ac:dyDescent="0.25">
      <c r="A178" s="3">
        <v>920</v>
      </c>
      <c r="B178" s="3">
        <v>1</v>
      </c>
      <c r="C178">
        <v>2.6707333031419629E-4</v>
      </c>
      <c r="D178">
        <v>0</v>
      </c>
      <c r="F178" s="3">
        <v>920</v>
      </c>
      <c r="G178" s="3">
        <v>1</v>
      </c>
      <c r="H178">
        <v>-9.9999999996214228E-5</v>
      </c>
      <c r="I178">
        <v>0</v>
      </c>
      <c r="K178" s="3">
        <v>920</v>
      </c>
      <c r="L178" s="3">
        <v>1</v>
      </c>
      <c r="M178">
        <v>37.442800000000013</v>
      </c>
      <c r="N178">
        <v>124.8</v>
      </c>
      <c r="P178" s="3">
        <v>920</v>
      </c>
      <c r="Q178" s="3">
        <v>1</v>
      </c>
      <c r="R178">
        <v>37.442900000000002</v>
      </c>
      <c r="S178">
        <v>124.8</v>
      </c>
    </row>
    <row r="179" spans="1:19" x14ac:dyDescent="0.25">
      <c r="A179" s="3">
        <v>920</v>
      </c>
      <c r="B179" s="3">
        <v>2</v>
      </c>
      <c r="C179">
        <v>2.6707333031419629E-4</v>
      </c>
      <c r="D179">
        <v>0</v>
      </c>
      <c r="F179" s="3">
        <v>920</v>
      </c>
      <c r="G179" s="3">
        <v>2</v>
      </c>
      <c r="H179">
        <v>-9.9999999996214228E-5</v>
      </c>
      <c r="I179">
        <v>0</v>
      </c>
      <c r="K179" s="3">
        <v>920</v>
      </c>
      <c r="L179" s="3">
        <v>2</v>
      </c>
      <c r="M179">
        <v>37.442800000000013</v>
      </c>
      <c r="N179">
        <v>149.80000000000001</v>
      </c>
      <c r="P179" s="3">
        <v>920</v>
      </c>
      <c r="Q179" s="3">
        <v>2</v>
      </c>
      <c r="R179">
        <v>37.442900000000002</v>
      </c>
      <c r="S179">
        <v>149.80000000000001</v>
      </c>
    </row>
    <row r="180" spans="1:19" x14ac:dyDescent="0.25">
      <c r="A180" s="3">
        <v>920</v>
      </c>
      <c r="B180" s="3">
        <v>3</v>
      </c>
      <c r="C180">
        <v>2.6707333031419629E-4</v>
      </c>
      <c r="D180">
        <v>0</v>
      </c>
      <c r="F180" s="3">
        <v>920</v>
      </c>
      <c r="G180" s="3">
        <v>3</v>
      </c>
      <c r="H180">
        <v>-9.9999999996214228E-5</v>
      </c>
      <c r="I180">
        <v>0</v>
      </c>
      <c r="K180" s="3">
        <v>920</v>
      </c>
      <c r="L180" s="3">
        <v>3</v>
      </c>
      <c r="M180">
        <v>37.442800000000013</v>
      </c>
      <c r="N180">
        <v>166.4</v>
      </c>
      <c r="P180" s="3">
        <v>920</v>
      </c>
      <c r="Q180" s="3">
        <v>3</v>
      </c>
      <c r="R180">
        <v>37.442900000000002</v>
      </c>
      <c r="S180">
        <v>166.4</v>
      </c>
    </row>
    <row r="181" spans="1:19" x14ac:dyDescent="0.25">
      <c r="A181" s="3">
        <v>920</v>
      </c>
      <c r="B181" s="3">
        <v>4</v>
      </c>
      <c r="C181">
        <v>0</v>
      </c>
      <c r="D181">
        <v>0</v>
      </c>
      <c r="F181" s="3">
        <v>920</v>
      </c>
      <c r="G181" s="3">
        <v>4</v>
      </c>
      <c r="H181">
        <v>0</v>
      </c>
      <c r="I181">
        <v>0</v>
      </c>
      <c r="K181" s="3">
        <v>920</v>
      </c>
      <c r="L181" s="3">
        <v>4</v>
      </c>
      <c r="M181">
        <v>-190.82130000000001</v>
      </c>
      <c r="N181">
        <v>-848.1</v>
      </c>
      <c r="P181" s="3">
        <v>920</v>
      </c>
      <c r="Q181" s="3">
        <v>4</v>
      </c>
      <c r="R181">
        <v>-190.82130000000001</v>
      </c>
      <c r="S181">
        <v>-848.1</v>
      </c>
    </row>
    <row r="182" spans="1:19" x14ac:dyDescent="0.25">
      <c r="A182" s="3">
        <v>920</v>
      </c>
      <c r="B182" s="3">
        <v>5</v>
      </c>
      <c r="C182">
        <v>0</v>
      </c>
      <c r="D182">
        <v>0</v>
      </c>
      <c r="F182" s="3">
        <v>920</v>
      </c>
      <c r="G182" s="3">
        <v>5</v>
      </c>
      <c r="H182">
        <v>0</v>
      </c>
      <c r="I182">
        <v>0</v>
      </c>
      <c r="K182" s="3">
        <v>920</v>
      </c>
      <c r="L182" s="3">
        <v>5</v>
      </c>
      <c r="M182">
        <v>77.8476</v>
      </c>
      <c r="N182">
        <v>346</v>
      </c>
      <c r="P182" s="3">
        <v>920</v>
      </c>
      <c r="Q182" s="3">
        <v>5</v>
      </c>
      <c r="R182">
        <v>77.8476</v>
      </c>
      <c r="S182">
        <v>346</v>
      </c>
    </row>
    <row r="183" spans="1:19" x14ac:dyDescent="0.25">
      <c r="A183" s="3">
        <v>920</v>
      </c>
      <c r="B183" s="3">
        <v>6</v>
      </c>
      <c r="C183">
        <v>0</v>
      </c>
      <c r="D183">
        <v>0</v>
      </c>
      <c r="F183" s="3">
        <v>920</v>
      </c>
      <c r="G183" s="3">
        <v>6</v>
      </c>
      <c r="H183">
        <v>0</v>
      </c>
      <c r="I183">
        <v>0</v>
      </c>
      <c r="K183" s="3">
        <v>920</v>
      </c>
      <c r="L183" s="3">
        <v>6</v>
      </c>
      <c r="M183">
        <v>-95.95689999999999</v>
      </c>
      <c r="N183">
        <v>-426.5</v>
      </c>
      <c r="P183" s="3">
        <v>920</v>
      </c>
      <c r="Q183" s="3">
        <v>6</v>
      </c>
      <c r="R183">
        <v>-95.95689999999999</v>
      </c>
      <c r="S183">
        <v>-426.5</v>
      </c>
    </row>
    <row r="184" spans="1:19" x14ac:dyDescent="0.25">
      <c r="A184" s="3">
        <v>920</v>
      </c>
      <c r="B184" s="3">
        <v>7</v>
      </c>
      <c r="C184">
        <v>0</v>
      </c>
      <c r="D184">
        <v>0</v>
      </c>
      <c r="F184" s="3">
        <v>920</v>
      </c>
      <c r="G184" s="3">
        <v>7</v>
      </c>
      <c r="H184">
        <v>0</v>
      </c>
      <c r="I184">
        <v>0</v>
      </c>
      <c r="K184" s="3">
        <v>920</v>
      </c>
      <c r="L184" s="3">
        <v>7</v>
      </c>
      <c r="M184">
        <v>-18.109300000000001</v>
      </c>
      <c r="N184">
        <v>-25.9</v>
      </c>
      <c r="P184" s="3">
        <v>920</v>
      </c>
      <c r="Q184" s="3">
        <v>7</v>
      </c>
      <c r="R184">
        <v>-18.109300000000001</v>
      </c>
      <c r="S184">
        <v>-25.9</v>
      </c>
    </row>
    <row r="185" spans="1:19" x14ac:dyDescent="0.25">
      <c r="A185" s="3">
        <v>920</v>
      </c>
      <c r="B185" s="3">
        <v>8</v>
      </c>
      <c r="C185">
        <v>0</v>
      </c>
      <c r="D185">
        <v>0</v>
      </c>
      <c r="F185" s="3">
        <v>920</v>
      </c>
      <c r="G185" s="3">
        <v>8</v>
      </c>
      <c r="H185">
        <v>0</v>
      </c>
      <c r="I185">
        <v>0</v>
      </c>
      <c r="K185" s="3">
        <v>920</v>
      </c>
      <c r="L185" s="3">
        <v>8</v>
      </c>
      <c r="M185">
        <v>-19.639099999999999</v>
      </c>
      <c r="N185">
        <v>-43.6</v>
      </c>
      <c r="P185" s="3">
        <v>920</v>
      </c>
      <c r="Q185" s="3">
        <v>8</v>
      </c>
      <c r="R185">
        <v>-19.639099999999999</v>
      </c>
      <c r="S185">
        <v>-43.6</v>
      </c>
    </row>
    <row r="186" spans="1:19" x14ac:dyDescent="0.25">
      <c r="A186" s="3">
        <v>920</v>
      </c>
      <c r="B186" s="3">
        <v>9</v>
      </c>
      <c r="C186">
        <v>0</v>
      </c>
      <c r="D186">
        <v>0</v>
      </c>
      <c r="F186" s="3">
        <v>920</v>
      </c>
      <c r="G186" s="3">
        <v>9</v>
      </c>
      <c r="H186">
        <v>0</v>
      </c>
      <c r="I186">
        <v>0</v>
      </c>
      <c r="K186" s="3">
        <v>920</v>
      </c>
      <c r="L186" s="3">
        <v>9</v>
      </c>
      <c r="M186">
        <v>1.5298</v>
      </c>
      <c r="N186">
        <v>2.2000000000000002</v>
      </c>
      <c r="P186" s="3">
        <v>920</v>
      </c>
      <c r="Q186" s="3">
        <v>9</v>
      </c>
      <c r="R186">
        <v>1.5298</v>
      </c>
      <c r="S186">
        <v>2.2000000000000002</v>
      </c>
    </row>
    <row r="187" spans="1:19" x14ac:dyDescent="0.25">
      <c r="A187" s="3">
        <v>920</v>
      </c>
      <c r="B187" s="3">
        <v>10</v>
      </c>
      <c r="C187">
        <v>0</v>
      </c>
      <c r="D187">
        <v>0</v>
      </c>
      <c r="F187" s="3">
        <v>920</v>
      </c>
      <c r="G187" s="3">
        <v>10</v>
      </c>
      <c r="H187">
        <v>0</v>
      </c>
      <c r="I187">
        <v>0</v>
      </c>
      <c r="K187" s="3">
        <v>920</v>
      </c>
      <c r="L187" s="3">
        <v>10</v>
      </c>
      <c r="M187">
        <v>94.378899999999987</v>
      </c>
      <c r="N187">
        <v>209.7</v>
      </c>
      <c r="P187" s="3">
        <v>920</v>
      </c>
      <c r="Q187" s="3">
        <v>10</v>
      </c>
      <c r="R187">
        <v>94.378899999999987</v>
      </c>
      <c r="S187">
        <v>209.7</v>
      </c>
    </row>
    <row r="188" spans="1:19" x14ac:dyDescent="0.25">
      <c r="A188" s="3">
        <v>920</v>
      </c>
      <c r="B188" s="3">
        <v>11</v>
      </c>
      <c r="C188">
        <v>0</v>
      </c>
      <c r="D188">
        <v>0</v>
      </c>
      <c r="F188" s="3">
        <v>920</v>
      </c>
      <c r="G188" s="3">
        <v>11</v>
      </c>
      <c r="H188">
        <v>0</v>
      </c>
      <c r="I188">
        <v>0</v>
      </c>
      <c r="K188" s="3">
        <v>920</v>
      </c>
      <c r="L188" s="3">
        <v>11</v>
      </c>
      <c r="M188">
        <v>95.908699999999996</v>
      </c>
      <c r="N188">
        <v>137</v>
      </c>
      <c r="P188" s="3">
        <v>920</v>
      </c>
      <c r="Q188" s="3">
        <v>11</v>
      </c>
      <c r="R188">
        <v>95.908699999999996</v>
      </c>
      <c r="S188">
        <v>137</v>
      </c>
    </row>
    <row r="189" spans="1:19" x14ac:dyDescent="0.25">
      <c r="A189" s="3">
        <v>920</v>
      </c>
      <c r="B189" s="3">
        <v>12</v>
      </c>
      <c r="C189">
        <v>0</v>
      </c>
      <c r="D189">
        <v>0</v>
      </c>
      <c r="F189" s="3">
        <v>920</v>
      </c>
      <c r="G189" s="3">
        <v>12</v>
      </c>
      <c r="H189">
        <v>0</v>
      </c>
      <c r="I189">
        <v>0</v>
      </c>
      <c r="K189" s="3">
        <v>920</v>
      </c>
      <c r="L189" s="3">
        <v>12</v>
      </c>
      <c r="M189">
        <v>95.908699999999996</v>
      </c>
      <c r="N189">
        <v>239.8</v>
      </c>
      <c r="P189" s="3">
        <v>920</v>
      </c>
      <c r="Q189" s="3">
        <v>12</v>
      </c>
      <c r="R189">
        <v>95.908699999999996</v>
      </c>
      <c r="S189">
        <v>239.8</v>
      </c>
    </row>
    <row r="190" spans="1:19" x14ac:dyDescent="0.25">
      <c r="A190" s="3">
        <v>920</v>
      </c>
      <c r="B190" s="3">
        <v>13</v>
      </c>
      <c r="C190">
        <v>4.4257579110319512E-4</v>
      </c>
      <c r="D190">
        <v>0</v>
      </c>
      <c r="F190" s="3">
        <v>920</v>
      </c>
      <c r="G190" s="3">
        <v>13</v>
      </c>
      <c r="H190">
        <v>-9.9999999999766942E-5</v>
      </c>
      <c r="I190">
        <v>0</v>
      </c>
      <c r="K190" s="3">
        <v>920</v>
      </c>
      <c r="L190" s="3">
        <v>13</v>
      </c>
      <c r="M190">
        <v>-22.595099999999999</v>
      </c>
      <c r="N190">
        <v>-56.5</v>
      </c>
      <c r="P190" s="3">
        <v>920</v>
      </c>
      <c r="Q190" s="3">
        <v>13</v>
      </c>
      <c r="R190">
        <v>-22.594999999999999</v>
      </c>
      <c r="S190">
        <v>-56.5</v>
      </c>
    </row>
    <row r="191" spans="1:19" x14ac:dyDescent="0.25">
      <c r="A191" s="3">
        <v>920</v>
      </c>
      <c r="B191" s="3">
        <v>14</v>
      </c>
      <c r="C191">
        <v>4.4257579110319512E-4</v>
      </c>
      <c r="D191">
        <v>0</v>
      </c>
      <c r="F191" s="3">
        <v>920</v>
      </c>
      <c r="G191" s="3">
        <v>14</v>
      </c>
      <c r="H191">
        <v>-9.9999999999766942E-5</v>
      </c>
      <c r="I191">
        <v>0</v>
      </c>
      <c r="K191" s="3">
        <v>920</v>
      </c>
      <c r="L191" s="3">
        <v>14</v>
      </c>
      <c r="M191">
        <v>-22.595099999999999</v>
      </c>
      <c r="N191">
        <v>-32.299999999999997</v>
      </c>
      <c r="P191" s="3">
        <v>920</v>
      </c>
      <c r="Q191" s="3">
        <v>14</v>
      </c>
      <c r="R191">
        <v>-22.594999999999999</v>
      </c>
      <c r="S191">
        <v>-32.299999999999997</v>
      </c>
    </row>
    <row r="192" spans="1:19" x14ac:dyDescent="0.25">
      <c r="A192" s="3">
        <v>920</v>
      </c>
      <c r="B192" s="3">
        <v>103</v>
      </c>
      <c r="C192">
        <v>0</v>
      </c>
      <c r="D192">
        <v>0</v>
      </c>
      <c r="F192" s="3">
        <v>920</v>
      </c>
      <c r="G192" s="3">
        <v>103</v>
      </c>
      <c r="H192">
        <v>0</v>
      </c>
      <c r="I192">
        <v>0</v>
      </c>
      <c r="K192" s="3">
        <v>920</v>
      </c>
      <c r="L192" s="3">
        <v>103</v>
      </c>
      <c r="M192">
        <v>-40.404800000000002</v>
      </c>
      <c r="N192">
        <v>-202</v>
      </c>
      <c r="P192" s="3">
        <v>920</v>
      </c>
      <c r="Q192" s="3">
        <v>103</v>
      </c>
      <c r="R192">
        <v>-40.404800000000002</v>
      </c>
      <c r="S192">
        <v>-202</v>
      </c>
    </row>
    <row r="193" spans="1:19" x14ac:dyDescent="0.25">
      <c r="A193" s="3">
        <v>920</v>
      </c>
      <c r="B193" s="3">
        <v>104</v>
      </c>
      <c r="C193">
        <v>0</v>
      </c>
      <c r="D193">
        <v>0</v>
      </c>
      <c r="F193" s="3">
        <v>920</v>
      </c>
      <c r="G193" s="3">
        <v>104</v>
      </c>
      <c r="H193">
        <v>0</v>
      </c>
      <c r="I193">
        <v>0</v>
      </c>
      <c r="K193" s="3">
        <v>920</v>
      </c>
      <c r="L193" s="3">
        <v>104</v>
      </c>
      <c r="M193">
        <v>-94.864399999999989</v>
      </c>
      <c r="N193">
        <v>-714.7</v>
      </c>
      <c r="P193" s="3">
        <v>920</v>
      </c>
      <c r="Q193" s="3">
        <v>104</v>
      </c>
      <c r="R193">
        <v>-94.864399999999989</v>
      </c>
      <c r="S193">
        <v>-714.7</v>
      </c>
    </row>
    <row r="194" spans="1:19" x14ac:dyDescent="0.25">
      <c r="A194" s="3">
        <v>920</v>
      </c>
      <c r="B194" s="3">
        <v>110</v>
      </c>
      <c r="C194">
        <v>0</v>
      </c>
      <c r="D194">
        <v>0</v>
      </c>
      <c r="F194" s="3">
        <v>920</v>
      </c>
      <c r="G194" s="3">
        <v>110</v>
      </c>
      <c r="H194">
        <v>0</v>
      </c>
      <c r="I194">
        <v>0</v>
      </c>
      <c r="K194" s="3">
        <v>920</v>
      </c>
      <c r="L194" s="3">
        <v>110</v>
      </c>
      <c r="M194">
        <v>-114.018</v>
      </c>
      <c r="N194">
        <v>-1181.5</v>
      </c>
      <c r="P194" s="3">
        <v>920</v>
      </c>
      <c r="Q194" s="3">
        <v>110</v>
      </c>
      <c r="R194">
        <v>-114.018</v>
      </c>
      <c r="S194">
        <v>-1181.5</v>
      </c>
    </row>
    <row r="195" spans="1:19" x14ac:dyDescent="0.25">
      <c r="A195" s="3">
        <v>920</v>
      </c>
      <c r="B195" s="3">
        <v>114</v>
      </c>
      <c r="C195">
        <v>8.4385550833703641E-5</v>
      </c>
      <c r="D195">
        <v>0</v>
      </c>
      <c r="F195" s="3">
        <v>920</v>
      </c>
      <c r="G195" s="3">
        <v>114</v>
      </c>
      <c r="H195">
        <v>1.000000000033197E-4</v>
      </c>
      <c r="I195">
        <v>0</v>
      </c>
      <c r="K195" s="3">
        <v>920</v>
      </c>
      <c r="L195" s="3">
        <v>114</v>
      </c>
      <c r="M195">
        <v>118.5038</v>
      </c>
      <c r="N195">
        <v>789.8</v>
      </c>
      <c r="P195" s="3">
        <v>920</v>
      </c>
      <c r="Q195" s="3">
        <v>114</v>
      </c>
      <c r="R195">
        <v>118.50369999999999</v>
      </c>
      <c r="S195">
        <v>789.8</v>
      </c>
    </row>
    <row r="196" spans="1:19" x14ac:dyDescent="0.25">
      <c r="A196" s="3">
        <v>930</v>
      </c>
      <c r="B196" s="3">
        <v>1</v>
      </c>
      <c r="C196">
        <v>0</v>
      </c>
      <c r="D196">
        <v>0</v>
      </c>
      <c r="F196" s="3">
        <v>930</v>
      </c>
      <c r="G196" s="3">
        <v>1</v>
      </c>
      <c r="H196">
        <v>0</v>
      </c>
      <c r="I196">
        <v>0</v>
      </c>
      <c r="K196" s="3">
        <v>930</v>
      </c>
      <c r="L196" s="3">
        <v>1</v>
      </c>
      <c r="M196">
        <v>402.85770000000002</v>
      </c>
      <c r="N196">
        <v>1342.9</v>
      </c>
      <c r="P196" s="3">
        <v>930</v>
      </c>
      <c r="Q196" s="3">
        <v>1</v>
      </c>
      <c r="R196">
        <v>402.85770000000002</v>
      </c>
      <c r="S196">
        <v>1342.9</v>
      </c>
    </row>
    <row r="197" spans="1:19" x14ac:dyDescent="0.25">
      <c r="A197" s="3">
        <v>930</v>
      </c>
      <c r="B197" s="3">
        <v>2</v>
      </c>
      <c r="C197">
        <v>0</v>
      </c>
      <c r="D197">
        <v>0</v>
      </c>
      <c r="F197" s="3">
        <v>930</v>
      </c>
      <c r="G197" s="3">
        <v>2</v>
      </c>
      <c r="H197">
        <v>0</v>
      </c>
      <c r="I197">
        <v>0</v>
      </c>
      <c r="K197" s="3">
        <v>930</v>
      </c>
      <c r="L197" s="3">
        <v>2</v>
      </c>
      <c r="M197">
        <v>402.85770000000002</v>
      </c>
      <c r="N197">
        <v>1611.4</v>
      </c>
      <c r="P197" s="3">
        <v>930</v>
      </c>
      <c r="Q197" s="3">
        <v>2</v>
      </c>
      <c r="R197">
        <v>402.85770000000002</v>
      </c>
      <c r="S197">
        <v>1611.4</v>
      </c>
    </row>
    <row r="198" spans="1:19" x14ac:dyDescent="0.25">
      <c r="A198" s="3">
        <v>930</v>
      </c>
      <c r="B198" s="3">
        <v>3</v>
      </c>
      <c r="C198">
        <v>0</v>
      </c>
      <c r="D198">
        <v>0</v>
      </c>
      <c r="F198" s="3">
        <v>930</v>
      </c>
      <c r="G198" s="3">
        <v>3</v>
      </c>
      <c r="H198">
        <v>0</v>
      </c>
      <c r="I198">
        <v>0</v>
      </c>
      <c r="K198" s="3">
        <v>930</v>
      </c>
      <c r="L198" s="3">
        <v>3</v>
      </c>
      <c r="M198">
        <v>402.85770000000002</v>
      </c>
      <c r="N198">
        <v>1790.5</v>
      </c>
      <c r="P198" s="3">
        <v>930</v>
      </c>
      <c r="Q198" s="3">
        <v>3</v>
      </c>
      <c r="R198">
        <v>402.85770000000002</v>
      </c>
      <c r="S198">
        <v>1790.5</v>
      </c>
    </row>
    <row r="199" spans="1:19" x14ac:dyDescent="0.25">
      <c r="A199" s="3">
        <v>930</v>
      </c>
      <c r="B199" s="3">
        <v>4</v>
      </c>
      <c r="C199">
        <v>0</v>
      </c>
      <c r="D199">
        <v>0</v>
      </c>
      <c r="F199" s="3">
        <v>930</v>
      </c>
      <c r="G199" s="3">
        <v>4</v>
      </c>
      <c r="H199">
        <v>0</v>
      </c>
      <c r="I199">
        <v>0</v>
      </c>
      <c r="K199" s="3">
        <v>930</v>
      </c>
      <c r="L199" s="3">
        <v>4</v>
      </c>
      <c r="M199">
        <v>-149.3006</v>
      </c>
      <c r="N199">
        <v>-663.6</v>
      </c>
      <c r="P199" s="3">
        <v>930</v>
      </c>
      <c r="Q199" s="3">
        <v>4</v>
      </c>
      <c r="R199">
        <v>-149.3006</v>
      </c>
      <c r="S199">
        <v>-663.6</v>
      </c>
    </row>
    <row r="200" spans="1:19" x14ac:dyDescent="0.25">
      <c r="A200" s="3">
        <v>930</v>
      </c>
      <c r="B200" s="3">
        <v>5</v>
      </c>
      <c r="C200">
        <v>0</v>
      </c>
      <c r="D200">
        <v>0</v>
      </c>
      <c r="F200" s="3">
        <v>930</v>
      </c>
      <c r="G200" s="3">
        <v>5</v>
      </c>
      <c r="H200">
        <v>0</v>
      </c>
      <c r="I200">
        <v>0</v>
      </c>
      <c r="K200" s="3">
        <v>930</v>
      </c>
      <c r="L200" s="3">
        <v>5</v>
      </c>
      <c r="M200">
        <v>166.40649999999999</v>
      </c>
      <c r="N200">
        <v>739.6</v>
      </c>
      <c r="P200" s="3">
        <v>930</v>
      </c>
      <c r="Q200" s="3">
        <v>5</v>
      </c>
      <c r="R200">
        <v>166.40649999999999</v>
      </c>
      <c r="S200">
        <v>739.6</v>
      </c>
    </row>
    <row r="201" spans="1:19" x14ac:dyDescent="0.25">
      <c r="A201" s="3">
        <v>930</v>
      </c>
      <c r="B201" s="3">
        <v>6</v>
      </c>
      <c r="C201">
        <v>0</v>
      </c>
      <c r="D201">
        <v>0</v>
      </c>
      <c r="F201" s="3">
        <v>930</v>
      </c>
      <c r="G201" s="3">
        <v>6</v>
      </c>
      <c r="H201">
        <v>0</v>
      </c>
      <c r="I201">
        <v>0</v>
      </c>
      <c r="K201" s="3">
        <v>930</v>
      </c>
      <c r="L201" s="3">
        <v>6</v>
      </c>
      <c r="M201">
        <v>-103.57810000000001</v>
      </c>
      <c r="N201">
        <v>-460.3</v>
      </c>
      <c r="P201" s="3">
        <v>930</v>
      </c>
      <c r="Q201" s="3">
        <v>6</v>
      </c>
      <c r="R201">
        <v>-103.57810000000001</v>
      </c>
      <c r="S201">
        <v>-460.3</v>
      </c>
    </row>
    <row r="202" spans="1:19" x14ac:dyDescent="0.25">
      <c r="A202" s="3">
        <v>930</v>
      </c>
      <c r="B202" s="3">
        <v>7</v>
      </c>
      <c r="C202">
        <v>0</v>
      </c>
      <c r="D202">
        <v>0</v>
      </c>
      <c r="F202" s="3">
        <v>930</v>
      </c>
      <c r="G202" s="3">
        <v>7</v>
      </c>
      <c r="H202">
        <v>0</v>
      </c>
      <c r="I202">
        <v>0</v>
      </c>
      <c r="K202" s="3">
        <v>930</v>
      </c>
      <c r="L202" s="3">
        <v>7</v>
      </c>
      <c r="M202">
        <v>62.828400000000002</v>
      </c>
      <c r="N202">
        <v>89.8</v>
      </c>
      <c r="P202" s="3">
        <v>930</v>
      </c>
      <c r="Q202" s="3">
        <v>7</v>
      </c>
      <c r="R202">
        <v>62.828400000000002</v>
      </c>
      <c r="S202">
        <v>89.8</v>
      </c>
    </row>
    <row r="203" spans="1:19" x14ac:dyDescent="0.25">
      <c r="A203" s="3">
        <v>930</v>
      </c>
      <c r="B203" s="3">
        <v>8</v>
      </c>
      <c r="C203">
        <v>0</v>
      </c>
      <c r="D203">
        <v>0</v>
      </c>
      <c r="F203" s="3">
        <v>930</v>
      </c>
      <c r="G203" s="3">
        <v>8</v>
      </c>
      <c r="H203">
        <v>0</v>
      </c>
      <c r="I203">
        <v>0</v>
      </c>
      <c r="K203" s="3">
        <v>930</v>
      </c>
      <c r="L203" s="3">
        <v>8</v>
      </c>
      <c r="M203">
        <v>-3.1107999999999998</v>
      </c>
      <c r="N203">
        <v>-6.9</v>
      </c>
      <c r="P203" s="3">
        <v>930</v>
      </c>
      <c r="Q203" s="3">
        <v>8</v>
      </c>
      <c r="R203">
        <v>-3.1107999999999998</v>
      </c>
      <c r="S203">
        <v>-6.9</v>
      </c>
    </row>
    <row r="204" spans="1:19" x14ac:dyDescent="0.25">
      <c r="A204" s="3">
        <v>930</v>
      </c>
      <c r="B204" s="3">
        <v>9</v>
      </c>
      <c r="C204">
        <v>0</v>
      </c>
      <c r="D204">
        <v>0</v>
      </c>
      <c r="F204" s="3">
        <v>930</v>
      </c>
      <c r="G204" s="3">
        <v>9</v>
      </c>
      <c r="H204">
        <v>0</v>
      </c>
      <c r="I204">
        <v>0</v>
      </c>
      <c r="K204" s="3">
        <v>930</v>
      </c>
      <c r="L204" s="3">
        <v>9</v>
      </c>
      <c r="M204">
        <v>65.93910000000001</v>
      </c>
      <c r="N204">
        <v>94.2</v>
      </c>
      <c r="P204" s="3">
        <v>930</v>
      </c>
      <c r="Q204" s="3">
        <v>9</v>
      </c>
      <c r="R204">
        <v>65.93910000000001</v>
      </c>
      <c r="S204">
        <v>94.2</v>
      </c>
    </row>
    <row r="205" spans="1:19" x14ac:dyDescent="0.25">
      <c r="A205" s="3">
        <v>930</v>
      </c>
      <c r="B205" s="3">
        <v>10</v>
      </c>
      <c r="C205">
        <v>0</v>
      </c>
      <c r="D205">
        <v>0</v>
      </c>
      <c r="F205" s="3">
        <v>930</v>
      </c>
      <c r="G205" s="3">
        <v>10</v>
      </c>
      <c r="H205">
        <v>0</v>
      </c>
      <c r="I205">
        <v>0</v>
      </c>
      <c r="K205" s="3">
        <v>930</v>
      </c>
      <c r="L205" s="3">
        <v>10</v>
      </c>
      <c r="M205">
        <v>20.011199999999999</v>
      </c>
      <c r="N205">
        <v>44.5</v>
      </c>
      <c r="P205" s="3">
        <v>930</v>
      </c>
      <c r="Q205" s="3">
        <v>10</v>
      </c>
      <c r="R205">
        <v>20.011199999999999</v>
      </c>
      <c r="S205">
        <v>44.5</v>
      </c>
    </row>
    <row r="206" spans="1:19" x14ac:dyDescent="0.25">
      <c r="A206" s="3">
        <v>930</v>
      </c>
      <c r="B206" s="3">
        <v>11</v>
      </c>
      <c r="C206">
        <v>0</v>
      </c>
      <c r="D206">
        <v>0</v>
      </c>
      <c r="F206" s="3">
        <v>930</v>
      </c>
      <c r="G206" s="3">
        <v>11</v>
      </c>
      <c r="H206">
        <v>0</v>
      </c>
      <c r="I206">
        <v>0</v>
      </c>
      <c r="K206" s="3">
        <v>930</v>
      </c>
      <c r="L206" s="3">
        <v>11</v>
      </c>
      <c r="M206">
        <v>85.950299999999999</v>
      </c>
      <c r="N206">
        <v>122.8</v>
      </c>
      <c r="P206" s="3">
        <v>930</v>
      </c>
      <c r="Q206" s="3">
        <v>11</v>
      </c>
      <c r="R206">
        <v>85.950299999999999</v>
      </c>
      <c r="S206">
        <v>122.8</v>
      </c>
    </row>
    <row r="207" spans="1:19" x14ac:dyDescent="0.25">
      <c r="A207" s="3">
        <v>930</v>
      </c>
      <c r="B207" s="3">
        <v>12</v>
      </c>
      <c r="C207">
        <v>0</v>
      </c>
      <c r="D207">
        <v>0</v>
      </c>
      <c r="F207" s="3">
        <v>930</v>
      </c>
      <c r="G207" s="3">
        <v>12</v>
      </c>
      <c r="H207">
        <v>0</v>
      </c>
      <c r="I207">
        <v>0</v>
      </c>
      <c r="K207" s="3">
        <v>930</v>
      </c>
      <c r="L207" s="3">
        <v>12</v>
      </c>
      <c r="M207">
        <v>85.950299999999999</v>
      </c>
      <c r="N207">
        <v>214.9</v>
      </c>
      <c r="P207" s="3">
        <v>930</v>
      </c>
      <c r="Q207" s="3">
        <v>12</v>
      </c>
      <c r="R207">
        <v>85.950299999999999</v>
      </c>
      <c r="S207">
        <v>214.9</v>
      </c>
    </row>
    <row r="208" spans="1:19" x14ac:dyDescent="0.25">
      <c r="A208" s="3">
        <v>930</v>
      </c>
      <c r="B208" s="3">
        <v>13</v>
      </c>
      <c r="C208">
        <v>0</v>
      </c>
      <c r="D208">
        <v>0</v>
      </c>
      <c r="F208" s="3">
        <v>930</v>
      </c>
      <c r="G208" s="3">
        <v>13</v>
      </c>
      <c r="H208">
        <v>0</v>
      </c>
      <c r="I208">
        <v>0</v>
      </c>
      <c r="K208" s="3">
        <v>930</v>
      </c>
      <c r="L208" s="3">
        <v>13</v>
      </c>
      <c r="M208">
        <v>-54.000300000000003</v>
      </c>
      <c r="N208">
        <v>-135</v>
      </c>
      <c r="P208" s="3">
        <v>930</v>
      </c>
      <c r="Q208" s="3">
        <v>13</v>
      </c>
      <c r="R208">
        <v>-54.000300000000003</v>
      </c>
      <c r="S208">
        <v>-135</v>
      </c>
    </row>
    <row r="209" spans="1:19" x14ac:dyDescent="0.25">
      <c r="A209" s="3">
        <v>930</v>
      </c>
      <c r="B209" s="3">
        <v>14</v>
      </c>
      <c r="C209">
        <v>0</v>
      </c>
      <c r="D209">
        <v>0</v>
      </c>
      <c r="F209" s="3">
        <v>930</v>
      </c>
      <c r="G209" s="3">
        <v>14</v>
      </c>
      <c r="H209">
        <v>0</v>
      </c>
      <c r="I209">
        <v>0</v>
      </c>
      <c r="K209" s="3">
        <v>930</v>
      </c>
      <c r="L209" s="3">
        <v>14</v>
      </c>
      <c r="M209">
        <v>-54.000300000000003</v>
      </c>
      <c r="N209">
        <v>-77.099999999999994</v>
      </c>
      <c r="P209" s="3">
        <v>930</v>
      </c>
      <c r="Q209" s="3">
        <v>14</v>
      </c>
      <c r="R209">
        <v>-54.000300000000003</v>
      </c>
      <c r="S209">
        <v>-77.099999999999994</v>
      </c>
    </row>
    <row r="210" spans="1:19" x14ac:dyDescent="0.25">
      <c r="A210" s="3">
        <v>930</v>
      </c>
      <c r="B210" s="3">
        <v>103</v>
      </c>
      <c r="C210">
        <v>0</v>
      </c>
      <c r="D210">
        <v>0</v>
      </c>
      <c r="F210" s="3">
        <v>930</v>
      </c>
      <c r="G210" s="3">
        <v>103</v>
      </c>
      <c r="H210">
        <v>0</v>
      </c>
      <c r="I210">
        <v>0</v>
      </c>
      <c r="K210" s="3">
        <v>930</v>
      </c>
      <c r="L210" s="3">
        <v>103</v>
      </c>
      <c r="M210">
        <v>236.4512</v>
      </c>
      <c r="N210">
        <v>1182.3</v>
      </c>
      <c r="P210" s="3">
        <v>930</v>
      </c>
      <c r="Q210" s="3">
        <v>103</v>
      </c>
      <c r="R210">
        <v>236.4512</v>
      </c>
      <c r="S210">
        <v>1182.3</v>
      </c>
    </row>
    <row r="211" spans="1:19" x14ac:dyDescent="0.25">
      <c r="A211" s="3">
        <v>930</v>
      </c>
      <c r="B211" s="3">
        <v>104</v>
      </c>
      <c r="C211">
        <v>0</v>
      </c>
      <c r="D211">
        <v>0</v>
      </c>
      <c r="F211" s="3">
        <v>930</v>
      </c>
      <c r="G211" s="3">
        <v>104</v>
      </c>
      <c r="H211">
        <v>0</v>
      </c>
      <c r="I211">
        <v>0</v>
      </c>
      <c r="K211" s="3">
        <v>930</v>
      </c>
      <c r="L211" s="3">
        <v>104</v>
      </c>
      <c r="M211">
        <v>-45.722499999999997</v>
      </c>
      <c r="N211">
        <v>-344.5</v>
      </c>
      <c r="P211" s="3">
        <v>930</v>
      </c>
      <c r="Q211" s="3">
        <v>104</v>
      </c>
      <c r="R211">
        <v>-45.722499999999997</v>
      </c>
      <c r="S211">
        <v>-344.5</v>
      </c>
    </row>
    <row r="212" spans="1:19" x14ac:dyDescent="0.25">
      <c r="A212" s="3">
        <v>930</v>
      </c>
      <c r="B212" s="3">
        <v>110</v>
      </c>
      <c r="C212">
        <v>4.3249040952416079E-4</v>
      </c>
      <c r="D212">
        <v>0</v>
      </c>
      <c r="F212" s="3">
        <v>930</v>
      </c>
      <c r="G212" s="3">
        <v>110</v>
      </c>
      <c r="H212">
        <v>-9.9999999999766942E-5</v>
      </c>
      <c r="I212">
        <v>0</v>
      </c>
      <c r="K212" s="3">
        <v>930</v>
      </c>
      <c r="L212" s="3">
        <v>110</v>
      </c>
      <c r="M212">
        <v>-23.122</v>
      </c>
      <c r="N212">
        <v>-239.6</v>
      </c>
      <c r="P212" s="3">
        <v>930</v>
      </c>
      <c r="Q212" s="3">
        <v>110</v>
      </c>
      <c r="R212">
        <v>-23.1219</v>
      </c>
      <c r="S212">
        <v>-239.6</v>
      </c>
    </row>
    <row r="213" spans="1:19" x14ac:dyDescent="0.25">
      <c r="A213" s="3">
        <v>930</v>
      </c>
      <c r="B213" s="3">
        <v>114</v>
      </c>
      <c r="C213">
        <v>7.1453784409155558E-5</v>
      </c>
      <c r="D213">
        <v>0</v>
      </c>
      <c r="F213" s="3">
        <v>930</v>
      </c>
      <c r="G213" s="3">
        <v>114</v>
      </c>
      <c r="H213">
        <v>1.000000000033197E-4</v>
      </c>
      <c r="I213">
        <v>0</v>
      </c>
      <c r="K213" s="3">
        <v>930</v>
      </c>
      <c r="L213" s="3">
        <v>114</v>
      </c>
      <c r="M213">
        <v>139.95070000000001</v>
      </c>
      <c r="N213">
        <v>932.8</v>
      </c>
      <c r="P213" s="3">
        <v>930</v>
      </c>
      <c r="Q213" s="3">
        <v>114</v>
      </c>
      <c r="R213">
        <v>139.95060000000001</v>
      </c>
      <c r="S213">
        <v>932.8</v>
      </c>
    </row>
    <row r="214" spans="1:19" x14ac:dyDescent="0.25">
      <c r="A214" s="3">
        <v>940</v>
      </c>
      <c r="B214" s="3">
        <v>1</v>
      </c>
      <c r="C214">
        <v>2.814642561183568E-5</v>
      </c>
      <c r="D214">
        <v>0</v>
      </c>
      <c r="F214" s="3">
        <v>940</v>
      </c>
      <c r="G214" s="3">
        <v>1</v>
      </c>
      <c r="H214">
        <v>-1.000000000885848E-4</v>
      </c>
      <c r="I214">
        <v>0</v>
      </c>
      <c r="K214" s="3">
        <v>940</v>
      </c>
      <c r="L214" s="3">
        <v>1</v>
      </c>
      <c r="M214">
        <v>355.28480000000002</v>
      </c>
      <c r="N214">
        <v>1184.3</v>
      </c>
      <c r="P214" s="3">
        <v>940</v>
      </c>
      <c r="Q214" s="3">
        <v>1</v>
      </c>
      <c r="R214">
        <v>355.28490000000011</v>
      </c>
      <c r="S214">
        <v>1184.3</v>
      </c>
    </row>
    <row r="215" spans="1:19" x14ac:dyDescent="0.25">
      <c r="A215" s="3">
        <v>940</v>
      </c>
      <c r="B215" s="3">
        <v>2</v>
      </c>
      <c r="C215">
        <v>2.814642561183568E-5</v>
      </c>
      <c r="D215">
        <v>0</v>
      </c>
      <c r="F215" s="3">
        <v>940</v>
      </c>
      <c r="G215" s="3">
        <v>2</v>
      </c>
      <c r="H215">
        <v>-1.000000000885848E-4</v>
      </c>
      <c r="I215">
        <v>0</v>
      </c>
      <c r="K215" s="3">
        <v>940</v>
      </c>
      <c r="L215" s="3">
        <v>2</v>
      </c>
      <c r="M215">
        <v>355.28480000000002</v>
      </c>
      <c r="N215">
        <v>1421.1</v>
      </c>
      <c r="P215" s="3">
        <v>940</v>
      </c>
      <c r="Q215" s="3">
        <v>2</v>
      </c>
      <c r="R215">
        <v>355.28490000000011</v>
      </c>
      <c r="S215">
        <v>1421.1</v>
      </c>
    </row>
    <row r="216" spans="1:19" x14ac:dyDescent="0.25">
      <c r="A216" s="3">
        <v>940</v>
      </c>
      <c r="B216" s="3">
        <v>3</v>
      </c>
      <c r="C216">
        <v>2.814642561183568E-5</v>
      </c>
      <c r="D216">
        <v>0</v>
      </c>
      <c r="F216" s="3">
        <v>940</v>
      </c>
      <c r="G216" s="3">
        <v>3</v>
      </c>
      <c r="H216">
        <v>-1.000000000885848E-4</v>
      </c>
      <c r="I216">
        <v>0</v>
      </c>
      <c r="K216" s="3">
        <v>940</v>
      </c>
      <c r="L216" s="3">
        <v>3</v>
      </c>
      <c r="M216">
        <v>355.28480000000002</v>
      </c>
      <c r="N216">
        <v>1579</v>
      </c>
      <c r="P216" s="3">
        <v>940</v>
      </c>
      <c r="Q216" s="3">
        <v>3</v>
      </c>
      <c r="R216">
        <v>355.28490000000011</v>
      </c>
      <c r="S216">
        <v>1579</v>
      </c>
    </row>
    <row r="217" spans="1:19" x14ac:dyDescent="0.25">
      <c r="A217" s="3">
        <v>940</v>
      </c>
      <c r="B217" s="3">
        <v>4</v>
      </c>
      <c r="C217">
        <v>5.7988730455564078E-5</v>
      </c>
      <c r="D217">
        <v>0</v>
      </c>
      <c r="F217" s="3">
        <v>940</v>
      </c>
      <c r="G217" s="3">
        <v>4</v>
      </c>
      <c r="H217">
        <v>9.9999999974897946E-5</v>
      </c>
      <c r="I217">
        <v>0</v>
      </c>
      <c r="K217" s="3">
        <v>940</v>
      </c>
      <c r="L217" s="3">
        <v>4</v>
      </c>
      <c r="M217">
        <v>-172.44720000000001</v>
      </c>
      <c r="N217">
        <v>-766.4</v>
      </c>
      <c r="P217" s="3">
        <v>940</v>
      </c>
      <c r="Q217" s="3">
        <v>4</v>
      </c>
      <c r="R217">
        <v>-172.44730000000001</v>
      </c>
      <c r="S217">
        <v>-766.4</v>
      </c>
    </row>
    <row r="218" spans="1:19" x14ac:dyDescent="0.25">
      <c r="A218" s="3">
        <v>940</v>
      </c>
      <c r="B218" s="3">
        <v>5</v>
      </c>
      <c r="C218">
        <v>2.5149406343671509E-5</v>
      </c>
      <c r="D218">
        <v>0</v>
      </c>
      <c r="F218" s="3">
        <v>940</v>
      </c>
      <c r="G218" s="3">
        <v>5</v>
      </c>
      <c r="H218">
        <v>-1.0000000003174141E-4</v>
      </c>
      <c r="I218">
        <v>0</v>
      </c>
      <c r="K218" s="3">
        <v>940</v>
      </c>
      <c r="L218" s="3">
        <v>5</v>
      </c>
      <c r="M218">
        <v>397.62360000000001</v>
      </c>
      <c r="N218">
        <v>1767.2</v>
      </c>
      <c r="P218" s="3">
        <v>940</v>
      </c>
      <c r="Q218" s="3">
        <v>5</v>
      </c>
      <c r="R218">
        <v>397.62369999999999</v>
      </c>
      <c r="S218">
        <v>1767.2</v>
      </c>
    </row>
    <row r="219" spans="1:19" x14ac:dyDescent="0.25">
      <c r="A219" s="3">
        <v>940</v>
      </c>
      <c r="B219" s="3">
        <v>6</v>
      </c>
      <c r="C219">
        <v>0</v>
      </c>
      <c r="D219">
        <v>0</v>
      </c>
      <c r="F219" s="3">
        <v>940</v>
      </c>
      <c r="G219" s="3">
        <v>6</v>
      </c>
      <c r="H219">
        <v>0</v>
      </c>
      <c r="I219">
        <v>0</v>
      </c>
      <c r="K219" s="3">
        <v>940</v>
      </c>
      <c r="L219" s="3">
        <v>6</v>
      </c>
      <c r="M219">
        <v>-214.72069999999999</v>
      </c>
      <c r="N219">
        <v>-954.3</v>
      </c>
      <c r="P219" s="3">
        <v>940</v>
      </c>
      <c r="Q219" s="3">
        <v>6</v>
      </c>
      <c r="R219">
        <v>-214.72069999999999</v>
      </c>
      <c r="S219">
        <v>-954.3</v>
      </c>
    </row>
    <row r="220" spans="1:19" x14ac:dyDescent="0.25">
      <c r="A220" s="3">
        <v>940</v>
      </c>
      <c r="B220" s="3">
        <v>7</v>
      </c>
      <c r="C220">
        <v>0</v>
      </c>
      <c r="D220">
        <v>0</v>
      </c>
      <c r="F220" s="3">
        <v>940</v>
      </c>
      <c r="G220" s="3">
        <v>7</v>
      </c>
      <c r="H220">
        <v>0</v>
      </c>
      <c r="I220">
        <v>0</v>
      </c>
      <c r="K220" s="3">
        <v>940</v>
      </c>
      <c r="L220" s="3">
        <v>7</v>
      </c>
      <c r="M220">
        <v>182.90299999999999</v>
      </c>
      <c r="N220">
        <v>261.3</v>
      </c>
      <c r="P220" s="3">
        <v>940</v>
      </c>
      <c r="Q220" s="3">
        <v>7</v>
      </c>
      <c r="R220">
        <v>182.90299999999999</v>
      </c>
      <c r="S220">
        <v>261.3</v>
      </c>
    </row>
    <row r="221" spans="1:19" x14ac:dyDescent="0.25">
      <c r="A221" s="3">
        <v>940</v>
      </c>
      <c r="B221" s="3">
        <v>8</v>
      </c>
      <c r="C221">
        <v>0</v>
      </c>
      <c r="D221">
        <v>0</v>
      </c>
      <c r="F221" s="3">
        <v>940</v>
      </c>
      <c r="G221" s="3">
        <v>8</v>
      </c>
      <c r="H221">
        <v>0</v>
      </c>
      <c r="I221">
        <v>0</v>
      </c>
      <c r="K221" s="3">
        <v>940</v>
      </c>
      <c r="L221" s="3">
        <v>8</v>
      </c>
      <c r="M221">
        <v>71.750399999999999</v>
      </c>
      <c r="N221">
        <v>159.4</v>
      </c>
      <c r="P221" s="3">
        <v>940</v>
      </c>
      <c r="Q221" s="3">
        <v>8</v>
      </c>
      <c r="R221">
        <v>71.750399999999999</v>
      </c>
      <c r="S221">
        <v>159.4</v>
      </c>
    </row>
    <row r="222" spans="1:19" x14ac:dyDescent="0.25">
      <c r="A222" s="3">
        <v>940</v>
      </c>
      <c r="B222" s="3">
        <v>9</v>
      </c>
      <c r="C222">
        <v>0</v>
      </c>
      <c r="D222">
        <v>0</v>
      </c>
      <c r="F222" s="3">
        <v>940</v>
      </c>
      <c r="G222" s="3">
        <v>9</v>
      </c>
      <c r="H222">
        <v>0</v>
      </c>
      <c r="I222">
        <v>0</v>
      </c>
      <c r="K222" s="3">
        <v>940</v>
      </c>
      <c r="L222" s="3">
        <v>9</v>
      </c>
      <c r="M222">
        <v>111.15260000000001</v>
      </c>
      <c r="N222">
        <v>158.80000000000001</v>
      </c>
      <c r="P222" s="3">
        <v>940</v>
      </c>
      <c r="Q222" s="3">
        <v>9</v>
      </c>
      <c r="R222">
        <v>111.15260000000001</v>
      </c>
      <c r="S222">
        <v>158.80000000000001</v>
      </c>
    </row>
    <row r="223" spans="1:19" x14ac:dyDescent="0.25">
      <c r="A223" s="3">
        <v>940</v>
      </c>
      <c r="B223" s="3">
        <v>10</v>
      </c>
      <c r="C223">
        <v>3.505328098717436E-3</v>
      </c>
      <c r="D223">
        <v>0</v>
      </c>
      <c r="F223" s="3">
        <v>940</v>
      </c>
      <c r="G223" s="3">
        <v>10</v>
      </c>
      <c r="H223">
        <v>1.00000000000211E-4</v>
      </c>
      <c r="I223">
        <v>0</v>
      </c>
      <c r="K223" s="3">
        <v>940</v>
      </c>
      <c r="L223" s="3">
        <v>10</v>
      </c>
      <c r="M223">
        <v>-2.8527</v>
      </c>
      <c r="N223">
        <v>-6.3</v>
      </c>
      <c r="P223" s="3">
        <v>940</v>
      </c>
      <c r="Q223" s="3">
        <v>10</v>
      </c>
      <c r="R223">
        <v>-2.8527999999999998</v>
      </c>
      <c r="S223">
        <v>-6.3</v>
      </c>
    </row>
    <row r="224" spans="1:19" x14ac:dyDescent="0.25">
      <c r="A224" s="3">
        <v>940</v>
      </c>
      <c r="B224" s="3">
        <v>11</v>
      </c>
      <c r="C224">
        <v>0</v>
      </c>
      <c r="D224">
        <v>0</v>
      </c>
      <c r="F224" s="3">
        <v>940</v>
      </c>
      <c r="G224" s="3">
        <v>11</v>
      </c>
      <c r="H224">
        <v>0</v>
      </c>
      <c r="I224">
        <v>0</v>
      </c>
      <c r="K224" s="3">
        <v>940</v>
      </c>
      <c r="L224" s="3">
        <v>11</v>
      </c>
      <c r="M224">
        <v>108.29989999999999</v>
      </c>
      <c r="N224">
        <v>154.69999999999999</v>
      </c>
      <c r="P224" s="3">
        <v>940</v>
      </c>
      <c r="Q224" s="3">
        <v>11</v>
      </c>
      <c r="R224">
        <v>108.29989999999999</v>
      </c>
      <c r="S224">
        <v>154.69999999999999</v>
      </c>
    </row>
    <row r="225" spans="1:19" x14ac:dyDescent="0.25">
      <c r="A225" s="3">
        <v>940</v>
      </c>
      <c r="B225" s="3">
        <v>12</v>
      </c>
      <c r="C225">
        <v>0</v>
      </c>
      <c r="D225">
        <v>0</v>
      </c>
      <c r="F225" s="3">
        <v>940</v>
      </c>
      <c r="G225" s="3">
        <v>12</v>
      </c>
      <c r="H225">
        <v>0</v>
      </c>
      <c r="I225">
        <v>0</v>
      </c>
      <c r="K225" s="3">
        <v>940</v>
      </c>
      <c r="L225" s="3">
        <v>12</v>
      </c>
      <c r="M225">
        <v>108.29989999999999</v>
      </c>
      <c r="N225">
        <v>270.7</v>
      </c>
      <c r="P225" s="3">
        <v>940</v>
      </c>
      <c r="Q225" s="3">
        <v>12</v>
      </c>
      <c r="R225">
        <v>108.29989999999999</v>
      </c>
      <c r="S225">
        <v>270.7</v>
      </c>
    </row>
    <row r="226" spans="1:19" x14ac:dyDescent="0.25">
      <c r="A226" s="3">
        <v>940</v>
      </c>
      <c r="B226" s="3">
        <v>13</v>
      </c>
      <c r="C226">
        <v>3.2228435148256261E-4</v>
      </c>
      <c r="D226">
        <v>0</v>
      </c>
      <c r="F226" s="3">
        <v>940</v>
      </c>
      <c r="G226" s="3">
        <v>13</v>
      </c>
      <c r="H226">
        <v>9.9999999999766942E-5</v>
      </c>
      <c r="I226">
        <v>0</v>
      </c>
      <c r="K226" s="3">
        <v>940</v>
      </c>
      <c r="L226" s="3">
        <v>13</v>
      </c>
      <c r="M226">
        <v>-31.028400000000001</v>
      </c>
      <c r="N226">
        <v>-77.599999999999994</v>
      </c>
      <c r="P226" s="3">
        <v>940</v>
      </c>
      <c r="Q226" s="3">
        <v>13</v>
      </c>
      <c r="R226">
        <v>-31.028500000000001</v>
      </c>
      <c r="S226">
        <v>-77.599999999999994</v>
      </c>
    </row>
    <row r="227" spans="1:19" x14ac:dyDescent="0.25">
      <c r="A227" s="3">
        <v>940</v>
      </c>
      <c r="B227" s="3">
        <v>14</v>
      </c>
      <c r="C227">
        <v>3.2228435148256261E-4</v>
      </c>
      <c r="D227">
        <v>0</v>
      </c>
      <c r="F227" s="3">
        <v>940</v>
      </c>
      <c r="G227" s="3">
        <v>14</v>
      </c>
      <c r="H227">
        <v>9.9999999999766942E-5</v>
      </c>
      <c r="I227">
        <v>0</v>
      </c>
      <c r="K227" s="3">
        <v>940</v>
      </c>
      <c r="L227" s="3">
        <v>14</v>
      </c>
      <c r="M227">
        <v>-31.028400000000001</v>
      </c>
      <c r="N227">
        <v>-44.3</v>
      </c>
      <c r="P227" s="3">
        <v>940</v>
      </c>
      <c r="Q227" s="3">
        <v>14</v>
      </c>
      <c r="R227">
        <v>-31.028500000000001</v>
      </c>
      <c r="S227">
        <v>-44.3</v>
      </c>
    </row>
    <row r="228" spans="1:19" x14ac:dyDescent="0.25">
      <c r="A228" s="3">
        <v>940</v>
      </c>
      <c r="B228" s="3">
        <v>103</v>
      </c>
      <c r="C228">
        <v>0</v>
      </c>
      <c r="D228">
        <v>0</v>
      </c>
      <c r="F228" s="3">
        <v>940</v>
      </c>
      <c r="G228" s="3">
        <v>103</v>
      </c>
      <c r="H228">
        <v>0</v>
      </c>
      <c r="I228">
        <v>0</v>
      </c>
      <c r="K228" s="3">
        <v>940</v>
      </c>
      <c r="L228" s="3">
        <v>103</v>
      </c>
      <c r="M228">
        <v>-42.338800000000013</v>
      </c>
      <c r="N228">
        <v>-211.7</v>
      </c>
      <c r="P228" s="3">
        <v>940</v>
      </c>
      <c r="Q228" s="3">
        <v>103</v>
      </c>
      <c r="R228">
        <v>-42.338800000000013</v>
      </c>
      <c r="S228">
        <v>-211.7</v>
      </c>
    </row>
    <row r="229" spans="1:19" x14ac:dyDescent="0.25">
      <c r="A229" s="3">
        <v>940</v>
      </c>
      <c r="B229" s="3">
        <v>104</v>
      </c>
      <c r="C229">
        <v>0</v>
      </c>
      <c r="D229">
        <v>0</v>
      </c>
      <c r="F229" s="3">
        <v>940</v>
      </c>
      <c r="G229" s="3">
        <v>104</v>
      </c>
      <c r="H229">
        <v>0</v>
      </c>
      <c r="I229">
        <v>0</v>
      </c>
      <c r="K229" s="3">
        <v>940</v>
      </c>
      <c r="L229" s="3">
        <v>104</v>
      </c>
      <c r="M229">
        <v>42.273400000000002</v>
      </c>
      <c r="N229">
        <v>318.5</v>
      </c>
      <c r="P229" s="3">
        <v>940</v>
      </c>
      <c r="Q229" s="3">
        <v>104</v>
      </c>
      <c r="R229">
        <v>42.273400000000002</v>
      </c>
      <c r="S229">
        <v>318.5</v>
      </c>
    </row>
    <row r="230" spans="1:19" x14ac:dyDescent="0.25">
      <c r="A230" s="3">
        <v>940</v>
      </c>
      <c r="B230" s="3">
        <v>110</v>
      </c>
      <c r="C230">
        <v>0</v>
      </c>
      <c r="D230">
        <v>0</v>
      </c>
      <c r="F230" s="3">
        <v>940</v>
      </c>
      <c r="G230" s="3">
        <v>110</v>
      </c>
      <c r="H230">
        <v>0</v>
      </c>
      <c r="I230">
        <v>0</v>
      </c>
      <c r="K230" s="3">
        <v>940</v>
      </c>
      <c r="L230" s="3">
        <v>110</v>
      </c>
      <c r="M230">
        <v>74.603100000000012</v>
      </c>
      <c r="N230">
        <v>773.1</v>
      </c>
      <c r="P230" s="3">
        <v>940</v>
      </c>
      <c r="Q230" s="3">
        <v>110</v>
      </c>
      <c r="R230">
        <v>74.603100000000012</v>
      </c>
      <c r="S230">
        <v>773.1</v>
      </c>
    </row>
    <row r="231" spans="1:19" x14ac:dyDescent="0.25">
      <c r="A231" s="3">
        <v>940</v>
      </c>
      <c r="B231" s="3">
        <v>114</v>
      </c>
      <c r="C231">
        <v>0</v>
      </c>
      <c r="D231">
        <v>0</v>
      </c>
      <c r="F231" s="3">
        <v>940</v>
      </c>
      <c r="G231" s="3">
        <v>114</v>
      </c>
      <c r="H231">
        <v>0</v>
      </c>
      <c r="I231">
        <v>0</v>
      </c>
      <c r="K231" s="3">
        <v>940</v>
      </c>
      <c r="L231" s="3">
        <v>114</v>
      </c>
      <c r="M231">
        <v>139.32830000000001</v>
      </c>
      <c r="N231">
        <v>928.6</v>
      </c>
      <c r="P231" s="3">
        <v>940</v>
      </c>
      <c r="Q231" s="3">
        <v>114</v>
      </c>
      <c r="R231">
        <v>139.32830000000001</v>
      </c>
      <c r="S231">
        <v>928.6</v>
      </c>
    </row>
    <row r="232" spans="1:19" x14ac:dyDescent="0.25">
      <c r="A232" s="3">
        <v>950</v>
      </c>
      <c r="B232" s="3">
        <v>1</v>
      </c>
      <c r="C232">
        <v>0</v>
      </c>
      <c r="D232">
        <v>0</v>
      </c>
      <c r="F232" s="3">
        <v>950</v>
      </c>
      <c r="G232" s="3">
        <v>1</v>
      </c>
      <c r="H232">
        <v>0</v>
      </c>
      <c r="I232">
        <v>0</v>
      </c>
      <c r="K232" s="3">
        <v>950</v>
      </c>
      <c r="L232" s="3">
        <v>1</v>
      </c>
      <c r="M232">
        <v>232.0591</v>
      </c>
      <c r="N232">
        <v>773.5</v>
      </c>
      <c r="P232" s="3">
        <v>950</v>
      </c>
      <c r="Q232" s="3">
        <v>1</v>
      </c>
      <c r="R232">
        <v>232.0591</v>
      </c>
      <c r="S232">
        <v>773.5</v>
      </c>
    </row>
    <row r="233" spans="1:19" x14ac:dyDescent="0.25">
      <c r="A233" s="3">
        <v>950</v>
      </c>
      <c r="B233" s="3">
        <v>2</v>
      </c>
      <c r="C233">
        <v>0</v>
      </c>
      <c r="D233">
        <v>0</v>
      </c>
      <c r="F233" s="3">
        <v>950</v>
      </c>
      <c r="G233" s="3">
        <v>2</v>
      </c>
      <c r="H233">
        <v>0</v>
      </c>
      <c r="I233">
        <v>0</v>
      </c>
      <c r="K233" s="3">
        <v>950</v>
      </c>
      <c r="L233" s="3">
        <v>2</v>
      </c>
      <c r="M233">
        <v>232.0591</v>
      </c>
      <c r="N233">
        <v>928.2</v>
      </c>
      <c r="P233" s="3">
        <v>950</v>
      </c>
      <c r="Q233" s="3">
        <v>2</v>
      </c>
      <c r="R233">
        <v>232.0591</v>
      </c>
      <c r="S233">
        <v>928.2</v>
      </c>
    </row>
    <row r="234" spans="1:19" x14ac:dyDescent="0.25">
      <c r="A234" s="3">
        <v>950</v>
      </c>
      <c r="B234" s="3">
        <v>3</v>
      </c>
      <c r="C234">
        <v>0</v>
      </c>
      <c r="D234">
        <v>0</v>
      </c>
      <c r="F234" s="3">
        <v>950</v>
      </c>
      <c r="G234" s="3">
        <v>3</v>
      </c>
      <c r="H234">
        <v>0</v>
      </c>
      <c r="I234">
        <v>0</v>
      </c>
      <c r="K234" s="3">
        <v>950</v>
      </c>
      <c r="L234" s="3">
        <v>3</v>
      </c>
      <c r="M234">
        <v>232.0591</v>
      </c>
      <c r="N234">
        <v>1031.4000000000001</v>
      </c>
      <c r="P234" s="3">
        <v>950</v>
      </c>
      <c r="Q234" s="3">
        <v>3</v>
      </c>
      <c r="R234">
        <v>232.0591</v>
      </c>
      <c r="S234">
        <v>1031.4000000000001</v>
      </c>
    </row>
    <row r="235" spans="1:19" x14ac:dyDescent="0.25">
      <c r="A235" s="3">
        <v>950</v>
      </c>
      <c r="B235" s="3">
        <v>4</v>
      </c>
      <c r="C235">
        <v>0</v>
      </c>
      <c r="D235">
        <v>0</v>
      </c>
      <c r="F235" s="3">
        <v>950</v>
      </c>
      <c r="G235" s="3">
        <v>4</v>
      </c>
      <c r="H235">
        <v>0</v>
      </c>
      <c r="I235">
        <v>0</v>
      </c>
      <c r="K235" s="3">
        <v>950</v>
      </c>
      <c r="L235" s="3">
        <v>4</v>
      </c>
      <c r="M235">
        <v>-210.45259999999999</v>
      </c>
      <c r="N235">
        <v>-935.3</v>
      </c>
      <c r="P235" s="3">
        <v>950</v>
      </c>
      <c r="Q235" s="3">
        <v>4</v>
      </c>
      <c r="R235">
        <v>-210.45259999999999</v>
      </c>
      <c r="S235">
        <v>-935.3</v>
      </c>
    </row>
    <row r="236" spans="1:19" x14ac:dyDescent="0.25">
      <c r="A236" s="3">
        <v>950</v>
      </c>
      <c r="B236" s="3">
        <v>5</v>
      </c>
      <c r="C236">
        <v>0</v>
      </c>
      <c r="D236">
        <v>0</v>
      </c>
      <c r="F236" s="3">
        <v>950</v>
      </c>
      <c r="G236" s="3">
        <v>5</v>
      </c>
      <c r="H236">
        <v>0</v>
      </c>
      <c r="I236">
        <v>0</v>
      </c>
      <c r="K236" s="3">
        <v>950</v>
      </c>
      <c r="L236" s="3">
        <v>5</v>
      </c>
      <c r="M236">
        <v>264.35199999999998</v>
      </c>
      <c r="N236">
        <v>1174.9000000000001</v>
      </c>
      <c r="P236" s="3">
        <v>950</v>
      </c>
      <c r="Q236" s="3">
        <v>5</v>
      </c>
      <c r="R236">
        <v>264.35199999999998</v>
      </c>
      <c r="S236">
        <v>1174.9000000000001</v>
      </c>
    </row>
    <row r="237" spans="1:19" x14ac:dyDescent="0.25">
      <c r="A237" s="3">
        <v>950</v>
      </c>
      <c r="B237" s="3">
        <v>6</v>
      </c>
      <c r="C237">
        <v>0</v>
      </c>
      <c r="D237">
        <v>0</v>
      </c>
      <c r="F237" s="3">
        <v>950</v>
      </c>
      <c r="G237" s="3">
        <v>6</v>
      </c>
      <c r="H237">
        <v>0</v>
      </c>
      <c r="I237">
        <v>0</v>
      </c>
      <c r="K237" s="3">
        <v>950</v>
      </c>
      <c r="L237" s="3">
        <v>6</v>
      </c>
      <c r="M237">
        <v>-283.4348</v>
      </c>
      <c r="N237">
        <v>-1259.7</v>
      </c>
      <c r="P237" s="3">
        <v>950</v>
      </c>
      <c r="Q237" s="3">
        <v>6</v>
      </c>
      <c r="R237">
        <v>-283.4348</v>
      </c>
      <c r="S237">
        <v>-1259.7</v>
      </c>
    </row>
    <row r="238" spans="1:19" x14ac:dyDescent="0.25">
      <c r="A238" s="3">
        <v>950</v>
      </c>
      <c r="B238" s="3">
        <v>7</v>
      </c>
      <c r="C238">
        <v>0</v>
      </c>
      <c r="D238">
        <v>0</v>
      </c>
      <c r="F238" s="3">
        <v>950</v>
      </c>
      <c r="G238" s="3">
        <v>7</v>
      </c>
      <c r="H238">
        <v>0</v>
      </c>
      <c r="I238">
        <v>0</v>
      </c>
      <c r="K238" s="3">
        <v>950</v>
      </c>
      <c r="L238" s="3">
        <v>7</v>
      </c>
      <c r="M238">
        <v>-19.082799999999999</v>
      </c>
      <c r="N238">
        <v>-27.3</v>
      </c>
      <c r="P238" s="3">
        <v>950</v>
      </c>
      <c r="Q238" s="3">
        <v>7</v>
      </c>
      <c r="R238">
        <v>-19.082799999999999</v>
      </c>
      <c r="S238">
        <v>-27.3</v>
      </c>
    </row>
    <row r="239" spans="1:19" x14ac:dyDescent="0.25">
      <c r="A239" s="3">
        <v>950</v>
      </c>
      <c r="B239" s="3">
        <v>8</v>
      </c>
      <c r="C239">
        <v>0</v>
      </c>
      <c r="D239">
        <v>0</v>
      </c>
      <c r="F239" s="3">
        <v>950</v>
      </c>
      <c r="G239" s="3">
        <v>8</v>
      </c>
      <c r="H239">
        <v>0</v>
      </c>
      <c r="I239">
        <v>0</v>
      </c>
      <c r="K239" s="3">
        <v>950</v>
      </c>
      <c r="L239" s="3">
        <v>8</v>
      </c>
      <c r="M239">
        <v>-95.389499999999998</v>
      </c>
      <c r="N239">
        <v>-212</v>
      </c>
      <c r="P239" s="3">
        <v>950</v>
      </c>
      <c r="Q239" s="3">
        <v>8</v>
      </c>
      <c r="R239">
        <v>-95.389499999999998</v>
      </c>
      <c r="S239">
        <v>-212</v>
      </c>
    </row>
    <row r="240" spans="1:19" x14ac:dyDescent="0.25">
      <c r="A240" s="3">
        <v>950</v>
      </c>
      <c r="B240" s="3">
        <v>9</v>
      </c>
      <c r="C240">
        <v>0</v>
      </c>
      <c r="D240">
        <v>0</v>
      </c>
      <c r="F240" s="3">
        <v>950</v>
      </c>
      <c r="G240" s="3">
        <v>9</v>
      </c>
      <c r="H240">
        <v>0</v>
      </c>
      <c r="I240">
        <v>0</v>
      </c>
      <c r="K240" s="3">
        <v>950</v>
      </c>
      <c r="L240" s="3">
        <v>9</v>
      </c>
      <c r="M240">
        <v>76.306699999999992</v>
      </c>
      <c r="N240">
        <v>109</v>
      </c>
      <c r="P240" s="3">
        <v>950</v>
      </c>
      <c r="Q240" s="3">
        <v>9</v>
      </c>
      <c r="R240">
        <v>76.306699999999992</v>
      </c>
      <c r="S240">
        <v>109</v>
      </c>
    </row>
    <row r="241" spans="1:19" x14ac:dyDescent="0.25">
      <c r="A241" s="3">
        <v>950</v>
      </c>
      <c r="B241" s="3">
        <v>10</v>
      </c>
      <c r="C241">
        <v>0</v>
      </c>
      <c r="D241">
        <v>0</v>
      </c>
      <c r="F241" s="3">
        <v>950</v>
      </c>
      <c r="G241" s="3">
        <v>10</v>
      </c>
      <c r="H241">
        <v>0</v>
      </c>
      <c r="I241">
        <v>0</v>
      </c>
      <c r="K241" s="3">
        <v>950</v>
      </c>
      <c r="L241" s="3">
        <v>10</v>
      </c>
      <c r="M241">
        <v>-0.79010000000000002</v>
      </c>
      <c r="N241">
        <v>-1.8</v>
      </c>
      <c r="P241" s="3">
        <v>950</v>
      </c>
      <c r="Q241" s="3">
        <v>10</v>
      </c>
      <c r="R241">
        <v>-0.79010000000000002</v>
      </c>
      <c r="S241">
        <v>-1.8</v>
      </c>
    </row>
    <row r="242" spans="1:19" x14ac:dyDescent="0.25">
      <c r="A242" s="3">
        <v>950</v>
      </c>
      <c r="B242" s="3">
        <v>11</v>
      </c>
      <c r="C242">
        <v>0</v>
      </c>
      <c r="D242">
        <v>0</v>
      </c>
      <c r="F242" s="3">
        <v>950</v>
      </c>
      <c r="G242" s="3">
        <v>11</v>
      </c>
      <c r="H242">
        <v>0</v>
      </c>
      <c r="I242">
        <v>0</v>
      </c>
      <c r="K242" s="3">
        <v>950</v>
      </c>
      <c r="L242" s="3">
        <v>11</v>
      </c>
      <c r="M242">
        <v>75.516600000000011</v>
      </c>
      <c r="N242">
        <v>107.9</v>
      </c>
      <c r="P242" s="3">
        <v>950</v>
      </c>
      <c r="Q242" s="3">
        <v>11</v>
      </c>
      <c r="R242">
        <v>75.516600000000011</v>
      </c>
      <c r="S242">
        <v>107.9</v>
      </c>
    </row>
    <row r="243" spans="1:19" x14ac:dyDescent="0.25">
      <c r="A243" s="3">
        <v>950</v>
      </c>
      <c r="B243" s="3">
        <v>12</v>
      </c>
      <c r="C243">
        <v>0</v>
      </c>
      <c r="D243">
        <v>0</v>
      </c>
      <c r="F243" s="3">
        <v>950</v>
      </c>
      <c r="G243" s="3">
        <v>12</v>
      </c>
      <c r="H243">
        <v>0</v>
      </c>
      <c r="I243">
        <v>0</v>
      </c>
      <c r="K243" s="3">
        <v>950</v>
      </c>
      <c r="L243" s="3">
        <v>12</v>
      </c>
      <c r="M243">
        <v>75.516600000000011</v>
      </c>
      <c r="N243">
        <v>188.8</v>
      </c>
      <c r="P243" s="3">
        <v>950</v>
      </c>
      <c r="Q243" s="3">
        <v>12</v>
      </c>
      <c r="R243">
        <v>75.516600000000011</v>
      </c>
      <c r="S243">
        <v>188.8</v>
      </c>
    </row>
    <row r="244" spans="1:19" x14ac:dyDescent="0.25">
      <c r="A244" s="3">
        <v>950</v>
      </c>
      <c r="B244" s="3">
        <v>13</v>
      </c>
      <c r="C244">
        <v>0</v>
      </c>
      <c r="D244">
        <v>0</v>
      </c>
      <c r="F244" s="3">
        <v>950</v>
      </c>
      <c r="G244" s="3">
        <v>13</v>
      </c>
      <c r="H244">
        <v>0</v>
      </c>
      <c r="I244">
        <v>0</v>
      </c>
      <c r="K244" s="3">
        <v>950</v>
      </c>
      <c r="L244" s="3">
        <v>13</v>
      </c>
      <c r="M244">
        <v>-60.195999999999998</v>
      </c>
      <c r="N244">
        <v>-150.5</v>
      </c>
      <c r="P244" s="3">
        <v>950</v>
      </c>
      <c r="Q244" s="3">
        <v>13</v>
      </c>
      <c r="R244">
        <v>-60.195999999999998</v>
      </c>
      <c r="S244">
        <v>-150.5</v>
      </c>
    </row>
    <row r="245" spans="1:19" x14ac:dyDescent="0.25">
      <c r="A245" s="3">
        <v>950</v>
      </c>
      <c r="B245" s="3">
        <v>14</v>
      </c>
      <c r="C245">
        <v>0</v>
      </c>
      <c r="D245">
        <v>0</v>
      </c>
      <c r="F245" s="3">
        <v>950</v>
      </c>
      <c r="G245" s="3">
        <v>14</v>
      </c>
      <c r="H245">
        <v>0</v>
      </c>
      <c r="I245">
        <v>0</v>
      </c>
      <c r="K245" s="3">
        <v>950</v>
      </c>
      <c r="L245" s="3">
        <v>14</v>
      </c>
      <c r="M245">
        <v>-60.195999999999998</v>
      </c>
      <c r="N245">
        <v>-86</v>
      </c>
      <c r="P245" s="3">
        <v>950</v>
      </c>
      <c r="Q245" s="3">
        <v>14</v>
      </c>
      <c r="R245">
        <v>-60.195999999999998</v>
      </c>
      <c r="S245">
        <v>-86</v>
      </c>
    </row>
    <row r="246" spans="1:19" x14ac:dyDescent="0.25">
      <c r="A246" s="3">
        <v>950</v>
      </c>
      <c r="B246" s="3">
        <v>103</v>
      </c>
      <c r="C246">
        <v>0</v>
      </c>
      <c r="D246">
        <v>0</v>
      </c>
      <c r="F246" s="3">
        <v>950</v>
      </c>
      <c r="G246" s="3">
        <v>103</v>
      </c>
      <c r="H246">
        <v>0</v>
      </c>
      <c r="I246">
        <v>0</v>
      </c>
      <c r="K246" s="3">
        <v>950</v>
      </c>
      <c r="L246" s="3">
        <v>103</v>
      </c>
      <c r="M246">
        <v>-32.292900000000003</v>
      </c>
      <c r="N246">
        <v>-161.5</v>
      </c>
      <c r="P246" s="3">
        <v>950</v>
      </c>
      <c r="Q246" s="3">
        <v>103</v>
      </c>
      <c r="R246">
        <v>-32.292900000000003</v>
      </c>
      <c r="S246">
        <v>-161.5</v>
      </c>
    </row>
    <row r="247" spans="1:19" x14ac:dyDescent="0.25">
      <c r="A247" s="3">
        <v>950</v>
      </c>
      <c r="B247" s="3">
        <v>104</v>
      </c>
      <c r="C247">
        <v>0</v>
      </c>
      <c r="D247">
        <v>0</v>
      </c>
      <c r="F247" s="3">
        <v>950</v>
      </c>
      <c r="G247" s="3">
        <v>104</v>
      </c>
      <c r="H247">
        <v>0</v>
      </c>
      <c r="I247">
        <v>0</v>
      </c>
      <c r="K247" s="3">
        <v>950</v>
      </c>
      <c r="L247" s="3">
        <v>104</v>
      </c>
      <c r="M247">
        <v>72.982199999999992</v>
      </c>
      <c r="N247">
        <v>549.9</v>
      </c>
      <c r="P247" s="3">
        <v>950</v>
      </c>
      <c r="Q247" s="3">
        <v>104</v>
      </c>
      <c r="R247">
        <v>72.982199999999992</v>
      </c>
      <c r="S247">
        <v>549.9</v>
      </c>
    </row>
    <row r="248" spans="1:19" x14ac:dyDescent="0.25">
      <c r="A248" s="3">
        <v>950</v>
      </c>
      <c r="B248" s="3">
        <v>110</v>
      </c>
      <c r="C248">
        <v>0</v>
      </c>
      <c r="D248">
        <v>0</v>
      </c>
      <c r="F248" s="3">
        <v>950</v>
      </c>
      <c r="G248" s="3">
        <v>110</v>
      </c>
      <c r="H248">
        <v>0</v>
      </c>
      <c r="I248">
        <v>0</v>
      </c>
      <c r="K248" s="3">
        <v>950</v>
      </c>
      <c r="L248" s="3">
        <v>110</v>
      </c>
      <c r="M248">
        <v>-94.599399999999989</v>
      </c>
      <c r="N248">
        <v>-980.3</v>
      </c>
      <c r="P248" s="3">
        <v>950</v>
      </c>
      <c r="Q248" s="3">
        <v>110</v>
      </c>
      <c r="R248">
        <v>-94.599399999999989</v>
      </c>
      <c r="S248">
        <v>-980.3</v>
      </c>
    </row>
    <row r="249" spans="1:19" x14ac:dyDescent="0.25">
      <c r="A249" s="3">
        <v>950</v>
      </c>
      <c r="B249" s="3">
        <v>114</v>
      </c>
      <c r="C249">
        <v>0</v>
      </c>
      <c r="D249">
        <v>0</v>
      </c>
      <c r="F249" s="3">
        <v>950</v>
      </c>
      <c r="G249" s="3">
        <v>114</v>
      </c>
      <c r="H249">
        <v>0</v>
      </c>
      <c r="I249">
        <v>0</v>
      </c>
      <c r="K249" s="3">
        <v>950</v>
      </c>
      <c r="L249" s="3">
        <v>114</v>
      </c>
      <c r="M249">
        <v>135.71260000000001</v>
      </c>
      <c r="N249">
        <v>904.5</v>
      </c>
      <c r="P249" s="3">
        <v>950</v>
      </c>
      <c r="Q249" s="3">
        <v>114</v>
      </c>
      <c r="R249">
        <v>135.71260000000001</v>
      </c>
      <c r="S249">
        <v>904.5</v>
      </c>
    </row>
    <row r="250" spans="1:19" x14ac:dyDescent="0.25">
      <c r="A250" s="3">
        <v>960</v>
      </c>
      <c r="B250" s="3">
        <v>1</v>
      </c>
      <c r="C250">
        <v>0</v>
      </c>
      <c r="D250">
        <v>0</v>
      </c>
      <c r="F250" s="3">
        <v>960</v>
      </c>
      <c r="G250" s="3">
        <v>1</v>
      </c>
      <c r="H250">
        <v>0</v>
      </c>
      <c r="I250">
        <v>0</v>
      </c>
      <c r="K250" s="3">
        <v>960</v>
      </c>
      <c r="L250" s="3">
        <v>1</v>
      </c>
      <c r="M250">
        <v>187.04089999999999</v>
      </c>
      <c r="N250">
        <v>623.5</v>
      </c>
      <c r="P250" s="3">
        <v>960</v>
      </c>
      <c r="Q250" s="3">
        <v>1</v>
      </c>
      <c r="R250">
        <v>187.04089999999999</v>
      </c>
      <c r="S250">
        <v>623.5</v>
      </c>
    </row>
    <row r="251" spans="1:19" x14ac:dyDescent="0.25">
      <c r="A251" s="3">
        <v>960</v>
      </c>
      <c r="B251" s="3">
        <v>2</v>
      </c>
      <c r="C251">
        <v>0</v>
      </c>
      <c r="D251">
        <v>0</v>
      </c>
      <c r="F251" s="3">
        <v>960</v>
      </c>
      <c r="G251" s="3">
        <v>2</v>
      </c>
      <c r="H251">
        <v>0</v>
      </c>
      <c r="I251">
        <v>0</v>
      </c>
      <c r="K251" s="3">
        <v>960</v>
      </c>
      <c r="L251" s="3">
        <v>2</v>
      </c>
      <c r="M251">
        <v>187.04089999999999</v>
      </c>
      <c r="N251">
        <v>748.2</v>
      </c>
      <c r="P251" s="3">
        <v>960</v>
      </c>
      <c r="Q251" s="3">
        <v>2</v>
      </c>
      <c r="R251">
        <v>187.04089999999999</v>
      </c>
      <c r="S251">
        <v>748.2</v>
      </c>
    </row>
    <row r="252" spans="1:19" x14ac:dyDescent="0.25">
      <c r="A252" s="3">
        <v>960</v>
      </c>
      <c r="B252" s="3">
        <v>3</v>
      </c>
      <c r="C252">
        <v>0</v>
      </c>
      <c r="D252">
        <v>0</v>
      </c>
      <c r="F252" s="3">
        <v>960</v>
      </c>
      <c r="G252" s="3">
        <v>3</v>
      </c>
      <c r="H252">
        <v>0</v>
      </c>
      <c r="I252">
        <v>0</v>
      </c>
      <c r="K252" s="3">
        <v>960</v>
      </c>
      <c r="L252" s="3">
        <v>3</v>
      </c>
      <c r="M252">
        <v>187.04089999999999</v>
      </c>
      <c r="N252">
        <v>831.3</v>
      </c>
      <c r="P252" s="3">
        <v>960</v>
      </c>
      <c r="Q252" s="3">
        <v>3</v>
      </c>
      <c r="R252">
        <v>187.04089999999999</v>
      </c>
      <c r="S252">
        <v>831.3</v>
      </c>
    </row>
    <row r="253" spans="1:19" x14ac:dyDescent="0.25">
      <c r="A253" s="3">
        <v>960</v>
      </c>
      <c r="B253" s="3">
        <v>4</v>
      </c>
      <c r="C253">
        <v>2.230186962703869E-5</v>
      </c>
      <c r="D253">
        <v>0</v>
      </c>
      <c r="F253" s="3">
        <v>960</v>
      </c>
      <c r="G253" s="3">
        <v>4</v>
      </c>
      <c r="H253">
        <v>-9.9999999974897946E-5</v>
      </c>
      <c r="I253">
        <v>0</v>
      </c>
      <c r="K253" s="3">
        <v>960</v>
      </c>
      <c r="L253" s="3">
        <v>4</v>
      </c>
      <c r="M253">
        <v>-448.39299999999997</v>
      </c>
      <c r="N253">
        <v>-1992.9</v>
      </c>
      <c r="P253" s="3">
        <v>960</v>
      </c>
      <c r="Q253" s="3">
        <v>4</v>
      </c>
      <c r="R253">
        <v>-448.3929</v>
      </c>
      <c r="S253">
        <v>-1992.9</v>
      </c>
    </row>
    <row r="254" spans="1:19" x14ac:dyDescent="0.25">
      <c r="A254" s="3">
        <v>960</v>
      </c>
      <c r="B254" s="3">
        <v>5</v>
      </c>
      <c r="C254">
        <v>3.9703935693647471E-5</v>
      </c>
      <c r="D254">
        <v>0</v>
      </c>
      <c r="F254" s="3">
        <v>960</v>
      </c>
      <c r="G254" s="3">
        <v>5</v>
      </c>
      <c r="H254">
        <v>-1.000000000033197E-4</v>
      </c>
      <c r="I254">
        <v>0</v>
      </c>
      <c r="K254" s="3">
        <v>960</v>
      </c>
      <c r="L254" s="3">
        <v>5</v>
      </c>
      <c r="M254">
        <v>251.86410000000001</v>
      </c>
      <c r="N254">
        <v>1119.4000000000001</v>
      </c>
      <c r="P254" s="3">
        <v>960</v>
      </c>
      <c r="Q254" s="3">
        <v>5</v>
      </c>
      <c r="R254">
        <v>251.86420000000001</v>
      </c>
      <c r="S254">
        <v>1119.4000000000001</v>
      </c>
    </row>
    <row r="255" spans="1:19" x14ac:dyDescent="0.25">
      <c r="A255" s="3">
        <v>960</v>
      </c>
      <c r="B255" s="3">
        <v>6</v>
      </c>
      <c r="C255">
        <v>0</v>
      </c>
      <c r="D255">
        <v>0</v>
      </c>
      <c r="F255" s="3">
        <v>960</v>
      </c>
      <c r="G255" s="3">
        <v>6</v>
      </c>
      <c r="H255">
        <v>0</v>
      </c>
      <c r="I255">
        <v>0</v>
      </c>
      <c r="K255" s="3">
        <v>960</v>
      </c>
      <c r="L255" s="3">
        <v>6</v>
      </c>
      <c r="M255">
        <v>-438.72969999999998</v>
      </c>
      <c r="N255">
        <v>-1949.9</v>
      </c>
      <c r="P255" s="3">
        <v>960</v>
      </c>
      <c r="Q255" s="3">
        <v>6</v>
      </c>
      <c r="R255">
        <v>-438.72969999999998</v>
      </c>
      <c r="S255">
        <v>-1949.9</v>
      </c>
    </row>
    <row r="256" spans="1:19" x14ac:dyDescent="0.25">
      <c r="A256" s="3">
        <v>960</v>
      </c>
      <c r="B256" s="3">
        <v>7</v>
      </c>
      <c r="C256">
        <v>0</v>
      </c>
      <c r="D256">
        <v>0</v>
      </c>
      <c r="F256" s="3">
        <v>960</v>
      </c>
      <c r="G256" s="3">
        <v>7</v>
      </c>
      <c r="H256">
        <v>0</v>
      </c>
      <c r="I256">
        <v>0</v>
      </c>
      <c r="K256" s="3">
        <v>960</v>
      </c>
      <c r="L256" s="3">
        <v>7</v>
      </c>
      <c r="M256">
        <v>-186.8656</v>
      </c>
      <c r="N256">
        <v>-267</v>
      </c>
      <c r="P256" s="3">
        <v>960</v>
      </c>
      <c r="Q256" s="3">
        <v>7</v>
      </c>
      <c r="R256">
        <v>-186.8656</v>
      </c>
      <c r="S256">
        <v>-267</v>
      </c>
    </row>
    <row r="257" spans="1:19" x14ac:dyDescent="0.25">
      <c r="A257" s="3">
        <v>960</v>
      </c>
      <c r="B257" s="3">
        <v>8</v>
      </c>
      <c r="C257">
        <v>0</v>
      </c>
      <c r="D257">
        <v>0</v>
      </c>
      <c r="F257" s="3">
        <v>960</v>
      </c>
      <c r="G257" s="3">
        <v>8</v>
      </c>
      <c r="H257">
        <v>0</v>
      </c>
      <c r="I257">
        <v>0</v>
      </c>
      <c r="K257" s="3">
        <v>960</v>
      </c>
      <c r="L257" s="3">
        <v>8</v>
      </c>
      <c r="M257">
        <v>-59.686300000000003</v>
      </c>
      <c r="N257">
        <v>-132.6</v>
      </c>
      <c r="P257" s="3">
        <v>960</v>
      </c>
      <c r="Q257" s="3">
        <v>8</v>
      </c>
      <c r="R257">
        <v>-59.686300000000003</v>
      </c>
      <c r="S257">
        <v>-132.6</v>
      </c>
    </row>
    <row r="258" spans="1:19" x14ac:dyDescent="0.25">
      <c r="A258" s="3">
        <v>960</v>
      </c>
      <c r="B258" s="3">
        <v>9</v>
      </c>
      <c r="C258">
        <v>0</v>
      </c>
      <c r="D258">
        <v>0</v>
      </c>
      <c r="F258" s="3">
        <v>960</v>
      </c>
      <c r="G258" s="3">
        <v>9</v>
      </c>
      <c r="H258">
        <v>0</v>
      </c>
      <c r="I258">
        <v>0</v>
      </c>
      <c r="K258" s="3">
        <v>960</v>
      </c>
      <c r="L258" s="3">
        <v>9</v>
      </c>
      <c r="M258">
        <v>-127.1793</v>
      </c>
      <c r="N258">
        <v>-181.7</v>
      </c>
      <c r="P258" s="3">
        <v>960</v>
      </c>
      <c r="Q258" s="3">
        <v>9</v>
      </c>
      <c r="R258">
        <v>-127.1793</v>
      </c>
      <c r="S258">
        <v>-181.7</v>
      </c>
    </row>
    <row r="259" spans="1:19" x14ac:dyDescent="0.25">
      <c r="A259" s="3">
        <v>960</v>
      </c>
      <c r="B259" s="3">
        <v>10</v>
      </c>
      <c r="C259">
        <v>0</v>
      </c>
      <c r="D259">
        <v>0</v>
      </c>
      <c r="F259" s="3">
        <v>960</v>
      </c>
      <c r="G259" s="3">
        <v>10</v>
      </c>
      <c r="H259">
        <v>0</v>
      </c>
      <c r="I259">
        <v>0</v>
      </c>
      <c r="K259" s="3">
        <v>960</v>
      </c>
      <c r="L259" s="3">
        <v>10</v>
      </c>
      <c r="M259">
        <v>25.3765</v>
      </c>
      <c r="N259">
        <v>56.4</v>
      </c>
      <c r="P259" s="3">
        <v>960</v>
      </c>
      <c r="Q259" s="3">
        <v>10</v>
      </c>
      <c r="R259">
        <v>25.3765</v>
      </c>
      <c r="S259">
        <v>56.4</v>
      </c>
    </row>
    <row r="260" spans="1:19" x14ac:dyDescent="0.25">
      <c r="A260" s="3">
        <v>960</v>
      </c>
      <c r="B260" s="3">
        <v>11</v>
      </c>
      <c r="C260">
        <v>0</v>
      </c>
      <c r="D260">
        <v>0</v>
      </c>
      <c r="F260" s="3">
        <v>960</v>
      </c>
      <c r="G260" s="3">
        <v>11</v>
      </c>
      <c r="H260">
        <v>0</v>
      </c>
      <c r="I260">
        <v>0</v>
      </c>
      <c r="K260" s="3">
        <v>960</v>
      </c>
      <c r="L260" s="3">
        <v>11</v>
      </c>
      <c r="M260">
        <v>-101.8028</v>
      </c>
      <c r="N260">
        <v>-145.4</v>
      </c>
      <c r="P260" s="3">
        <v>960</v>
      </c>
      <c r="Q260" s="3">
        <v>11</v>
      </c>
      <c r="R260">
        <v>-101.8028</v>
      </c>
      <c r="S260">
        <v>-145.4</v>
      </c>
    </row>
    <row r="261" spans="1:19" x14ac:dyDescent="0.25">
      <c r="A261" s="3">
        <v>960</v>
      </c>
      <c r="B261" s="3">
        <v>12</v>
      </c>
      <c r="C261">
        <v>0</v>
      </c>
      <c r="D261">
        <v>0</v>
      </c>
      <c r="F261" s="3">
        <v>960</v>
      </c>
      <c r="G261" s="3">
        <v>12</v>
      </c>
      <c r="H261">
        <v>0</v>
      </c>
      <c r="I261">
        <v>0</v>
      </c>
      <c r="K261" s="3">
        <v>960</v>
      </c>
      <c r="L261" s="3">
        <v>12</v>
      </c>
      <c r="M261">
        <v>-101.8028</v>
      </c>
      <c r="N261">
        <v>-254.5</v>
      </c>
      <c r="P261" s="3">
        <v>960</v>
      </c>
      <c r="Q261" s="3">
        <v>12</v>
      </c>
      <c r="R261">
        <v>-101.8028</v>
      </c>
      <c r="S261">
        <v>-254.5</v>
      </c>
    </row>
    <row r="262" spans="1:19" x14ac:dyDescent="0.25">
      <c r="A262" s="3">
        <v>960</v>
      </c>
      <c r="B262" s="3">
        <v>13</v>
      </c>
      <c r="C262">
        <v>0</v>
      </c>
      <c r="D262">
        <v>0</v>
      </c>
      <c r="F262" s="3">
        <v>960</v>
      </c>
      <c r="G262" s="3">
        <v>13</v>
      </c>
      <c r="H262">
        <v>0</v>
      </c>
      <c r="I262">
        <v>0</v>
      </c>
      <c r="K262" s="3">
        <v>960</v>
      </c>
      <c r="L262" s="3">
        <v>13</v>
      </c>
      <c r="M262">
        <v>-237.76669999999999</v>
      </c>
      <c r="N262">
        <v>-594.4</v>
      </c>
      <c r="P262" s="3">
        <v>960</v>
      </c>
      <c r="Q262" s="3">
        <v>13</v>
      </c>
      <c r="R262">
        <v>-237.76669999999999</v>
      </c>
      <c r="S262">
        <v>-594.4</v>
      </c>
    </row>
    <row r="263" spans="1:19" x14ac:dyDescent="0.25">
      <c r="A263" s="3">
        <v>960</v>
      </c>
      <c r="B263" s="3">
        <v>14</v>
      </c>
      <c r="C263">
        <v>0</v>
      </c>
      <c r="D263">
        <v>0</v>
      </c>
      <c r="F263" s="3">
        <v>960</v>
      </c>
      <c r="G263" s="3">
        <v>14</v>
      </c>
      <c r="H263">
        <v>0</v>
      </c>
      <c r="I263">
        <v>0</v>
      </c>
      <c r="K263" s="3">
        <v>960</v>
      </c>
      <c r="L263" s="3">
        <v>14</v>
      </c>
      <c r="M263">
        <v>-237.76669999999999</v>
      </c>
      <c r="N263">
        <v>-339.7</v>
      </c>
      <c r="P263" s="3">
        <v>960</v>
      </c>
      <c r="Q263" s="3">
        <v>14</v>
      </c>
      <c r="R263">
        <v>-237.76669999999999</v>
      </c>
      <c r="S263">
        <v>-339.7</v>
      </c>
    </row>
    <row r="264" spans="1:19" x14ac:dyDescent="0.25">
      <c r="A264" s="3">
        <v>960</v>
      </c>
      <c r="B264" s="3">
        <v>103</v>
      </c>
      <c r="C264">
        <v>0</v>
      </c>
      <c r="D264">
        <v>0</v>
      </c>
      <c r="F264" s="3">
        <v>960</v>
      </c>
      <c r="G264" s="3">
        <v>103</v>
      </c>
      <c r="H264">
        <v>0</v>
      </c>
      <c r="I264">
        <v>0</v>
      </c>
      <c r="K264" s="3">
        <v>960</v>
      </c>
      <c r="L264" s="3">
        <v>103</v>
      </c>
      <c r="M264">
        <v>-64.823300000000003</v>
      </c>
      <c r="N264">
        <v>-324.10000000000002</v>
      </c>
      <c r="P264" s="3">
        <v>960</v>
      </c>
      <c r="Q264" s="3">
        <v>103</v>
      </c>
      <c r="R264">
        <v>-64.823300000000003</v>
      </c>
      <c r="S264">
        <v>-324.10000000000002</v>
      </c>
    </row>
    <row r="265" spans="1:19" x14ac:dyDescent="0.25">
      <c r="A265" s="3">
        <v>960</v>
      </c>
      <c r="B265" s="3">
        <v>104</v>
      </c>
      <c r="C265">
        <v>0</v>
      </c>
      <c r="D265">
        <v>0</v>
      </c>
      <c r="F265" s="3">
        <v>960</v>
      </c>
      <c r="G265" s="3">
        <v>104</v>
      </c>
      <c r="H265">
        <v>0</v>
      </c>
      <c r="I265">
        <v>0</v>
      </c>
      <c r="K265" s="3">
        <v>960</v>
      </c>
      <c r="L265" s="3">
        <v>104</v>
      </c>
      <c r="M265">
        <v>-9.6632000000000016</v>
      </c>
      <c r="N265">
        <v>-72.8</v>
      </c>
      <c r="P265" s="3">
        <v>960</v>
      </c>
      <c r="Q265" s="3">
        <v>104</v>
      </c>
      <c r="R265">
        <v>-9.6632000000000016</v>
      </c>
      <c r="S265">
        <v>-72.8</v>
      </c>
    </row>
    <row r="266" spans="1:19" x14ac:dyDescent="0.25">
      <c r="A266" s="3">
        <v>960</v>
      </c>
      <c r="B266" s="3">
        <v>110</v>
      </c>
      <c r="C266">
        <v>0</v>
      </c>
      <c r="D266">
        <v>0</v>
      </c>
      <c r="F266" s="3">
        <v>960</v>
      </c>
      <c r="G266" s="3">
        <v>110</v>
      </c>
      <c r="H266">
        <v>0</v>
      </c>
      <c r="I266">
        <v>0</v>
      </c>
      <c r="K266" s="3">
        <v>960</v>
      </c>
      <c r="L266" s="3">
        <v>110</v>
      </c>
      <c r="M266">
        <v>-85.06280000000001</v>
      </c>
      <c r="N266">
        <v>-881.5</v>
      </c>
      <c r="P266" s="3">
        <v>960</v>
      </c>
      <c r="Q266" s="3">
        <v>110</v>
      </c>
      <c r="R266">
        <v>-85.06280000000001</v>
      </c>
      <c r="S266">
        <v>-881.5</v>
      </c>
    </row>
    <row r="267" spans="1:19" x14ac:dyDescent="0.25">
      <c r="A267" s="3">
        <v>960</v>
      </c>
      <c r="B267" s="3">
        <v>114</v>
      </c>
      <c r="C267">
        <v>7.3548880588479056E-5</v>
      </c>
      <c r="D267">
        <v>0</v>
      </c>
      <c r="F267" s="3">
        <v>960</v>
      </c>
      <c r="G267" s="3">
        <v>114</v>
      </c>
      <c r="H267">
        <v>-1.000000000033197E-4</v>
      </c>
      <c r="I267">
        <v>0</v>
      </c>
      <c r="K267" s="3">
        <v>960</v>
      </c>
      <c r="L267" s="3">
        <v>114</v>
      </c>
      <c r="M267">
        <v>135.9639</v>
      </c>
      <c r="N267">
        <v>906.2</v>
      </c>
      <c r="P267" s="3">
        <v>960</v>
      </c>
      <c r="Q267" s="3">
        <v>114</v>
      </c>
      <c r="R267">
        <v>135.964</v>
      </c>
      <c r="S267">
        <v>906.2</v>
      </c>
    </row>
    <row r="268" spans="1:19" x14ac:dyDescent="0.25">
      <c r="A268" s="3">
        <v>970</v>
      </c>
      <c r="B268" s="3">
        <v>1</v>
      </c>
      <c r="C268">
        <v>7.1141515416238093E-5</v>
      </c>
      <c r="D268">
        <v>0</v>
      </c>
      <c r="F268" s="3">
        <v>970</v>
      </c>
      <c r="G268" s="3">
        <v>1</v>
      </c>
      <c r="H268">
        <v>-1.000000000033197E-4</v>
      </c>
      <c r="I268">
        <v>0</v>
      </c>
      <c r="K268" s="3">
        <v>970</v>
      </c>
      <c r="L268" s="3">
        <v>1</v>
      </c>
      <c r="M268">
        <v>140.56479999999999</v>
      </c>
      <c r="N268">
        <v>468.5</v>
      </c>
      <c r="P268" s="3">
        <v>970</v>
      </c>
      <c r="Q268" s="3">
        <v>1</v>
      </c>
      <c r="R268">
        <v>140.56489999999999</v>
      </c>
      <c r="S268">
        <v>468.5</v>
      </c>
    </row>
    <row r="269" spans="1:19" x14ac:dyDescent="0.25">
      <c r="A269" s="3">
        <v>970</v>
      </c>
      <c r="B269" s="3">
        <v>2</v>
      </c>
      <c r="C269">
        <v>7.1141515416238093E-5</v>
      </c>
      <c r="D269">
        <v>0</v>
      </c>
      <c r="F269" s="3">
        <v>970</v>
      </c>
      <c r="G269" s="3">
        <v>2</v>
      </c>
      <c r="H269">
        <v>-1.000000000033197E-4</v>
      </c>
      <c r="I269">
        <v>0</v>
      </c>
      <c r="K269" s="3">
        <v>970</v>
      </c>
      <c r="L269" s="3">
        <v>2</v>
      </c>
      <c r="M269">
        <v>140.56479999999999</v>
      </c>
      <c r="N269">
        <v>562.29999999999995</v>
      </c>
      <c r="P269" s="3">
        <v>970</v>
      </c>
      <c r="Q269" s="3">
        <v>2</v>
      </c>
      <c r="R269">
        <v>140.56489999999999</v>
      </c>
      <c r="S269">
        <v>562.29999999999995</v>
      </c>
    </row>
    <row r="270" spans="1:19" x14ac:dyDescent="0.25">
      <c r="A270" s="3">
        <v>970</v>
      </c>
      <c r="B270" s="3">
        <v>3</v>
      </c>
      <c r="C270">
        <v>7.1141515416238093E-5</v>
      </c>
      <c r="D270">
        <v>0</v>
      </c>
      <c r="F270" s="3">
        <v>970</v>
      </c>
      <c r="G270" s="3">
        <v>3</v>
      </c>
      <c r="H270">
        <v>-1.000000000033197E-4</v>
      </c>
      <c r="I270">
        <v>0</v>
      </c>
      <c r="K270" s="3">
        <v>970</v>
      </c>
      <c r="L270" s="3">
        <v>3</v>
      </c>
      <c r="M270">
        <v>140.56479999999999</v>
      </c>
      <c r="N270">
        <v>624.70000000000005</v>
      </c>
      <c r="P270" s="3">
        <v>970</v>
      </c>
      <c r="Q270" s="3">
        <v>3</v>
      </c>
      <c r="R270">
        <v>140.56489999999999</v>
      </c>
      <c r="S270">
        <v>624.70000000000005</v>
      </c>
    </row>
    <row r="271" spans="1:19" x14ac:dyDescent="0.25">
      <c r="A271" s="3">
        <v>970</v>
      </c>
      <c r="B271" s="3">
        <v>4</v>
      </c>
      <c r="C271">
        <v>0</v>
      </c>
      <c r="D271">
        <v>0</v>
      </c>
      <c r="F271" s="3">
        <v>970</v>
      </c>
      <c r="G271" s="3">
        <v>4</v>
      </c>
      <c r="H271">
        <v>0</v>
      </c>
      <c r="I271">
        <v>0</v>
      </c>
      <c r="K271" s="3">
        <v>970</v>
      </c>
      <c r="L271" s="3">
        <v>4</v>
      </c>
      <c r="M271">
        <v>-495.97620000000001</v>
      </c>
      <c r="N271">
        <v>-2204.3000000000002</v>
      </c>
      <c r="P271" s="3">
        <v>970</v>
      </c>
      <c r="Q271" s="3">
        <v>4</v>
      </c>
      <c r="R271">
        <v>-495.97620000000001</v>
      </c>
      <c r="S271">
        <v>-2204.3000000000002</v>
      </c>
    </row>
    <row r="272" spans="1:19" x14ac:dyDescent="0.25">
      <c r="A272" s="3">
        <v>970</v>
      </c>
      <c r="B272" s="3">
        <v>5</v>
      </c>
      <c r="C272">
        <v>7.0062257344094908E-5</v>
      </c>
      <c r="D272">
        <v>0</v>
      </c>
      <c r="F272" s="3">
        <v>970</v>
      </c>
      <c r="G272" s="3">
        <v>5</v>
      </c>
      <c r="H272">
        <v>-1.0000000003174141E-4</v>
      </c>
      <c r="I272">
        <v>0</v>
      </c>
      <c r="K272" s="3">
        <v>970</v>
      </c>
      <c r="L272" s="3">
        <v>5</v>
      </c>
      <c r="M272">
        <v>142.73009999999999</v>
      </c>
      <c r="N272">
        <v>634.4</v>
      </c>
      <c r="P272" s="3">
        <v>970</v>
      </c>
      <c r="Q272" s="3">
        <v>5</v>
      </c>
      <c r="R272">
        <v>142.7302</v>
      </c>
      <c r="S272">
        <v>634.4</v>
      </c>
    </row>
    <row r="273" spans="1:19" x14ac:dyDescent="0.25">
      <c r="A273" s="3">
        <v>970</v>
      </c>
      <c r="B273" s="3">
        <v>6</v>
      </c>
      <c r="C273">
        <v>2.690983108476795E-5</v>
      </c>
      <c r="D273">
        <v>0</v>
      </c>
      <c r="F273" s="3">
        <v>970</v>
      </c>
      <c r="G273" s="3">
        <v>6</v>
      </c>
      <c r="H273">
        <v>1.0000000003174141E-4</v>
      </c>
      <c r="I273">
        <v>0</v>
      </c>
      <c r="K273" s="3">
        <v>970</v>
      </c>
      <c r="L273" s="3">
        <v>6</v>
      </c>
      <c r="M273">
        <v>-371.61130000000003</v>
      </c>
      <c r="N273">
        <v>-1651.6</v>
      </c>
      <c r="P273" s="3">
        <v>970</v>
      </c>
      <c r="Q273" s="3">
        <v>6</v>
      </c>
      <c r="R273">
        <v>-371.6114</v>
      </c>
      <c r="S273">
        <v>-1651.6</v>
      </c>
    </row>
    <row r="274" spans="1:19" x14ac:dyDescent="0.25">
      <c r="A274" s="3">
        <v>970</v>
      </c>
      <c r="B274" s="3">
        <v>7</v>
      </c>
      <c r="C274">
        <v>0</v>
      </c>
      <c r="D274">
        <v>0</v>
      </c>
      <c r="F274" s="3">
        <v>970</v>
      </c>
      <c r="G274" s="3">
        <v>7</v>
      </c>
      <c r="H274">
        <v>0</v>
      </c>
      <c r="I274">
        <v>0</v>
      </c>
      <c r="K274" s="3">
        <v>970</v>
      </c>
      <c r="L274" s="3">
        <v>7</v>
      </c>
      <c r="M274">
        <v>-228.88120000000001</v>
      </c>
      <c r="N274">
        <v>-327</v>
      </c>
      <c r="P274" s="3">
        <v>970</v>
      </c>
      <c r="Q274" s="3">
        <v>7</v>
      </c>
      <c r="R274">
        <v>-228.88120000000001</v>
      </c>
      <c r="S274">
        <v>-327</v>
      </c>
    </row>
    <row r="275" spans="1:19" x14ac:dyDescent="0.25">
      <c r="A275" s="3">
        <v>970</v>
      </c>
      <c r="B275" s="3">
        <v>8</v>
      </c>
      <c r="C275">
        <v>0</v>
      </c>
      <c r="D275">
        <v>0</v>
      </c>
      <c r="F275" s="3">
        <v>970</v>
      </c>
      <c r="G275" s="3">
        <v>8</v>
      </c>
      <c r="H275">
        <v>0</v>
      </c>
      <c r="I275">
        <v>0</v>
      </c>
      <c r="K275" s="3">
        <v>970</v>
      </c>
      <c r="L275" s="3">
        <v>8</v>
      </c>
      <c r="M275">
        <v>-24.608000000000001</v>
      </c>
      <c r="N275">
        <v>-54.7</v>
      </c>
      <c r="P275" s="3">
        <v>970</v>
      </c>
      <c r="Q275" s="3">
        <v>8</v>
      </c>
      <c r="R275">
        <v>-24.608000000000001</v>
      </c>
      <c r="S275">
        <v>-54.7</v>
      </c>
    </row>
    <row r="276" spans="1:19" x14ac:dyDescent="0.25">
      <c r="A276" s="3">
        <v>970</v>
      </c>
      <c r="B276" s="3">
        <v>9</v>
      </c>
      <c r="C276">
        <v>0</v>
      </c>
      <c r="D276">
        <v>0</v>
      </c>
      <c r="F276" s="3">
        <v>970</v>
      </c>
      <c r="G276" s="3">
        <v>9</v>
      </c>
      <c r="H276">
        <v>0</v>
      </c>
      <c r="I276">
        <v>0</v>
      </c>
      <c r="K276" s="3">
        <v>970</v>
      </c>
      <c r="L276" s="3">
        <v>9</v>
      </c>
      <c r="M276">
        <v>-204.2732</v>
      </c>
      <c r="N276">
        <v>-291.8</v>
      </c>
      <c r="P276" s="3">
        <v>970</v>
      </c>
      <c r="Q276" s="3">
        <v>9</v>
      </c>
      <c r="R276">
        <v>-204.2732</v>
      </c>
      <c r="S276">
        <v>-291.8</v>
      </c>
    </row>
    <row r="277" spans="1:19" x14ac:dyDescent="0.25">
      <c r="A277" s="3">
        <v>970</v>
      </c>
      <c r="B277" s="3">
        <v>10</v>
      </c>
      <c r="C277">
        <v>0</v>
      </c>
      <c r="D277">
        <v>0</v>
      </c>
      <c r="F277" s="3">
        <v>970</v>
      </c>
      <c r="G277" s="3">
        <v>10</v>
      </c>
      <c r="H277">
        <v>0</v>
      </c>
      <c r="I277">
        <v>0</v>
      </c>
      <c r="K277" s="3">
        <v>970</v>
      </c>
      <c r="L277" s="3">
        <v>10</v>
      </c>
      <c r="M277">
        <v>-51.339500000000001</v>
      </c>
      <c r="N277">
        <v>-114.1</v>
      </c>
      <c r="P277" s="3">
        <v>970</v>
      </c>
      <c r="Q277" s="3">
        <v>10</v>
      </c>
      <c r="R277">
        <v>-51.339500000000001</v>
      </c>
      <c r="S277">
        <v>-114.1</v>
      </c>
    </row>
    <row r="278" spans="1:19" x14ac:dyDescent="0.25">
      <c r="A278" s="3">
        <v>970</v>
      </c>
      <c r="B278" s="3">
        <v>11</v>
      </c>
      <c r="C278">
        <v>0</v>
      </c>
      <c r="D278">
        <v>0</v>
      </c>
      <c r="F278" s="3">
        <v>970</v>
      </c>
      <c r="G278" s="3">
        <v>11</v>
      </c>
      <c r="H278">
        <v>0</v>
      </c>
      <c r="I278">
        <v>0</v>
      </c>
      <c r="K278" s="3">
        <v>970</v>
      </c>
      <c r="L278" s="3">
        <v>11</v>
      </c>
      <c r="M278">
        <v>-255.61269999999999</v>
      </c>
      <c r="N278">
        <v>-365.2</v>
      </c>
      <c r="P278" s="3">
        <v>970</v>
      </c>
      <c r="Q278" s="3">
        <v>11</v>
      </c>
      <c r="R278">
        <v>-255.61269999999999</v>
      </c>
      <c r="S278">
        <v>-365.2</v>
      </c>
    </row>
    <row r="279" spans="1:19" x14ac:dyDescent="0.25">
      <c r="A279" s="3">
        <v>970</v>
      </c>
      <c r="B279" s="3">
        <v>12</v>
      </c>
      <c r="C279">
        <v>0</v>
      </c>
      <c r="D279">
        <v>0</v>
      </c>
      <c r="F279" s="3">
        <v>970</v>
      </c>
      <c r="G279" s="3">
        <v>12</v>
      </c>
      <c r="H279">
        <v>0</v>
      </c>
      <c r="I279">
        <v>0</v>
      </c>
      <c r="K279" s="3">
        <v>970</v>
      </c>
      <c r="L279" s="3">
        <v>12</v>
      </c>
      <c r="M279">
        <v>-255.61269999999999</v>
      </c>
      <c r="N279">
        <v>-639</v>
      </c>
      <c r="P279" s="3">
        <v>970</v>
      </c>
      <c r="Q279" s="3">
        <v>12</v>
      </c>
      <c r="R279">
        <v>-255.61269999999999</v>
      </c>
      <c r="S279">
        <v>-639</v>
      </c>
    </row>
    <row r="280" spans="1:19" x14ac:dyDescent="0.25">
      <c r="A280" s="3">
        <v>970</v>
      </c>
      <c r="B280" s="3">
        <v>13</v>
      </c>
      <c r="C280">
        <v>0</v>
      </c>
      <c r="D280">
        <v>0</v>
      </c>
      <c r="F280" s="3">
        <v>970</v>
      </c>
      <c r="G280" s="3">
        <v>13</v>
      </c>
      <c r="H280">
        <v>0</v>
      </c>
      <c r="I280">
        <v>0</v>
      </c>
      <c r="K280" s="3">
        <v>970</v>
      </c>
      <c r="L280" s="3">
        <v>13</v>
      </c>
      <c r="M280">
        <v>-400.02940000000001</v>
      </c>
      <c r="N280">
        <v>-1000.1</v>
      </c>
      <c r="P280" s="3">
        <v>970</v>
      </c>
      <c r="Q280" s="3">
        <v>13</v>
      </c>
      <c r="R280">
        <v>-400.02940000000001</v>
      </c>
      <c r="S280">
        <v>-1000.1</v>
      </c>
    </row>
    <row r="281" spans="1:19" x14ac:dyDescent="0.25">
      <c r="A281" s="3">
        <v>970</v>
      </c>
      <c r="B281" s="3">
        <v>14</v>
      </c>
      <c r="C281">
        <v>0</v>
      </c>
      <c r="D281">
        <v>0</v>
      </c>
      <c r="F281" s="3">
        <v>970</v>
      </c>
      <c r="G281" s="3">
        <v>14</v>
      </c>
      <c r="H281">
        <v>0</v>
      </c>
      <c r="I281">
        <v>0</v>
      </c>
      <c r="K281" s="3">
        <v>970</v>
      </c>
      <c r="L281" s="3">
        <v>14</v>
      </c>
      <c r="M281">
        <v>-400.02940000000001</v>
      </c>
      <c r="N281">
        <v>-571.5</v>
      </c>
      <c r="P281" s="3">
        <v>970</v>
      </c>
      <c r="Q281" s="3">
        <v>14</v>
      </c>
      <c r="R281">
        <v>-400.02940000000001</v>
      </c>
      <c r="S281">
        <v>-571.5</v>
      </c>
    </row>
    <row r="282" spans="1:19" x14ac:dyDescent="0.25">
      <c r="A282" s="3">
        <v>970</v>
      </c>
      <c r="B282" s="3">
        <v>103</v>
      </c>
      <c r="C282">
        <v>0</v>
      </c>
      <c r="D282">
        <v>0</v>
      </c>
      <c r="F282" s="3">
        <v>970</v>
      </c>
      <c r="G282" s="3">
        <v>103</v>
      </c>
      <c r="H282">
        <v>0</v>
      </c>
      <c r="I282">
        <v>0</v>
      </c>
      <c r="K282" s="3">
        <v>970</v>
      </c>
      <c r="L282" s="3">
        <v>103</v>
      </c>
      <c r="M282">
        <v>-2.1652999999999998</v>
      </c>
      <c r="N282">
        <v>-10.8</v>
      </c>
      <c r="P282" s="3">
        <v>970</v>
      </c>
      <c r="Q282" s="3">
        <v>103</v>
      </c>
      <c r="R282">
        <v>-2.1652999999999998</v>
      </c>
      <c r="S282">
        <v>-10.8</v>
      </c>
    </row>
    <row r="283" spans="1:19" x14ac:dyDescent="0.25">
      <c r="A283" s="3">
        <v>970</v>
      </c>
      <c r="B283" s="3">
        <v>104</v>
      </c>
      <c r="C283">
        <v>0</v>
      </c>
      <c r="D283">
        <v>0</v>
      </c>
      <c r="F283" s="3">
        <v>970</v>
      </c>
      <c r="G283" s="3">
        <v>104</v>
      </c>
      <c r="H283">
        <v>0</v>
      </c>
      <c r="I283">
        <v>0</v>
      </c>
      <c r="K283" s="3">
        <v>970</v>
      </c>
      <c r="L283" s="3">
        <v>104</v>
      </c>
      <c r="M283">
        <v>-124.36490000000001</v>
      </c>
      <c r="N283">
        <v>-937</v>
      </c>
      <c r="P283" s="3">
        <v>970</v>
      </c>
      <c r="Q283" s="3">
        <v>104</v>
      </c>
      <c r="R283">
        <v>-124.36490000000001</v>
      </c>
      <c r="S283">
        <v>-937</v>
      </c>
    </row>
    <row r="284" spans="1:19" x14ac:dyDescent="0.25">
      <c r="A284" s="3">
        <v>970</v>
      </c>
      <c r="B284" s="3">
        <v>110</v>
      </c>
      <c r="C284">
        <v>3.7409049248926149E-4</v>
      </c>
      <c r="D284">
        <v>0</v>
      </c>
      <c r="F284" s="3">
        <v>970</v>
      </c>
      <c r="G284" s="3">
        <v>110</v>
      </c>
      <c r="H284">
        <v>-9.9999999999766942E-5</v>
      </c>
      <c r="I284">
        <v>0</v>
      </c>
      <c r="K284" s="3">
        <v>970</v>
      </c>
      <c r="L284" s="3">
        <v>110</v>
      </c>
      <c r="M284">
        <v>26.731400000000001</v>
      </c>
      <c r="N284">
        <v>277</v>
      </c>
      <c r="P284" s="3">
        <v>970</v>
      </c>
      <c r="Q284" s="3">
        <v>110</v>
      </c>
      <c r="R284">
        <v>26.7315</v>
      </c>
      <c r="S284">
        <v>277</v>
      </c>
    </row>
    <row r="285" spans="1:19" x14ac:dyDescent="0.25">
      <c r="A285" s="3">
        <v>970</v>
      </c>
      <c r="B285" s="3">
        <v>114</v>
      </c>
      <c r="C285">
        <v>0</v>
      </c>
      <c r="D285">
        <v>0</v>
      </c>
      <c r="F285" s="3">
        <v>970</v>
      </c>
      <c r="G285" s="3">
        <v>114</v>
      </c>
      <c r="H285">
        <v>0</v>
      </c>
      <c r="I285">
        <v>0</v>
      </c>
      <c r="K285" s="3">
        <v>970</v>
      </c>
      <c r="L285" s="3">
        <v>114</v>
      </c>
      <c r="M285">
        <v>144.41669999999999</v>
      </c>
      <c r="N285">
        <v>962.6</v>
      </c>
      <c r="P285" s="3">
        <v>970</v>
      </c>
      <c r="Q285" s="3">
        <v>114</v>
      </c>
      <c r="R285">
        <v>144.41669999999999</v>
      </c>
      <c r="S285">
        <v>962.6</v>
      </c>
    </row>
    <row r="286" spans="1:19" x14ac:dyDescent="0.25">
      <c r="A286" s="3">
        <v>980</v>
      </c>
      <c r="B286" s="3">
        <v>1</v>
      </c>
      <c r="C286">
        <v>1.143879444295583E-4</v>
      </c>
      <c r="D286">
        <v>0</v>
      </c>
      <c r="F286" s="3">
        <v>980</v>
      </c>
      <c r="G286" s="3">
        <v>1</v>
      </c>
      <c r="H286">
        <v>-1.000000000033197E-4</v>
      </c>
      <c r="I286">
        <v>0</v>
      </c>
      <c r="K286" s="3">
        <v>980</v>
      </c>
      <c r="L286" s="3">
        <v>1</v>
      </c>
      <c r="M286">
        <v>87.421700000000001</v>
      </c>
      <c r="N286">
        <v>291.39999999999998</v>
      </c>
      <c r="P286" s="3">
        <v>980</v>
      </c>
      <c r="Q286" s="3">
        <v>1</v>
      </c>
      <c r="R286">
        <v>87.421800000000005</v>
      </c>
      <c r="S286">
        <v>291.39999999999998</v>
      </c>
    </row>
    <row r="287" spans="1:19" x14ac:dyDescent="0.25">
      <c r="A287" s="3">
        <v>980</v>
      </c>
      <c r="B287" s="3">
        <v>2</v>
      </c>
      <c r="C287">
        <v>1.143879444295583E-4</v>
      </c>
      <c r="D287">
        <v>0</v>
      </c>
      <c r="F287" s="3">
        <v>980</v>
      </c>
      <c r="G287" s="3">
        <v>2</v>
      </c>
      <c r="H287">
        <v>-1.000000000033197E-4</v>
      </c>
      <c r="I287">
        <v>0</v>
      </c>
      <c r="K287" s="3">
        <v>980</v>
      </c>
      <c r="L287" s="3">
        <v>2</v>
      </c>
      <c r="M287">
        <v>87.421700000000001</v>
      </c>
      <c r="N287">
        <v>349.7</v>
      </c>
      <c r="P287" s="3">
        <v>980</v>
      </c>
      <c r="Q287" s="3">
        <v>2</v>
      </c>
      <c r="R287">
        <v>87.421800000000005</v>
      </c>
      <c r="S287">
        <v>349.7</v>
      </c>
    </row>
    <row r="288" spans="1:19" x14ac:dyDescent="0.25">
      <c r="A288" s="3">
        <v>980</v>
      </c>
      <c r="B288" s="3">
        <v>3</v>
      </c>
      <c r="C288">
        <v>1.143879444295583E-4</v>
      </c>
      <c r="D288">
        <v>0</v>
      </c>
      <c r="F288" s="3">
        <v>980</v>
      </c>
      <c r="G288" s="3">
        <v>3</v>
      </c>
      <c r="H288">
        <v>-1.000000000033197E-4</v>
      </c>
      <c r="I288">
        <v>0</v>
      </c>
      <c r="K288" s="3">
        <v>980</v>
      </c>
      <c r="L288" s="3">
        <v>3</v>
      </c>
      <c r="M288">
        <v>87.421700000000001</v>
      </c>
      <c r="N288">
        <v>388.5</v>
      </c>
      <c r="P288" s="3">
        <v>980</v>
      </c>
      <c r="Q288" s="3">
        <v>3</v>
      </c>
      <c r="R288">
        <v>87.421800000000005</v>
      </c>
      <c r="S288">
        <v>388.5</v>
      </c>
    </row>
    <row r="289" spans="1:19" x14ac:dyDescent="0.25">
      <c r="A289" s="3">
        <v>980</v>
      </c>
      <c r="B289" s="3">
        <v>4</v>
      </c>
      <c r="C289">
        <v>0</v>
      </c>
      <c r="D289">
        <v>0</v>
      </c>
      <c r="F289" s="3">
        <v>980</v>
      </c>
      <c r="G289" s="3">
        <v>4</v>
      </c>
      <c r="H289">
        <v>0</v>
      </c>
      <c r="I289">
        <v>0</v>
      </c>
      <c r="K289" s="3">
        <v>980</v>
      </c>
      <c r="L289" s="3">
        <v>4</v>
      </c>
      <c r="M289">
        <v>-361.25049999999999</v>
      </c>
      <c r="N289">
        <v>-1605.6</v>
      </c>
      <c r="P289" s="3">
        <v>980</v>
      </c>
      <c r="Q289" s="3">
        <v>4</v>
      </c>
      <c r="R289">
        <v>-361.25049999999999</v>
      </c>
      <c r="S289">
        <v>-1605.6</v>
      </c>
    </row>
    <row r="290" spans="1:19" x14ac:dyDescent="0.25">
      <c r="A290" s="3">
        <v>980</v>
      </c>
      <c r="B290" s="3">
        <v>5</v>
      </c>
      <c r="C290">
        <v>1.082910321488883E-2</v>
      </c>
      <c r="D290">
        <v>0</v>
      </c>
      <c r="F290" s="3">
        <v>980</v>
      </c>
      <c r="G290" s="3">
        <v>5</v>
      </c>
      <c r="H290">
        <v>-7.9999999999991189E-4</v>
      </c>
      <c r="I290">
        <v>0</v>
      </c>
      <c r="K290" s="3">
        <v>980</v>
      </c>
      <c r="L290" s="3">
        <v>5</v>
      </c>
      <c r="M290">
        <v>-7.3883000000000001</v>
      </c>
      <c r="N290">
        <v>-32.799999999999997</v>
      </c>
      <c r="P290" s="3">
        <v>980</v>
      </c>
      <c r="Q290" s="3">
        <v>5</v>
      </c>
      <c r="R290">
        <v>-7.3875000000000002</v>
      </c>
      <c r="S290">
        <v>-32.799999999999997</v>
      </c>
    </row>
    <row r="291" spans="1:19" x14ac:dyDescent="0.25">
      <c r="A291" s="3">
        <v>980</v>
      </c>
      <c r="B291" s="3">
        <v>6</v>
      </c>
      <c r="C291">
        <v>1.181876980237181E-4</v>
      </c>
      <c r="D291">
        <v>0</v>
      </c>
      <c r="F291" s="3">
        <v>980</v>
      </c>
      <c r="G291" s="3">
        <v>6</v>
      </c>
      <c r="H291">
        <v>4.0000000001327862E-4</v>
      </c>
      <c r="I291">
        <v>0</v>
      </c>
      <c r="K291" s="3">
        <v>980</v>
      </c>
      <c r="L291" s="3">
        <v>6</v>
      </c>
      <c r="M291">
        <v>-338.4443</v>
      </c>
      <c r="N291">
        <v>-1504.2</v>
      </c>
      <c r="P291" s="3">
        <v>980</v>
      </c>
      <c r="Q291" s="3">
        <v>6</v>
      </c>
      <c r="R291">
        <v>-338.44470000000001</v>
      </c>
      <c r="S291">
        <v>-1504.2</v>
      </c>
    </row>
    <row r="292" spans="1:19" x14ac:dyDescent="0.25">
      <c r="A292" s="3">
        <v>980</v>
      </c>
      <c r="B292" s="3">
        <v>7</v>
      </c>
      <c r="C292">
        <v>1.7349459463708491E-4</v>
      </c>
      <c r="D292">
        <v>0</v>
      </c>
      <c r="F292" s="3">
        <v>980</v>
      </c>
      <c r="G292" s="3">
        <v>7</v>
      </c>
      <c r="H292">
        <v>-6.0000000001991793E-4</v>
      </c>
      <c r="I292">
        <v>0</v>
      </c>
      <c r="K292" s="3">
        <v>980</v>
      </c>
      <c r="L292" s="3">
        <v>7</v>
      </c>
      <c r="M292">
        <v>-345.83269999999999</v>
      </c>
      <c r="N292">
        <v>-494</v>
      </c>
      <c r="P292" s="3">
        <v>980</v>
      </c>
      <c r="Q292" s="3">
        <v>7</v>
      </c>
      <c r="R292">
        <v>-345.83210000000003</v>
      </c>
      <c r="S292">
        <v>-494</v>
      </c>
    </row>
    <row r="293" spans="1:19" x14ac:dyDescent="0.25">
      <c r="A293" s="3">
        <v>980</v>
      </c>
      <c r="B293" s="3">
        <v>8</v>
      </c>
      <c r="C293">
        <v>1.2537612838528091E-2</v>
      </c>
      <c r="D293">
        <v>0</v>
      </c>
      <c r="F293" s="3">
        <v>980</v>
      </c>
      <c r="G293" s="3">
        <v>8</v>
      </c>
      <c r="H293">
        <v>2.0000000000019999E-4</v>
      </c>
      <c r="I293">
        <v>0</v>
      </c>
      <c r="K293" s="3">
        <v>980</v>
      </c>
      <c r="L293" s="3">
        <v>8</v>
      </c>
      <c r="M293">
        <v>1.5953999999999999</v>
      </c>
      <c r="N293">
        <v>3.5</v>
      </c>
      <c r="P293" s="3">
        <v>980</v>
      </c>
      <c r="Q293" s="3">
        <v>8</v>
      </c>
      <c r="R293">
        <v>1.5952</v>
      </c>
      <c r="S293">
        <v>3.5</v>
      </c>
    </row>
    <row r="294" spans="1:19" x14ac:dyDescent="0.25">
      <c r="A294" s="3">
        <v>980</v>
      </c>
      <c r="B294" s="3">
        <v>9</v>
      </c>
      <c r="C294">
        <v>2.3026400054621901E-4</v>
      </c>
      <c r="D294">
        <v>0</v>
      </c>
      <c r="F294" s="3">
        <v>980</v>
      </c>
      <c r="G294" s="3">
        <v>9</v>
      </c>
      <c r="H294">
        <v>-7.9999999996971383E-4</v>
      </c>
      <c r="I294">
        <v>0</v>
      </c>
      <c r="K294" s="3">
        <v>980</v>
      </c>
      <c r="L294" s="3">
        <v>9</v>
      </c>
      <c r="M294">
        <v>-347.42809999999997</v>
      </c>
      <c r="N294">
        <v>-496.3</v>
      </c>
      <c r="P294" s="3">
        <v>980</v>
      </c>
      <c r="Q294" s="3">
        <v>9</v>
      </c>
      <c r="R294">
        <v>-347.4273</v>
      </c>
      <c r="S294">
        <v>-496.3</v>
      </c>
    </row>
    <row r="295" spans="1:19" x14ac:dyDescent="0.25">
      <c r="A295" s="3">
        <v>980</v>
      </c>
      <c r="B295" s="3">
        <v>10</v>
      </c>
      <c r="C295">
        <v>8.2601961797378347E-4</v>
      </c>
      <c r="D295">
        <v>0</v>
      </c>
      <c r="F295" s="3">
        <v>980</v>
      </c>
      <c r="G295" s="3">
        <v>10</v>
      </c>
      <c r="H295">
        <v>6.0000000000570708E-4</v>
      </c>
      <c r="I295">
        <v>0</v>
      </c>
      <c r="K295" s="3">
        <v>980</v>
      </c>
      <c r="L295" s="3">
        <v>10</v>
      </c>
      <c r="M295">
        <v>-72.636899999999997</v>
      </c>
      <c r="N295">
        <v>-161.4</v>
      </c>
      <c r="P295" s="3">
        <v>980</v>
      </c>
      <c r="Q295" s="3">
        <v>10</v>
      </c>
      <c r="R295">
        <v>-72.637500000000003</v>
      </c>
      <c r="S295">
        <v>-161.4</v>
      </c>
    </row>
    <row r="296" spans="1:19" x14ac:dyDescent="0.25">
      <c r="A296" s="3">
        <v>980</v>
      </c>
      <c r="B296" s="3">
        <v>11</v>
      </c>
      <c r="C296">
        <v>2.3805850914368778E-5</v>
      </c>
      <c r="D296">
        <v>0</v>
      </c>
      <c r="F296" s="3">
        <v>980</v>
      </c>
      <c r="G296" s="3">
        <v>11</v>
      </c>
      <c r="H296">
        <v>-1.0000000003174141E-4</v>
      </c>
      <c r="I296">
        <v>0</v>
      </c>
      <c r="K296" s="3">
        <v>980</v>
      </c>
      <c r="L296" s="3">
        <v>11</v>
      </c>
      <c r="M296">
        <v>-420.06490000000002</v>
      </c>
      <c r="N296">
        <v>-600.1</v>
      </c>
      <c r="P296" s="3">
        <v>980</v>
      </c>
      <c r="Q296" s="3">
        <v>11</v>
      </c>
      <c r="R296">
        <v>-420.06479999999999</v>
      </c>
      <c r="S296">
        <v>-600.1</v>
      </c>
    </row>
    <row r="297" spans="1:19" x14ac:dyDescent="0.25">
      <c r="A297" s="3">
        <v>980</v>
      </c>
      <c r="B297" s="3">
        <v>12</v>
      </c>
      <c r="C297">
        <v>2.3805850914368778E-5</v>
      </c>
      <c r="D297">
        <v>0</v>
      </c>
      <c r="F297" s="3">
        <v>980</v>
      </c>
      <c r="G297" s="3">
        <v>12</v>
      </c>
      <c r="H297">
        <v>-1.0000000003174141E-4</v>
      </c>
      <c r="I297">
        <v>0</v>
      </c>
      <c r="K297" s="3">
        <v>980</v>
      </c>
      <c r="L297" s="3">
        <v>12</v>
      </c>
      <c r="M297">
        <v>-420.06490000000002</v>
      </c>
      <c r="N297">
        <v>-1050.2</v>
      </c>
      <c r="P297" s="3">
        <v>980</v>
      </c>
      <c r="Q297" s="3">
        <v>12</v>
      </c>
      <c r="R297">
        <v>-420.06479999999999</v>
      </c>
      <c r="S297">
        <v>-1050.2</v>
      </c>
    </row>
    <row r="298" spans="1:19" x14ac:dyDescent="0.25">
      <c r="A298" s="3">
        <v>980</v>
      </c>
      <c r="B298" s="3">
        <v>13</v>
      </c>
      <c r="C298">
        <v>1.8147703793704519E-5</v>
      </c>
      <c r="D298">
        <v>0</v>
      </c>
      <c r="F298" s="3">
        <v>980</v>
      </c>
      <c r="G298" s="3">
        <v>13</v>
      </c>
      <c r="H298">
        <v>-9.9999999974897946E-5</v>
      </c>
      <c r="I298">
        <v>0</v>
      </c>
      <c r="K298" s="3">
        <v>980</v>
      </c>
      <c r="L298" s="3">
        <v>13</v>
      </c>
      <c r="M298">
        <v>-551.03399999999999</v>
      </c>
      <c r="N298">
        <v>-1377.6</v>
      </c>
      <c r="P298" s="3">
        <v>980</v>
      </c>
      <c r="Q298" s="3">
        <v>13</v>
      </c>
      <c r="R298">
        <v>-551.03390000000002</v>
      </c>
      <c r="S298">
        <v>-1377.6</v>
      </c>
    </row>
    <row r="299" spans="1:19" x14ac:dyDescent="0.25">
      <c r="A299" s="3">
        <v>980</v>
      </c>
      <c r="B299" s="3">
        <v>14</v>
      </c>
      <c r="C299">
        <v>1.8147703793704519E-5</v>
      </c>
      <c r="D299">
        <v>0</v>
      </c>
      <c r="F299" s="3">
        <v>980</v>
      </c>
      <c r="G299" s="3">
        <v>14</v>
      </c>
      <c r="H299">
        <v>-9.9999999974897946E-5</v>
      </c>
      <c r="I299">
        <v>0</v>
      </c>
      <c r="K299" s="3">
        <v>980</v>
      </c>
      <c r="L299" s="3">
        <v>14</v>
      </c>
      <c r="M299">
        <v>-551.03399999999999</v>
      </c>
      <c r="N299">
        <v>-787.2</v>
      </c>
      <c r="P299" s="3">
        <v>980</v>
      </c>
      <c r="Q299" s="3">
        <v>14</v>
      </c>
      <c r="R299">
        <v>-551.03390000000002</v>
      </c>
      <c r="S299">
        <v>-787.2</v>
      </c>
    </row>
    <row r="300" spans="1:19" x14ac:dyDescent="0.25">
      <c r="A300" s="3">
        <v>980</v>
      </c>
      <c r="B300" s="3">
        <v>103</v>
      </c>
      <c r="C300">
        <v>8.4379907878038912E-4</v>
      </c>
      <c r="D300">
        <v>2.1097046413506911E-2</v>
      </c>
      <c r="F300" s="3">
        <v>980</v>
      </c>
      <c r="G300" s="3">
        <v>103</v>
      </c>
      <c r="H300">
        <v>7.9999999999813554E-4</v>
      </c>
      <c r="I300">
        <v>0.1000000000000227</v>
      </c>
      <c r="K300" s="3">
        <v>980</v>
      </c>
      <c r="L300" s="3">
        <v>103</v>
      </c>
      <c r="M300">
        <v>94.810100000000006</v>
      </c>
      <c r="N300">
        <v>474.1</v>
      </c>
      <c r="P300" s="3">
        <v>980</v>
      </c>
      <c r="Q300" s="3">
        <v>103</v>
      </c>
      <c r="R300">
        <v>94.809300000000007</v>
      </c>
      <c r="S300">
        <v>474</v>
      </c>
    </row>
    <row r="301" spans="1:19" x14ac:dyDescent="0.25">
      <c r="A301" s="3">
        <v>980</v>
      </c>
      <c r="B301" s="3">
        <v>104</v>
      </c>
      <c r="C301">
        <v>1.3154490723860969E-3</v>
      </c>
      <c r="D301">
        <v>0</v>
      </c>
      <c r="F301" s="3">
        <v>980</v>
      </c>
      <c r="G301" s="3">
        <v>104</v>
      </c>
      <c r="H301">
        <v>-2.9999999999930083E-4</v>
      </c>
      <c r="I301">
        <v>0</v>
      </c>
      <c r="K301" s="3">
        <v>980</v>
      </c>
      <c r="L301" s="3">
        <v>104</v>
      </c>
      <c r="M301">
        <v>-22.8062</v>
      </c>
      <c r="N301">
        <v>-171.8</v>
      </c>
      <c r="P301" s="3">
        <v>980</v>
      </c>
      <c r="Q301" s="3">
        <v>104</v>
      </c>
      <c r="R301">
        <v>-22.805900000000001</v>
      </c>
      <c r="S301">
        <v>-171.8</v>
      </c>
    </row>
    <row r="302" spans="1:19" x14ac:dyDescent="0.25">
      <c r="A302" s="3">
        <v>980</v>
      </c>
      <c r="B302" s="3">
        <v>110</v>
      </c>
      <c r="C302">
        <v>5.3884608802435706E-4</v>
      </c>
      <c r="D302">
        <v>1.29988301052787E-2</v>
      </c>
      <c r="F302" s="3">
        <v>980</v>
      </c>
      <c r="G302" s="3">
        <v>110</v>
      </c>
      <c r="H302">
        <v>-3.9999999998485691E-4</v>
      </c>
      <c r="I302">
        <v>-9.9999999999909051E-2</v>
      </c>
      <c r="K302" s="3">
        <v>980</v>
      </c>
      <c r="L302" s="3">
        <v>110</v>
      </c>
      <c r="M302">
        <v>74.232300000000009</v>
      </c>
      <c r="N302">
        <v>769.2</v>
      </c>
      <c r="P302" s="3">
        <v>980</v>
      </c>
      <c r="Q302" s="3">
        <v>110</v>
      </c>
      <c r="R302">
        <v>74.232699999999994</v>
      </c>
      <c r="S302">
        <v>769.3</v>
      </c>
    </row>
    <row r="303" spans="1:19" x14ac:dyDescent="0.25">
      <c r="A303" s="3">
        <v>980</v>
      </c>
      <c r="B303" s="3">
        <v>114</v>
      </c>
      <c r="C303">
        <v>0</v>
      </c>
      <c r="D303">
        <v>0</v>
      </c>
      <c r="F303" s="3">
        <v>980</v>
      </c>
      <c r="G303" s="3">
        <v>114</v>
      </c>
      <c r="H303">
        <v>0</v>
      </c>
      <c r="I303">
        <v>0</v>
      </c>
      <c r="K303" s="3">
        <v>980</v>
      </c>
      <c r="L303" s="3">
        <v>114</v>
      </c>
      <c r="M303">
        <v>130.9691</v>
      </c>
      <c r="N303">
        <v>872.9</v>
      </c>
      <c r="P303" s="3">
        <v>980</v>
      </c>
      <c r="Q303" s="3">
        <v>114</v>
      </c>
      <c r="R303">
        <v>130.9691</v>
      </c>
      <c r="S303">
        <v>872.9</v>
      </c>
    </row>
    <row r="304" spans="1:19" x14ac:dyDescent="0.25">
      <c r="A304" s="3">
        <v>990</v>
      </c>
      <c r="B304" s="3">
        <v>1</v>
      </c>
      <c r="C304">
        <v>8.0309244128256056E-4</v>
      </c>
      <c r="D304">
        <v>0</v>
      </c>
      <c r="F304" s="3">
        <v>990</v>
      </c>
      <c r="G304" s="3">
        <v>1</v>
      </c>
      <c r="H304">
        <v>-2.9999999999574811E-4</v>
      </c>
      <c r="I304">
        <v>0</v>
      </c>
      <c r="K304" s="3">
        <v>990</v>
      </c>
      <c r="L304" s="3">
        <v>1</v>
      </c>
      <c r="M304">
        <v>37.3553</v>
      </c>
      <c r="N304">
        <v>124.5</v>
      </c>
      <c r="P304" s="3">
        <v>990</v>
      </c>
      <c r="Q304" s="3">
        <v>1</v>
      </c>
      <c r="R304">
        <v>37.355600000000003</v>
      </c>
      <c r="S304">
        <v>124.5</v>
      </c>
    </row>
    <row r="305" spans="1:19" x14ac:dyDescent="0.25">
      <c r="A305" s="3">
        <v>990</v>
      </c>
      <c r="B305" s="3">
        <v>2</v>
      </c>
      <c r="C305">
        <v>8.0309244128256056E-4</v>
      </c>
      <c r="D305">
        <v>0</v>
      </c>
      <c r="F305" s="3">
        <v>990</v>
      </c>
      <c r="G305" s="3">
        <v>2</v>
      </c>
      <c r="H305">
        <v>-2.9999999999574811E-4</v>
      </c>
      <c r="I305">
        <v>0</v>
      </c>
      <c r="K305" s="3">
        <v>990</v>
      </c>
      <c r="L305" s="3">
        <v>2</v>
      </c>
      <c r="M305">
        <v>37.3553</v>
      </c>
      <c r="N305">
        <v>149.4</v>
      </c>
      <c r="P305" s="3">
        <v>990</v>
      </c>
      <c r="Q305" s="3">
        <v>2</v>
      </c>
      <c r="R305">
        <v>37.355600000000003</v>
      </c>
      <c r="S305">
        <v>149.4</v>
      </c>
    </row>
    <row r="306" spans="1:19" x14ac:dyDescent="0.25">
      <c r="A306" s="3">
        <v>990</v>
      </c>
      <c r="B306" s="3">
        <v>3</v>
      </c>
      <c r="C306">
        <v>8.0309244128256056E-4</v>
      </c>
      <c r="D306">
        <v>0</v>
      </c>
      <c r="F306" s="3">
        <v>990</v>
      </c>
      <c r="G306" s="3">
        <v>3</v>
      </c>
      <c r="H306">
        <v>-2.9999999999574811E-4</v>
      </c>
      <c r="I306">
        <v>0</v>
      </c>
      <c r="K306" s="3">
        <v>990</v>
      </c>
      <c r="L306" s="3">
        <v>3</v>
      </c>
      <c r="M306">
        <v>37.3553</v>
      </c>
      <c r="N306">
        <v>166</v>
      </c>
      <c r="P306" s="3">
        <v>990</v>
      </c>
      <c r="Q306" s="3">
        <v>3</v>
      </c>
      <c r="R306">
        <v>37.355600000000003</v>
      </c>
      <c r="S306">
        <v>166</v>
      </c>
    </row>
    <row r="307" spans="1:19" x14ac:dyDescent="0.25">
      <c r="A307" s="3">
        <v>990</v>
      </c>
      <c r="B307" s="3">
        <v>4</v>
      </c>
      <c r="C307">
        <v>3.1265984744619859E-5</v>
      </c>
      <c r="D307">
        <v>0</v>
      </c>
      <c r="F307" s="3">
        <v>990</v>
      </c>
      <c r="G307" s="3">
        <v>4</v>
      </c>
      <c r="H307">
        <v>1.0000000003174141E-4</v>
      </c>
      <c r="I307">
        <v>0</v>
      </c>
      <c r="K307" s="3">
        <v>990</v>
      </c>
      <c r="L307" s="3">
        <v>4</v>
      </c>
      <c r="M307">
        <v>-319.83629999999999</v>
      </c>
      <c r="N307">
        <v>-1421.5</v>
      </c>
      <c r="P307" s="3">
        <v>990</v>
      </c>
      <c r="Q307" s="3">
        <v>4</v>
      </c>
      <c r="R307">
        <v>-319.83640000000003</v>
      </c>
      <c r="S307">
        <v>-1421.5</v>
      </c>
    </row>
    <row r="308" spans="1:19" x14ac:dyDescent="0.25">
      <c r="A308" s="3">
        <v>990</v>
      </c>
      <c r="B308" s="3">
        <v>5</v>
      </c>
      <c r="C308">
        <v>8.2351565420130015E-4</v>
      </c>
      <c r="D308">
        <v>0</v>
      </c>
      <c r="F308" s="3">
        <v>990</v>
      </c>
      <c r="G308" s="3">
        <v>5</v>
      </c>
      <c r="H308">
        <v>-4.99999999995282E-4</v>
      </c>
      <c r="I308">
        <v>0</v>
      </c>
      <c r="K308" s="3">
        <v>990</v>
      </c>
      <c r="L308" s="3">
        <v>5</v>
      </c>
      <c r="M308">
        <v>-60.715800000000002</v>
      </c>
      <c r="N308">
        <v>-269.8</v>
      </c>
      <c r="P308" s="3">
        <v>990</v>
      </c>
      <c r="Q308" s="3">
        <v>5</v>
      </c>
      <c r="R308">
        <v>-60.715300000000013</v>
      </c>
      <c r="S308">
        <v>-269.8</v>
      </c>
    </row>
    <row r="309" spans="1:19" x14ac:dyDescent="0.25">
      <c r="A309" s="3">
        <v>990</v>
      </c>
      <c r="B309" s="3">
        <v>6</v>
      </c>
      <c r="C309">
        <v>9.9048735952703772E-5</v>
      </c>
      <c r="D309">
        <v>0</v>
      </c>
      <c r="F309" s="3">
        <v>990</v>
      </c>
      <c r="G309" s="3">
        <v>6</v>
      </c>
      <c r="H309">
        <v>3.0000000003838068E-4</v>
      </c>
      <c r="I309">
        <v>0</v>
      </c>
      <c r="K309" s="3">
        <v>990</v>
      </c>
      <c r="L309" s="3">
        <v>6</v>
      </c>
      <c r="M309">
        <v>-302.8809</v>
      </c>
      <c r="N309">
        <v>-1346.1</v>
      </c>
      <c r="P309" s="3">
        <v>990</v>
      </c>
      <c r="Q309" s="3">
        <v>6</v>
      </c>
      <c r="R309">
        <v>-302.88119999999998</v>
      </c>
      <c r="S309">
        <v>-1346.1</v>
      </c>
    </row>
    <row r="310" spans="1:19" x14ac:dyDescent="0.25">
      <c r="A310" s="3">
        <v>990</v>
      </c>
      <c r="B310" s="3">
        <v>7</v>
      </c>
      <c r="C310">
        <v>8.2509067741467525E-5</v>
      </c>
      <c r="D310">
        <v>0</v>
      </c>
      <c r="F310" s="3">
        <v>990</v>
      </c>
      <c r="G310" s="3">
        <v>7</v>
      </c>
      <c r="H310">
        <v>-2.9999999998153731E-4</v>
      </c>
      <c r="I310">
        <v>0</v>
      </c>
      <c r="K310" s="3">
        <v>990</v>
      </c>
      <c r="L310" s="3">
        <v>7</v>
      </c>
      <c r="M310">
        <v>-363.5967</v>
      </c>
      <c r="N310">
        <v>-519.4</v>
      </c>
      <c r="P310" s="3">
        <v>990</v>
      </c>
      <c r="Q310" s="3">
        <v>7</v>
      </c>
      <c r="R310">
        <v>-363.59640000000002</v>
      </c>
      <c r="S310">
        <v>-519.4</v>
      </c>
    </row>
    <row r="311" spans="1:19" x14ac:dyDescent="0.25">
      <c r="A311" s="3">
        <v>990</v>
      </c>
      <c r="B311" s="3">
        <v>8</v>
      </c>
      <c r="C311">
        <v>0</v>
      </c>
      <c r="D311">
        <v>0</v>
      </c>
      <c r="F311" s="3">
        <v>990</v>
      </c>
      <c r="G311" s="3">
        <v>8</v>
      </c>
      <c r="H311">
        <v>0</v>
      </c>
      <c r="I311">
        <v>0</v>
      </c>
      <c r="K311" s="3">
        <v>990</v>
      </c>
      <c r="L311" s="3">
        <v>8</v>
      </c>
      <c r="M311">
        <v>17.471800000000002</v>
      </c>
      <c r="N311">
        <v>38.799999999999997</v>
      </c>
      <c r="P311" s="3">
        <v>990</v>
      </c>
      <c r="Q311" s="3">
        <v>8</v>
      </c>
      <c r="R311">
        <v>17.471800000000002</v>
      </c>
      <c r="S311">
        <v>38.799999999999997</v>
      </c>
    </row>
    <row r="312" spans="1:19" x14ac:dyDescent="0.25">
      <c r="A312" s="3">
        <v>990</v>
      </c>
      <c r="B312" s="3">
        <v>9</v>
      </c>
      <c r="C312">
        <v>7.8726065303149747E-5</v>
      </c>
      <c r="D312">
        <v>0</v>
      </c>
      <c r="F312" s="3">
        <v>990</v>
      </c>
      <c r="G312" s="3">
        <v>9</v>
      </c>
      <c r="H312">
        <v>-2.9999999998153731E-4</v>
      </c>
      <c r="I312">
        <v>0</v>
      </c>
      <c r="K312" s="3">
        <v>990</v>
      </c>
      <c r="L312" s="3">
        <v>9</v>
      </c>
      <c r="M312">
        <v>-381.06849999999997</v>
      </c>
      <c r="N312">
        <v>-544.4</v>
      </c>
      <c r="P312" s="3">
        <v>990</v>
      </c>
      <c r="Q312" s="3">
        <v>9</v>
      </c>
      <c r="R312">
        <v>-381.06819999999999</v>
      </c>
      <c r="S312">
        <v>-544.4</v>
      </c>
    </row>
    <row r="313" spans="1:19" x14ac:dyDescent="0.25">
      <c r="A313" s="3">
        <v>990</v>
      </c>
      <c r="B313" s="3">
        <v>10</v>
      </c>
      <c r="C313">
        <v>0</v>
      </c>
      <c r="D313">
        <v>0</v>
      </c>
      <c r="F313" s="3">
        <v>990</v>
      </c>
      <c r="G313" s="3">
        <v>10</v>
      </c>
      <c r="H313">
        <v>0</v>
      </c>
      <c r="I313">
        <v>0</v>
      </c>
      <c r="K313" s="3">
        <v>990</v>
      </c>
      <c r="L313" s="3">
        <v>10</v>
      </c>
      <c r="M313">
        <v>53.240099999999998</v>
      </c>
      <c r="N313">
        <v>118.3</v>
      </c>
      <c r="P313" s="3">
        <v>990</v>
      </c>
      <c r="Q313" s="3">
        <v>10</v>
      </c>
      <c r="R313">
        <v>53.240099999999998</v>
      </c>
      <c r="S313">
        <v>118.3</v>
      </c>
    </row>
    <row r="314" spans="1:19" x14ac:dyDescent="0.25">
      <c r="A314" s="3">
        <v>990</v>
      </c>
      <c r="B314" s="3">
        <v>11</v>
      </c>
      <c r="C314">
        <v>6.1007582956885883E-5</v>
      </c>
      <c r="D314">
        <v>0</v>
      </c>
      <c r="F314" s="3">
        <v>990</v>
      </c>
      <c r="G314" s="3">
        <v>11</v>
      </c>
      <c r="H314">
        <v>-2.000000000634827E-4</v>
      </c>
      <c r="I314">
        <v>0</v>
      </c>
      <c r="K314" s="3">
        <v>990</v>
      </c>
      <c r="L314" s="3">
        <v>11</v>
      </c>
      <c r="M314">
        <v>-327.82830000000001</v>
      </c>
      <c r="N314">
        <v>-468.3</v>
      </c>
      <c r="P314" s="3">
        <v>990</v>
      </c>
      <c r="Q314" s="3">
        <v>11</v>
      </c>
      <c r="R314">
        <v>-327.82809999999989</v>
      </c>
      <c r="S314">
        <v>-468.3</v>
      </c>
    </row>
    <row r="315" spans="1:19" x14ac:dyDescent="0.25">
      <c r="A315" s="3">
        <v>990</v>
      </c>
      <c r="B315" s="3">
        <v>12</v>
      </c>
      <c r="C315">
        <v>6.1007582956885883E-5</v>
      </c>
      <c r="D315">
        <v>0</v>
      </c>
      <c r="F315" s="3">
        <v>990</v>
      </c>
      <c r="G315" s="3">
        <v>12</v>
      </c>
      <c r="H315">
        <v>-2.000000000634827E-4</v>
      </c>
      <c r="I315">
        <v>0</v>
      </c>
      <c r="K315" s="3">
        <v>990</v>
      </c>
      <c r="L315" s="3">
        <v>12</v>
      </c>
      <c r="M315">
        <v>-327.82830000000001</v>
      </c>
      <c r="N315">
        <v>-819.6</v>
      </c>
      <c r="P315" s="3">
        <v>990</v>
      </c>
      <c r="Q315" s="3">
        <v>12</v>
      </c>
      <c r="R315">
        <v>-327.82809999999989</v>
      </c>
      <c r="S315">
        <v>-819.6</v>
      </c>
    </row>
    <row r="316" spans="1:19" x14ac:dyDescent="0.25">
      <c r="A316" s="3">
        <v>990</v>
      </c>
      <c r="B316" s="3">
        <v>13</v>
      </c>
      <c r="C316">
        <v>6.4376881154350597E-5</v>
      </c>
      <c r="D316">
        <v>0</v>
      </c>
      <c r="F316" s="3">
        <v>990</v>
      </c>
      <c r="G316" s="3">
        <v>13</v>
      </c>
      <c r="H316">
        <v>-3.0000000003838068E-4</v>
      </c>
      <c r="I316">
        <v>0</v>
      </c>
      <c r="K316" s="3">
        <v>990</v>
      </c>
      <c r="L316" s="3">
        <v>13</v>
      </c>
      <c r="M316">
        <v>-466.0061</v>
      </c>
      <c r="N316">
        <v>-1165</v>
      </c>
      <c r="P316" s="3">
        <v>990</v>
      </c>
      <c r="Q316" s="3">
        <v>13</v>
      </c>
      <c r="R316">
        <v>-466.00580000000002</v>
      </c>
      <c r="S316">
        <v>-1165</v>
      </c>
    </row>
    <row r="317" spans="1:19" x14ac:dyDescent="0.25">
      <c r="A317" s="3">
        <v>990</v>
      </c>
      <c r="B317" s="3">
        <v>14</v>
      </c>
      <c r="C317">
        <v>6.4376881154350597E-5</v>
      </c>
      <c r="D317">
        <v>0</v>
      </c>
      <c r="F317" s="3">
        <v>990</v>
      </c>
      <c r="G317" s="3">
        <v>14</v>
      </c>
      <c r="H317">
        <v>-3.0000000003838068E-4</v>
      </c>
      <c r="I317">
        <v>0</v>
      </c>
      <c r="K317" s="3">
        <v>990</v>
      </c>
      <c r="L317" s="3">
        <v>14</v>
      </c>
      <c r="M317">
        <v>-466.0061</v>
      </c>
      <c r="N317">
        <v>-665.7</v>
      </c>
      <c r="P317" s="3">
        <v>990</v>
      </c>
      <c r="Q317" s="3">
        <v>14</v>
      </c>
      <c r="R317">
        <v>-466.00580000000002</v>
      </c>
      <c r="S317">
        <v>-665.7</v>
      </c>
    </row>
    <row r="318" spans="1:19" x14ac:dyDescent="0.25">
      <c r="A318" s="3">
        <v>990</v>
      </c>
      <c r="B318" s="3">
        <v>103</v>
      </c>
      <c r="C318">
        <v>2.039343005180221E-4</v>
      </c>
      <c r="D318">
        <v>0</v>
      </c>
      <c r="F318" s="3">
        <v>990</v>
      </c>
      <c r="G318" s="3">
        <v>103</v>
      </c>
      <c r="H318">
        <v>1.9999999999242851E-4</v>
      </c>
      <c r="I318">
        <v>0</v>
      </c>
      <c r="K318" s="3">
        <v>990</v>
      </c>
      <c r="L318" s="3">
        <v>103</v>
      </c>
      <c r="M318">
        <v>98.070999999999998</v>
      </c>
      <c r="N318">
        <v>490.4</v>
      </c>
      <c r="P318" s="3">
        <v>990</v>
      </c>
      <c r="Q318" s="3">
        <v>103</v>
      </c>
      <c r="R318">
        <v>98.070800000000006</v>
      </c>
      <c r="S318">
        <v>490.4</v>
      </c>
    </row>
    <row r="319" spans="1:19" x14ac:dyDescent="0.25">
      <c r="A319" s="3">
        <v>990</v>
      </c>
      <c r="B319" s="3">
        <v>104</v>
      </c>
      <c r="C319">
        <v>1.179579126165034E-3</v>
      </c>
      <c r="D319">
        <v>0</v>
      </c>
      <c r="F319" s="3">
        <v>990</v>
      </c>
      <c r="G319" s="3">
        <v>104</v>
      </c>
      <c r="H319">
        <v>-1.9999999999953391E-4</v>
      </c>
      <c r="I319">
        <v>0</v>
      </c>
      <c r="K319" s="3">
        <v>990</v>
      </c>
      <c r="L319" s="3">
        <v>104</v>
      </c>
      <c r="M319">
        <v>-16.955400000000001</v>
      </c>
      <c r="N319">
        <v>-127.7</v>
      </c>
      <c r="P319" s="3">
        <v>990</v>
      </c>
      <c r="Q319" s="3">
        <v>104</v>
      </c>
      <c r="R319">
        <v>-16.955200000000001</v>
      </c>
      <c r="S319">
        <v>-127.7</v>
      </c>
    </row>
    <row r="320" spans="1:19" x14ac:dyDescent="0.25">
      <c r="A320" s="3">
        <v>990</v>
      </c>
      <c r="B320" s="3">
        <v>110</v>
      </c>
      <c r="C320">
        <v>0</v>
      </c>
      <c r="D320">
        <v>0</v>
      </c>
      <c r="F320" s="3">
        <v>990</v>
      </c>
      <c r="G320" s="3">
        <v>110</v>
      </c>
      <c r="H320">
        <v>0</v>
      </c>
      <c r="I320">
        <v>0</v>
      </c>
      <c r="K320" s="3">
        <v>990</v>
      </c>
      <c r="L320" s="3">
        <v>110</v>
      </c>
      <c r="M320">
        <v>-35.768300000000004</v>
      </c>
      <c r="N320">
        <v>-370.7</v>
      </c>
      <c r="P320" s="3">
        <v>990</v>
      </c>
      <c r="Q320" s="3">
        <v>110</v>
      </c>
      <c r="R320">
        <v>-35.768300000000004</v>
      </c>
      <c r="S320">
        <v>-370.7</v>
      </c>
    </row>
    <row r="321" spans="1:19" x14ac:dyDescent="0.25">
      <c r="A321" s="3">
        <v>990</v>
      </c>
      <c r="B321" s="3">
        <v>114</v>
      </c>
      <c r="C321">
        <v>7.2370577868134976E-5</v>
      </c>
      <c r="D321">
        <v>0</v>
      </c>
      <c r="F321" s="3">
        <v>990</v>
      </c>
      <c r="G321" s="3">
        <v>114</v>
      </c>
      <c r="H321">
        <v>9.9999999974897946E-5</v>
      </c>
      <c r="I321">
        <v>0</v>
      </c>
      <c r="K321" s="3">
        <v>990</v>
      </c>
      <c r="L321" s="3">
        <v>114</v>
      </c>
      <c r="M321">
        <v>138.17779999999999</v>
      </c>
      <c r="N321">
        <v>921</v>
      </c>
      <c r="P321" s="3">
        <v>990</v>
      </c>
      <c r="Q321" s="3">
        <v>114</v>
      </c>
      <c r="R321">
        <v>138.17769999999999</v>
      </c>
      <c r="S321">
        <v>921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593"/>
  <sheetViews>
    <sheetView topLeftCell="A10" workbookViewId="0">
      <selection activeCell="A16" sqref="A16"/>
    </sheetView>
  </sheetViews>
  <sheetFormatPr defaultRowHeight="15" x14ac:dyDescent="0.25"/>
  <sheetData>
    <row r="1" spans="1:31" x14ac:dyDescent="0.25">
      <c r="A1" s="1" t="s">
        <v>19</v>
      </c>
    </row>
    <row r="2" spans="1:31" x14ac:dyDescent="0.25">
      <c r="A2" s="2" t="s">
        <v>1</v>
      </c>
    </row>
    <row r="3" spans="1:31" x14ac:dyDescent="0.25">
      <c r="B3" t="s">
        <v>2</v>
      </c>
      <c r="I3" t="s">
        <v>3</v>
      </c>
    </row>
    <row r="4" spans="1:31" x14ac:dyDescent="0.25">
      <c r="D4" s="3" t="s">
        <v>20</v>
      </c>
      <c r="E4" s="3" t="s">
        <v>21</v>
      </c>
      <c r="F4" s="3" t="s">
        <v>22</v>
      </c>
      <c r="G4" s="3" t="s">
        <v>23</v>
      </c>
      <c r="L4" s="3" t="s">
        <v>20</v>
      </c>
      <c r="M4" s="3" t="s">
        <v>21</v>
      </c>
      <c r="N4" s="3" t="s">
        <v>22</v>
      </c>
      <c r="O4" s="3" t="s">
        <v>23</v>
      </c>
    </row>
    <row r="5" spans="1:31" x14ac:dyDescent="0.25">
      <c r="C5" s="3" t="s">
        <v>6</v>
      </c>
      <c r="D5">
        <v>418</v>
      </c>
      <c r="E5">
        <v>418</v>
      </c>
      <c r="F5">
        <v>210</v>
      </c>
      <c r="G5">
        <v>179</v>
      </c>
      <c r="K5" s="3" t="s">
        <v>6</v>
      </c>
      <c r="L5">
        <v>418</v>
      </c>
      <c r="M5">
        <v>418</v>
      </c>
      <c r="N5">
        <v>210</v>
      </c>
      <c r="O5">
        <v>210</v>
      </c>
    </row>
    <row r="6" spans="1:31" x14ac:dyDescent="0.25">
      <c r="C6" s="3" t="s">
        <v>7</v>
      </c>
      <c r="D6">
        <v>1.2795329768744691E-2</v>
      </c>
      <c r="E6">
        <v>5.8289485633715943E-2</v>
      </c>
      <c r="F6">
        <v>0</v>
      </c>
      <c r="G6">
        <v>4.0133564502662592E-4</v>
      </c>
      <c r="K6" s="3" t="s">
        <v>7</v>
      </c>
      <c r="L6">
        <v>-1.2679425837320939E-3</v>
      </c>
      <c r="M6">
        <v>1.4114832535886751E-6</v>
      </c>
      <c r="N6">
        <v>0</v>
      </c>
      <c r="O6">
        <v>4.7619047619044909E-4</v>
      </c>
    </row>
    <row r="7" spans="1:31" x14ac:dyDescent="0.25">
      <c r="C7" s="3" t="s">
        <v>8</v>
      </c>
      <c r="D7">
        <v>1.80979827829841E-2</v>
      </c>
      <c r="E7">
        <v>9.2496411786392896E-2</v>
      </c>
      <c r="F7">
        <v>0</v>
      </c>
      <c r="G7">
        <v>5.3695049766659163E-3</v>
      </c>
      <c r="K7" s="3" t="s">
        <v>8</v>
      </c>
      <c r="L7">
        <v>1.9219044713246421E-2</v>
      </c>
      <c r="M7">
        <v>1.805050368179204E-5</v>
      </c>
      <c r="N7">
        <v>0</v>
      </c>
      <c r="O7">
        <v>6.9006555934231304E-3</v>
      </c>
    </row>
    <row r="8" spans="1:31" x14ac:dyDescent="0.25">
      <c r="C8" s="3" t="s">
        <v>9</v>
      </c>
      <c r="D8">
        <v>0</v>
      </c>
      <c r="E8">
        <v>0</v>
      </c>
      <c r="F8">
        <v>0</v>
      </c>
      <c r="G8">
        <v>0</v>
      </c>
      <c r="K8" s="3" t="s">
        <v>9</v>
      </c>
      <c r="L8">
        <v>-4.9999999999997158E-2</v>
      </c>
      <c r="M8">
        <v>-5.0000000000001432E-5</v>
      </c>
      <c r="N8">
        <v>0</v>
      </c>
      <c r="O8">
        <v>0</v>
      </c>
    </row>
    <row r="9" spans="1:31" x14ac:dyDescent="0.25">
      <c r="C9" s="3" t="s">
        <v>10</v>
      </c>
      <c r="D9">
        <v>0</v>
      </c>
      <c r="E9">
        <v>0</v>
      </c>
      <c r="F9">
        <v>0</v>
      </c>
      <c r="G9">
        <v>0</v>
      </c>
      <c r="K9" s="3" t="s">
        <v>10</v>
      </c>
      <c r="L9">
        <v>0</v>
      </c>
      <c r="M9">
        <v>0</v>
      </c>
      <c r="N9">
        <v>0</v>
      </c>
      <c r="O9">
        <v>0</v>
      </c>
    </row>
    <row r="10" spans="1:31" x14ac:dyDescent="0.25">
      <c r="C10" s="3" t="s">
        <v>11</v>
      </c>
      <c r="D10">
        <v>0</v>
      </c>
      <c r="E10">
        <v>0</v>
      </c>
      <c r="F10">
        <v>0</v>
      </c>
      <c r="G10">
        <v>0</v>
      </c>
      <c r="K10" s="3" t="s">
        <v>11</v>
      </c>
      <c r="L10">
        <v>0</v>
      </c>
      <c r="M10">
        <v>0</v>
      </c>
      <c r="N10">
        <v>0</v>
      </c>
      <c r="O10">
        <v>0</v>
      </c>
    </row>
    <row r="11" spans="1:31" x14ac:dyDescent="0.25">
      <c r="C11" s="3" t="s">
        <v>12</v>
      </c>
      <c r="D11">
        <v>2.3337222870473771E-2</v>
      </c>
      <c r="E11">
        <v>9.9009900990094976E-2</v>
      </c>
      <c r="F11">
        <v>0</v>
      </c>
      <c r="G11">
        <v>0</v>
      </c>
      <c r="K11" s="3" t="s">
        <v>12</v>
      </c>
      <c r="L11">
        <v>0</v>
      </c>
      <c r="M11">
        <v>0</v>
      </c>
      <c r="N11">
        <v>0</v>
      </c>
      <c r="O11">
        <v>0</v>
      </c>
    </row>
    <row r="12" spans="1:31" x14ac:dyDescent="0.25">
      <c r="C12" s="3" t="s">
        <v>13</v>
      </c>
      <c r="D12">
        <v>6.09013398294901E-2</v>
      </c>
      <c r="E12">
        <v>0.47169811320754429</v>
      </c>
      <c r="F12">
        <v>0</v>
      </c>
      <c r="G12">
        <v>7.183908045976603E-2</v>
      </c>
      <c r="K12" s="3" t="s">
        <v>13</v>
      </c>
      <c r="L12">
        <v>5.0000000000011369E-2</v>
      </c>
      <c r="M12">
        <v>5.0000000000001432E-5</v>
      </c>
      <c r="N12">
        <v>0</v>
      </c>
      <c r="O12">
        <v>9.9999999999994316E-2</v>
      </c>
    </row>
    <row r="13" spans="1:31" x14ac:dyDescent="0.25">
      <c r="A13" s="2" t="s">
        <v>14</v>
      </c>
    </row>
    <row r="14" spans="1:31" x14ac:dyDescent="0.25">
      <c r="A14" t="s">
        <v>2</v>
      </c>
      <c r="I14" t="s">
        <v>3</v>
      </c>
      <c r="Q14" t="s">
        <v>15</v>
      </c>
      <c r="Y14" t="s">
        <v>16</v>
      </c>
    </row>
    <row r="15" spans="1:31" x14ac:dyDescent="0.25">
      <c r="A15" s="3" t="s">
        <v>17</v>
      </c>
      <c r="B15" s="3" t="s">
        <v>18</v>
      </c>
      <c r="C15" s="3" t="s">
        <v>24</v>
      </c>
      <c r="D15" s="3" t="s">
        <v>20</v>
      </c>
      <c r="E15" s="3" t="s">
        <v>21</v>
      </c>
      <c r="F15" s="3" t="s">
        <v>22</v>
      </c>
      <c r="G15" s="3" t="s">
        <v>23</v>
      </c>
      <c r="I15" s="3" t="s">
        <v>17</v>
      </c>
      <c r="J15" s="3" t="s">
        <v>18</v>
      </c>
      <c r="K15" s="3" t="s">
        <v>24</v>
      </c>
      <c r="L15" s="3" t="s">
        <v>20</v>
      </c>
      <c r="M15" s="3" t="s">
        <v>21</v>
      </c>
      <c r="N15" s="3" t="s">
        <v>22</v>
      </c>
      <c r="O15" s="3" t="s">
        <v>23</v>
      </c>
      <c r="Q15" s="3" t="s">
        <v>17</v>
      </c>
      <c r="R15" s="3" t="s">
        <v>18</v>
      </c>
      <c r="S15" s="3" t="s">
        <v>24</v>
      </c>
      <c r="T15" s="3" t="s">
        <v>20</v>
      </c>
      <c r="U15" s="3" t="s">
        <v>21</v>
      </c>
      <c r="V15" s="3" t="s">
        <v>22</v>
      </c>
      <c r="W15" s="3" t="s">
        <v>23</v>
      </c>
      <c r="Y15" s="3" t="s">
        <v>17</v>
      </c>
      <c r="Z15" s="3" t="s">
        <v>18</v>
      </c>
      <c r="AA15" s="3" t="s">
        <v>24</v>
      </c>
      <c r="AB15" s="3" t="s">
        <v>20</v>
      </c>
      <c r="AC15" s="3" t="s">
        <v>21</v>
      </c>
      <c r="AD15" s="3" t="s">
        <v>22</v>
      </c>
      <c r="AE15" s="3" t="s">
        <v>23</v>
      </c>
    </row>
    <row r="16" spans="1:31" x14ac:dyDescent="0.25">
      <c r="A16" s="3">
        <v>0</v>
      </c>
      <c r="B16" s="3">
        <v>1</v>
      </c>
      <c r="C16" s="3">
        <v>1</v>
      </c>
      <c r="D16">
        <v>0</v>
      </c>
      <c r="E16">
        <v>0</v>
      </c>
      <c r="F16">
        <v>0</v>
      </c>
      <c r="I16" s="3">
        <v>0</v>
      </c>
      <c r="J16" s="3">
        <v>1</v>
      </c>
      <c r="K16" s="3">
        <v>1</v>
      </c>
      <c r="L16">
        <v>0</v>
      </c>
      <c r="M16">
        <v>0</v>
      </c>
      <c r="N16">
        <v>0</v>
      </c>
      <c r="O16">
        <v>0</v>
      </c>
      <c r="Q16" s="3">
        <v>0</v>
      </c>
      <c r="R16" s="3">
        <v>1</v>
      </c>
      <c r="S16" s="3">
        <v>1</v>
      </c>
      <c r="T16">
        <v>90</v>
      </c>
      <c r="U16">
        <v>2.017E-2</v>
      </c>
      <c r="V16">
        <v>0.2</v>
      </c>
      <c r="W16">
        <v>0</v>
      </c>
      <c r="Y16" s="3">
        <v>0</v>
      </c>
      <c r="Z16" s="3">
        <v>1</v>
      </c>
      <c r="AA16" s="3">
        <v>1</v>
      </c>
      <c r="AB16">
        <v>90</v>
      </c>
      <c r="AC16">
        <v>2.017E-2</v>
      </c>
      <c r="AD16">
        <v>0.2</v>
      </c>
      <c r="AE16">
        <v>0</v>
      </c>
    </row>
    <row r="17" spans="1:31" x14ac:dyDescent="0.25">
      <c r="A17" s="3">
        <v>0</v>
      </c>
      <c r="B17" s="3">
        <v>2</v>
      </c>
      <c r="C17" s="3">
        <v>1</v>
      </c>
      <c r="D17">
        <v>0</v>
      </c>
      <c r="E17">
        <v>0</v>
      </c>
      <c r="F17">
        <v>0</v>
      </c>
      <c r="I17" s="3">
        <v>0</v>
      </c>
      <c r="J17" s="3">
        <v>2</v>
      </c>
      <c r="K17" s="3">
        <v>1</v>
      </c>
      <c r="L17">
        <v>0</v>
      </c>
      <c r="M17">
        <v>0</v>
      </c>
      <c r="N17">
        <v>0</v>
      </c>
      <c r="O17">
        <v>0</v>
      </c>
      <c r="Q17" s="3">
        <v>0</v>
      </c>
      <c r="R17" s="3">
        <v>2</v>
      </c>
      <c r="S17" s="3">
        <v>1</v>
      </c>
      <c r="T17">
        <v>90</v>
      </c>
      <c r="U17">
        <v>2.017E-2</v>
      </c>
      <c r="V17">
        <v>0.2</v>
      </c>
      <c r="W17">
        <v>0</v>
      </c>
      <c r="Y17" s="3">
        <v>0</v>
      </c>
      <c r="Z17" s="3">
        <v>2</v>
      </c>
      <c r="AA17" s="3">
        <v>1</v>
      </c>
      <c r="AB17">
        <v>90</v>
      </c>
      <c r="AC17">
        <v>2.017E-2</v>
      </c>
      <c r="AD17">
        <v>0.2</v>
      </c>
      <c r="AE17">
        <v>0</v>
      </c>
    </row>
    <row r="18" spans="1:31" x14ac:dyDescent="0.25">
      <c r="A18" s="3">
        <v>0</v>
      </c>
      <c r="B18" s="3">
        <v>3</v>
      </c>
      <c r="C18" s="3">
        <v>1</v>
      </c>
      <c r="D18">
        <v>0</v>
      </c>
      <c r="E18">
        <v>0</v>
      </c>
      <c r="F18">
        <v>0</v>
      </c>
      <c r="I18" s="3">
        <v>0</v>
      </c>
      <c r="J18" s="3">
        <v>3</v>
      </c>
      <c r="K18" s="3">
        <v>1</v>
      </c>
      <c r="L18">
        <v>0</v>
      </c>
      <c r="M18">
        <v>0</v>
      </c>
      <c r="N18">
        <v>0</v>
      </c>
      <c r="O18">
        <v>0</v>
      </c>
      <c r="Q18" s="3">
        <v>0</v>
      </c>
      <c r="R18" s="3">
        <v>3</v>
      </c>
      <c r="S18" s="3">
        <v>1</v>
      </c>
      <c r="T18">
        <v>90</v>
      </c>
      <c r="U18">
        <v>2.017E-2</v>
      </c>
      <c r="V18">
        <v>0.4</v>
      </c>
      <c r="W18">
        <v>0</v>
      </c>
      <c r="Y18" s="3">
        <v>0</v>
      </c>
      <c r="Z18" s="3">
        <v>3</v>
      </c>
      <c r="AA18" s="3">
        <v>1</v>
      </c>
      <c r="AB18">
        <v>90</v>
      </c>
      <c r="AC18">
        <v>2.017E-2</v>
      </c>
      <c r="AD18">
        <v>0.4</v>
      </c>
      <c r="AE18">
        <v>0</v>
      </c>
    </row>
    <row r="19" spans="1:31" x14ac:dyDescent="0.25">
      <c r="A19" s="3">
        <v>0</v>
      </c>
      <c r="B19" s="3">
        <v>3</v>
      </c>
      <c r="C19" s="3">
        <v>2</v>
      </c>
      <c r="D19">
        <v>0</v>
      </c>
      <c r="E19">
        <v>0</v>
      </c>
      <c r="F19">
        <v>0</v>
      </c>
      <c r="I19" s="3">
        <v>0</v>
      </c>
      <c r="J19" s="3">
        <v>3</v>
      </c>
      <c r="K19" s="3">
        <v>2</v>
      </c>
      <c r="L19">
        <v>0</v>
      </c>
      <c r="M19">
        <v>0</v>
      </c>
      <c r="N19">
        <v>0</v>
      </c>
      <c r="O19">
        <v>0</v>
      </c>
      <c r="Q19" s="3">
        <v>0</v>
      </c>
      <c r="R19" s="3">
        <v>3</v>
      </c>
      <c r="S19" s="3">
        <v>2</v>
      </c>
      <c r="T19">
        <v>90</v>
      </c>
      <c r="U19">
        <v>2.017E-2</v>
      </c>
      <c r="V19">
        <v>0.4</v>
      </c>
      <c r="W19">
        <v>0</v>
      </c>
      <c r="Y19" s="3">
        <v>0</v>
      </c>
      <c r="Z19" s="3">
        <v>3</v>
      </c>
      <c r="AA19" s="3">
        <v>2</v>
      </c>
      <c r="AB19">
        <v>90</v>
      </c>
      <c r="AC19">
        <v>2.017E-2</v>
      </c>
      <c r="AD19">
        <v>0.4</v>
      </c>
      <c r="AE19">
        <v>0</v>
      </c>
    </row>
    <row r="20" spans="1:31" x14ac:dyDescent="0.25">
      <c r="A20" s="3">
        <v>0</v>
      </c>
      <c r="B20" s="3">
        <v>4</v>
      </c>
      <c r="C20" s="3">
        <v>1</v>
      </c>
      <c r="D20">
        <v>0</v>
      </c>
      <c r="E20">
        <v>0</v>
      </c>
      <c r="F20">
        <v>0</v>
      </c>
      <c r="I20" s="3">
        <v>0</v>
      </c>
      <c r="J20" s="3">
        <v>4</v>
      </c>
      <c r="K20" s="3">
        <v>1</v>
      </c>
      <c r="L20">
        <v>0</v>
      </c>
      <c r="M20">
        <v>0</v>
      </c>
      <c r="N20">
        <v>0</v>
      </c>
      <c r="O20">
        <v>0</v>
      </c>
      <c r="Q20" s="3">
        <v>0</v>
      </c>
      <c r="R20" s="3">
        <v>4</v>
      </c>
      <c r="S20" s="3">
        <v>1</v>
      </c>
      <c r="T20">
        <v>90</v>
      </c>
      <c r="U20">
        <v>2.017E-2</v>
      </c>
      <c r="V20">
        <v>2.5</v>
      </c>
      <c r="W20">
        <v>0</v>
      </c>
      <c r="Y20" s="3">
        <v>0</v>
      </c>
      <c r="Z20" s="3">
        <v>4</v>
      </c>
      <c r="AA20" s="3">
        <v>1</v>
      </c>
      <c r="AB20">
        <v>90</v>
      </c>
      <c r="AC20">
        <v>2.017E-2</v>
      </c>
      <c r="AD20">
        <v>2.5</v>
      </c>
      <c r="AE20">
        <v>0</v>
      </c>
    </row>
    <row r="21" spans="1:31" x14ac:dyDescent="0.25">
      <c r="A21" s="3">
        <v>0</v>
      </c>
      <c r="B21" s="3">
        <v>4</v>
      </c>
      <c r="C21" s="3">
        <v>2</v>
      </c>
      <c r="D21">
        <v>0</v>
      </c>
      <c r="E21">
        <v>0</v>
      </c>
      <c r="F21">
        <v>0</v>
      </c>
      <c r="I21" s="3">
        <v>0</v>
      </c>
      <c r="J21" s="3">
        <v>4</v>
      </c>
      <c r="K21" s="3">
        <v>2</v>
      </c>
      <c r="L21">
        <v>0</v>
      </c>
      <c r="M21">
        <v>0</v>
      </c>
      <c r="N21">
        <v>0</v>
      </c>
      <c r="O21">
        <v>0</v>
      </c>
      <c r="Q21" s="3">
        <v>0</v>
      </c>
      <c r="R21" s="3">
        <v>4</v>
      </c>
      <c r="S21" s="3">
        <v>2</v>
      </c>
      <c r="T21">
        <v>90</v>
      </c>
      <c r="U21">
        <v>2.017E-2</v>
      </c>
      <c r="V21">
        <v>2.5</v>
      </c>
      <c r="W21">
        <v>0</v>
      </c>
      <c r="Y21" s="3">
        <v>0</v>
      </c>
      <c r="Z21" s="3">
        <v>4</v>
      </c>
      <c r="AA21" s="3">
        <v>2</v>
      </c>
      <c r="AB21">
        <v>90</v>
      </c>
      <c r="AC21">
        <v>2.017E-2</v>
      </c>
      <c r="AD21">
        <v>2.5</v>
      </c>
      <c r="AE21">
        <v>0</v>
      </c>
    </row>
    <row r="22" spans="1:31" x14ac:dyDescent="0.25">
      <c r="A22" s="3">
        <v>0</v>
      </c>
      <c r="B22" s="3">
        <v>4</v>
      </c>
      <c r="C22" s="3">
        <v>3</v>
      </c>
      <c r="D22">
        <v>0</v>
      </c>
      <c r="E22">
        <v>0</v>
      </c>
      <c r="F22">
        <v>0</v>
      </c>
      <c r="I22" s="3">
        <v>0</v>
      </c>
      <c r="J22" s="3">
        <v>4</v>
      </c>
      <c r="K22" s="3">
        <v>3</v>
      </c>
      <c r="L22">
        <v>0</v>
      </c>
      <c r="M22">
        <v>0</v>
      </c>
      <c r="N22">
        <v>0</v>
      </c>
      <c r="O22">
        <v>0</v>
      </c>
      <c r="Q22" s="3">
        <v>0</v>
      </c>
      <c r="R22" s="3">
        <v>4</v>
      </c>
      <c r="S22" s="3">
        <v>3</v>
      </c>
      <c r="T22">
        <v>90</v>
      </c>
      <c r="U22">
        <v>2.017E-2</v>
      </c>
      <c r="V22">
        <v>2.5</v>
      </c>
      <c r="W22">
        <v>0</v>
      </c>
      <c r="Y22" s="3">
        <v>0</v>
      </c>
      <c r="Z22" s="3">
        <v>4</v>
      </c>
      <c r="AA22" s="3">
        <v>3</v>
      </c>
      <c r="AB22">
        <v>90</v>
      </c>
      <c r="AC22">
        <v>2.017E-2</v>
      </c>
      <c r="AD22">
        <v>2.5</v>
      </c>
      <c r="AE22">
        <v>0</v>
      </c>
    </row>
    <row r="23" spans="1:31" x14ac:dyDescent="0.25">
      <c r="A23" s="3">
        <v>0</v>
      </c>
      <c r="B23" s="3">
        <v>5</v>
      </c>
      <c r="C23" s="3">
        <v>1</v>
      </c>
      <c r="D23">
        <v>0</v>
      </c>
      <c r="E23">
        <v>0</v>
      </c>
      <c r="F23">
        <v>0</v>
      </c>
      <c r="I23" s="3">
        <v>0</v>
      </c>
      <c r="J23" s="3">
        <v>5</v>
      </c>
      <c r="K23" s="3">
        <v>1</v>
      </c>
      <c r="L23">
        <v>0</v>
      </c>
      <c r="M23">
        <v>0</v>
      </c>
      <c r="N23">
        <v>0</v>
      </c>
      <c r="O23">
        <v>0</v>
      </c>
      <c r="Q23" s="3">
        <v>0</v>
      </c>
      <c r="R23" s="3">
        <v>5</v>
      </c>
      <c r="S23" s="3">
        <v>1</v>
      </c>
      <c r="T23">
        <v>90</v>
      </c>
      <c r="U23">
        <v>2.017E-2</v>
      </c>
      <c r="V23">
        <v>0.4</v>
      </c>
      <c r="W23">
        <v>0</v>
      </c>
      <c r="Y23" s="3">
        <v>0</v>
      </c>
      <c r="Z23" s="3">
        <v>5</v>
      </c>
      <c r="AA23" s="3">
        <v>1</v>
      </c>
      <c r="AB23">
        <v>90</v>
      </c>
      <c r="AC23">
        <v>2.017E-2</v>
      </c>
      <c r="AD23">
        <v>0.4</v>
      </c>
      <c r="AE23">
        <v>0</v>
      </c>
    </row>
    <row r="24" spans="1:31" x14ac:dyDescent="0.25">
      <c r="A24" s="3">
        <v>0</v>
      </c>
      <c r="B24" s="3">
        <v>5</v>
      </c>
      <c r="C24" s="3">
        <v>2</v>
      </c>
      <c r="D24">
        <v>0</v>
      </c>
      <c r="E24">
        <v>0</v>
      </c>
      <c r="F24">
        <v>0</v>
      </c>
      <c r="I24" s="3">
        <v>0</v>
      </c>
      <c r="J24" s="3">
        <v>5</v>
      </c>
      <c r="K24" s="3">
        <v>2</v>
      </c>
      <c r="L24">
        <v>0</v>
      </c>
      <c r="M24">
        <v>0</v>
      </c>
      <c r="N24">
        <v>0</v>
      </c>
      <c r="O24">
        <v>0</v>
      </c>
      <c r="Q24" s="3">
        <v>0</v>
      </c>
      <c r="R24" s="3">
        <v>5</v>
      </c>
      <c r="S24" s="3">
        <v>2</v>
      </c>
      <c r="T24">
        <v>90</v>
      </c>
      <c r="U24">
        <v>2.017E-2</v>
      </c>
      <c r="V24">
        <v>0.4</v>
      </c>
      <c r="W24">
        <v>0</v>
      </c>
      <c r="Y24" s="3">
        <v>0</v>
      </c>
      <c r="Z24" s="3">
        <v>5</v>
      </c>
      <c r="AA24" s="3">
        <v>2</v>
      </c>
      <c r="AB24">
        <v>90</v>
      </c>
      <c r="AC24">
        <v>2.017E-2</v>
      </c>
      <c r="AD24">
        <v>0.4</v>
      </c>
      <c r="AE24">
        <v>0</v>
      </c>
    </row>
    <row r="25" spans="1:31" x14ac:dyDescent="0.25">
      <c r="A25" s="3">
        <v>0</v>
      </c>
      <c r="B25" s="3">
        <v>5</v>
      </c>
      <c r="C25" s="3">
        <v>3</v>
      </c>
      <c r="D25">
        <v>0</v>
      </c>
      <c r="E25">
        <v>0</v>
      </c>
      <c r="F25">
        <v>0</v>
      </c>
      <c r="I25" s="3">
        <v>0</v>
      </c>
      <c r="J25" s="3">
        <v>5</v>
      </c>
      <c r="K25" s="3">
        <v>3</v>
      </c>
      <c r="L25">
        <v>0</v>
      </c>
      <c r="M25">
        <v>0</v>
      </c>
      <c r="N25">
        <v>0</v>
      </c>
      <c r="O25">
        <v>0</v>
      </c>
      <c r="Q25" s="3">
        <v>0</v>
      </c>
      <c r="R25" s="3">
        <v>5</v>
      </c>
      <c r="S25" s="3">
        <v>3</v>
      </c>
      <c r="T25">
        <v>90</v>
      </c>
      <c r="U25">
        <v>2.017E-2</v>
      </c>
      <c r="V25">
        <v>0.4</v>
      </c>
      <c r="W25">
        <v>0</v>
      </c>
      <c r="Y25" s="3">
        <v>0</v>
      </c>
      <c r="Z25" s="3">
        <v>5</v>
      </c>
      <c r="AA25" s="3">
        <v>3</v>
      </c>
      <c r="AB25">
        <v>90</v>
      </c>
      <c r="AC25">
        <v>2.017E-2</v>
      </c>
      <c r="AD25">
        <v>0.4</v>
      </c>
      <c r="AE25">
        <v>0</v>
      </c>
    </row>
    <row r="26" spans="1:31" x14ac:dyDescent="0.25">
      <c r="A26" s="3">
        <v>0</v>
      </c>
      <c r="B26" s="3">
        <v>6</v>
      </c>
      <c r="C26" s="3">
        <v>1</v>
      </c>
      <c r="D26">
        <v>0</v>
      </c>
      <c r="E26">
        <v>0</v>
      </c>
      <c r="F26">
        <v>0</v>
      </c>
      <c r="I26" s="3">
        <v>0</v>
      </c>
      <c r="J26" s="3">
        <v>6</v>
      </c>
      <c r="K26" s="3">
        <v>1</v>
      </c>
      <c r="L26">
        <v>0</v>
      </c>
      <c r="M26">
        <v>0</v>
      </c>
      <c r="N26">
        <v>0</v>
      </c>
      <c r="O26">
        <v>0</v>
      </c>
      <c r="Q26" s="3">
        <v>0</v>
      </c>
      <c r="R26" s="3">
        <v>6</v>
      </c>
      <c r="S26" s="3">
        <v>1</v>
      </c>
      <c r="T26">
        <v>90</v>
      </c>
      <c r="U26">
        <v>2.017E-2</v>
      </c>
      <c r="V26">
        <v>2.5</v>
      </c>
      <c r="W26">
        <v>0</v>
      </c>
      <c r="Y26" s="3">
        <v>0</v>
      </c>
      <c r="Z26" s="3">
        <v>6</v>
      </c>
      <c r="AA26" s="3">
        <v>1</v>
      </c>
      <c r="AB26">
        <v>90</v>
      </c>
      <c r="AC26">
        <v>2.017E-2</v>
      </c>
      <c r="AD26">
        <v>2.5</v>
      </c>
      <c r="AE26">
        <v>0</v>
      </c>
    </row>
    <row r="27" spans="1:31" x14ac:dyDescent="0.25">
      <c r="A27" s="3">
        <v>0</v>
      </c>
      <c r="B27" s="3">
        <v>6</v>
      </c>
      <c r="C27" s="3">
        <v>2</v>
      </c>
      <c r="D27">
        <v>0</v>
      </c>
      <c r="E27">
        <v>0</v>
      </c>
      <c r="F27">
        <v>0</v>
      </c>
      <c r="I27" s="3">
        <v>0</v>
      </c>
      <c r="J27" s="3">
        <v>6</v>
      </c>
      <c r="K27" s="3">
        <v>2</v>
      </c>
      <c r="L27">
        <v>0</v>
      </c>
      <c r="M27">
        <v>0</v>
      </c>
      <c r="N27">
        <v>0</v>
      </c>
      <c r="O27">
        <v>0</v>
      </c>
      <c r="Q27" s="3">
        <v>0</v>
      </c>
      <c r="R27" s="3">
        <v>6</v>
      </c>
      <c r="S27" s="3">
        <v>2</v>
      </c>
      <c r="T27">
        <v>90</v>
      </c>
      <c r="U27">
        <v>2.017E-2</v>
      </c>
      <c r="V27">
        <v>2.5</v>
      </c>
      <c r="W27">
        <v>0</v>
      </c>
      <c r="Y27" s="3">
        <v>0</v>
      </c>
      <c r="Z27" s="3">
        <v>6</v>
      </c>
      <c r="AA27" s="3">
        <v>2</v>
      </c>
      <c r="AB27">
        <v>90</v>
      </c>
      <c r="AC27">
        <v>2.017E-2</v>
      </c>
      <c r="AD27">
        <v>2.5</v>
      </c>
      <c r="AE27">
        <v>0</v>
      </c>
    </row>
    <row r="28" spans="1:31" x14ac:dyDescent="0.25">
      <c r="A28" s="3">
        <v>0</v>
      </c>
      <c r="B28" s="3">
        <v>6</v>
      </c>
      <c r="C28" s="3">
        <v>3</v>
      </c>
      <c r="D28">
        <v>0</v>
      </c>
      <c r="E28">
        <v>0</v>
      </c>
      <c r="F28">
        <v>0</v>
      </c>
      <c r="I28" s="3">
        <v>0</v>
      </c>
      <c r="J28" s="3">
        <v>6</v>
      </c>
      <c r="K28" s="3">
        <v>3</v>
      </c>
      <c r="L28">
        <v>0</v>
      </c>
      <c r="M28">
        <v>0</v>
      </c>
      <c r="N28">
        <v>0</v>
      </c>
      <c r="O28">
        <v>0</v>
      </c>
      <c r="Q28" s="3">
        <v>0</v>
      </c>
      <c r="R28" s="3">
        <v>6</v>
      </c>
      <c r="S28" s="3">
        <v>3</v>
      </c>
      <c r="T28">
        <v>90</v>
      </c>
      <c r="U28">
        <v>2.017E-2</v>
      </c>
      <c r="V28">
        <v>2.5</v>
      </c>
      <c r="W28">
        <v>0</v>
      </c>
      <c r="Y28" s="3">
        <v>0</v>
      </c>
      <c r="Z28" s="3">
        <v>6</v>
      </c>
      <c r="AA28" s="3">
        <v>3</v>
      </c>
      <c r="AB28">
        <v>90</v>
      </c>
      <c r="AC28">
        <v>2.017E-2</v>
      </c>
      <c r="AD28">
        <v>2.5</v>
      </c>
      <c r="AE28">
        <v>0</v>
      </c>
    </row>
    <row r="29" spans="1:31" x14ac:dyDescent="0.25">
      <c r="A29" s="3">
        <v>0</v>
      </c>
      <c r="B29" s="3">
        <v>7</v>
      </c>
      <c r="C29" s="3">
        <v>1</v>
      </c>
      <c r="D29">
        <v>0</v>
      </c>
      <c r="E29">
        <v>0</v>
      </c>
      <c r="F29">
        <v>0</v>
      </c>
      <c r="G29">
        <v>0</v>
      </c>
      <c r="I29" s="3">
        <v>0</v>
      </c>
      <c r="J29" s="3">
        <v>7</v>
      </c>
      <c r="K29" s="3">
        <v>1</v>
      </c>
      <c r="L29">
        <v>0</v>
      </c>
      <c r="M29">
        <v>0</v>
      </c>
      <c r="N29">
        <v>0</v>
      </c>
      <c r="O29">
        <v>0</v>
      </c>
      <c r="Q29" s="3">
        <v>0</v>
      </c>
      <c r="R29" s="3">
        <v>7</v>
      </c>
      <c r="S29" s="3">
        <v>1</v>
      </c>
      <c r="T29">
        <v>80</v>
      </c>
      <c r="U29">
        <v>1.3639999999999999E-2</v>
      </c>
      <c r="V29">
        <v>32.6</v>
      </c>
      <c r="W29">
        <v>11.7</v>
      </c>
      <c r="Y29" s="3">
        <v>0</v>
      </c>
      <c r="Z29" s="3">
        <v>7</v>
      </c>
      <c r="AA29" s="3">
        <v>1</v>
      </c>
      <c r="AB29">
        <v>80</v>
      </c>
      <c r="AC29">
        <v>1.3639999999999999E-2</v>
      </c>
      <c r="AD29">
        <v>32.6</v>
      </c>
      <c r="AE29">
        <v>11.7</v>
      </c>
    </row>
    <row r="30" spans="1:31" x14ac:dyDescent="0.25">
      <c r="A30" s="3">
        <v>0</v>
      </c>
      <c r="B30" s="3">
        <v>8</v>
      </c>
      <c r="C30" s="3">
        <v>1</v>
      </c>
      <c r="D30">
        <v>0</v>
      </c>
      <c r="E30">
        <v>0</v>
      </c>
      <c r="F30">
        <v>0</v>
      </c>
      <c r="I30" s="3">
        <v>0</v>
      </c>
      <c r="J30" s="3">
        <v>8</v>
      </c>
      <c r="K30" s="3">
        <v>1</v>
      </c>
      <c r="L30">
        <v>0</v>
      </c>
      <c r="M30">
        <v>0</v>
      </c>
      <c r="N30">
        <v>0</v>
      </c>
      <c r="O30">
        <v>0</v>
      </c>
      <c r="Q30" s="3">
        <v>0</v>
      </c>
      <c r="R30" s="3">
        <v>8</v>
      </c>
      <c r="S30" s="3">
        <v>1</v>
      </c>
      <c r="T30">
        <v>85</v>
      </c>
      <c r="U30">
        <v>1.4919999999999999E-2</v>
      </c>
      <c r="V30">
        <v>22.9</v>
      </c>
      <c r="W30">
        <v>0</v>
      </c>
      <c r="Y30" s="3">
        <v>0</v>
      </c>
      <c r="Z30" s="3">
        <v>8</v>
      </c>
      <c r="AA30" s="3">
        <v>1</v>
      </c>
      <c r="AB30">
        <v>85</v>
      </c>
      <c r="AC30">
        <v>1.4919999999999999E-2</v>
      </c>
      <c r="AD30">
        <v>22.9</v>
      </c>
      <c r="AE30">
        <v>0</v>
      </c>
    </row>
    <row r="31" spans="1:31" x14ac:dyDescent="0.25">
      <c r="A31" s="3">
        <v>0</v>
      </c>
      <c r="B31" s="3">
        <v>8</v>
      </c>
      <c r="C31" s="3">
        <v>2</v>
      </c>
      <c r="D31">
        <v>0</v>
      </c>
      <c r="E31">
        <v>0</v>
      </c>
      <c r="F31">
        <v>0</v>
      </c>
      <c r="I31" s="3">
        <v>0</v>
      </c>
      <c r="J31" s="3">
        <v>8</v>
      </c>
      <c r="K31" s="3">
        <v>2</v>
      </c>
      <c r="L31">
        <v>0</v>
      </c>
      <c r="M31">
        <v>0</v>
      </c>
      <c r="N31">
        <v>0</v>
      </c>
      <c r="O31">
        <v>0</v>
      </c>
      <c r="Q31" s="3">
        <v>0</v>
      </c>
      <c r="R31" s="3">
        <v>8</v>
      </c>
      <c r="S31" s="3">
        <v>2</v>
      </c>
      <c r="T31">
        <v>85</v>
      </c>
      <c r="U31">
        <v>1.4919999999999999E-2</v>
      </c>
      <c r="V31">
        <v>22.9</v>
      </c>
      <c r="W31">
        <v>0</v>
      </c>
      <c r="Y31" s="3">
        <v>0</v>
      </c>
      <c r="Z31" s="3">
        <v>8</v>
      </c>
      <c r="AA31" s="3">
        <v>2</v>
      </c>
      <c r="AB31">
        <v>85</v>
      </c>
      <c r="AC31">
        <v>1.4919999999999999E-2</v>
      </c>
      <c r="AD31">
        <v>22.9</v>
      </c>
      <c r="AE31">
        <v>0</v>
      </c>
    </row>
    <row r="32" spans="1:31" x14ac:dyDescent="0.25">
      <c r="A32" s="3">
        <v>0</v>
      </c>
      <c r="B32" s="3">
        <v>9</v>
      </c>
      <c r="C32" s="3">
        <v>1</v>
      </c>
      <c r="D32">
        <v>0</v>
      </c>
      <c r="E32">
        <v>0</v>
      </c>
      <c r="F32">
        <v>0</v>
      </c>
      <c r="G32">
        <v>0</v>
      </c>
      <c r="I32" s="3">
        <v>0</v>
      </c>
      <c r="J32" s="3">
        <v>9</v>
      </c>
      <c r="K32" s="3">
        <v>1</v>
      </c>
      <c r="L32">
        <v>0</v>
      </c>
      <c r="M32">
        <v>0</v>
      </c>
      <c r="N32">
        <v>0</v>
      </c>
      <c r="O32">
        <v>0</v>
      </c>
      <c r="Q32" s="3">
        <v>0</v>
      </c>
      <c r="R32" s="3">
        <v>9</v>
      </c>
      <c r="S32" s="3">
        <v>1</v>
      </c>
      <c r="T32">
        <v>80</v>
      </c>
      <c r="U32">
        <v>1.3639999999999999E-2</v>
      </c>
      <c r="V32">
        <v>86.1</v>
      </c>
      <c r="W32">
        <v>17.899999999999999</v>
      </c>
      <c r="Y32" s="3">
        <v>0</v>
      </c>
      <c r="Z32" s="3">
        <v>9</v>
      </c>
      <c r="AA32" s="3">
        <v>1</v>
      </c>
      <c r="AB32">
        <v>80</v>
      </c>
      <c r="AC32">
        <v>1.3639999999999999E-2</v>
      </c>
      <c r="AD32">
        <v>86.1</v>
      </c>
      <c r="AE32">
        <v>17.899999999999999</v>
      </c>
    </row>
    <row r="33" spans="1:31" x14ac:dyDescent="0.25">
      <c r="A33" s="3">
        <v>0</v>
      </c>
      <c r="B33" s="3">
        <v>9</v>
      </c>
      <c r="C33" s="3">
        <v>2</v>
      </c>
      <c r="D33">
        <v>0</v>
      </c>
      <c r="E33">
        <v>0</v>
      </c>
      <c r="F33">
        <v>0</v>
      </c>
      <c r="G33">
        <v>0</v>
      </c>
      <c r="I33" s="3">
        <v>0</v>
      </c>
      <c r="J33" s="3">
        <v>9</v>
      </c>
      <c r="K33" s="3">
        <v>2</v>
      </c>
      <c r="L33">
        <v>0</v>
      </c>
      <c r="M33">
        <v>0</v>
      </c>
      <c r="N33">
        <v>0</v>
      </c>
      <c r="O33">
        <v>0</v>
      </c>
      <c r="Q33" s="3">
        <v>0</v>
      </c>
      <c r="R33" s="3">
        <v>9</v>
      </c>
      <c r="S33" s="3">
        <v>2</v>
      </c>
      <c r="T33">
        <v>80</v>
      </c>
      <c r="U33">
        <v>1.3639999999999999E-2</v>
      </c>
      <c r="V33">
        <v>93.6</v>
      </c>
      <c r="W33">
        <v>18.8</v>
      </c>
      <c r="Y33" s="3">
        <v>0</v>
      </c>
      <c r="Z33" s="3">
        <v>9</v>
      </c>
      <c r="AA33" s="3">
        <v>2</v>
      </c>
      <c r="AB33">
        <v>80</v>
      </c>
      <c r="AC33">
        <v>1.3639999999999999E-2</v>
      </c>
      <c r="AD33">
        <v>93.6</v>
      </c>
      <c r="AE33">
        <v>18.8</v>
      </c>
    </row>
    <row r="34" spans="1:31" x14ac:dyDescent="0.25">
      <c r="A34" s="3">
        <v>0</v>
      </c>
      <c r="B34" s="3">
        <v>9</v>
      </c>
      <c r="C34" s="3">
        <v>3</v>
      </c>
      <c r="D34">
        <v>0</v>
      </c>
      <c r="E34">
        <v>0</v>
      </c>
      <c r="F34">
        <v>0</v>
      </c>
      <c r="G34">
        <v>0</v>
      </c>
      <c r="I34" s="3">
        <v>0</v>
      </c>
      <c r="J34" s="3">
        <v>9</v>
      </c>
      <c r="K34" s="3">
        <v>3</v>
      </c>
      <c r="L34">
        <v>0</v>
      </c>
      <c r="M34">
        <v>0</v>
      </c>
      <c r="N34">
        <v>0</v>
      </c>
      <c r="O34">
        <v>0</v>
      </c>
      <c r="Q34" s="3">
        <v>0</v>
      </c>
      <c r="R34" s="3">
        <v>9</v>
      </c>
      <c r="S34" s="3">
        <v>3</v>
      </c>
      <c r="T34">
        <v>80</v>
      </c>
      <c r="U34">
        <v>1.3639999999999999E-2</v>
      </c>
      <c r="V34">
        <v>93.6</v>
      </c>
      <c r="W34">
        <v>18.8</v>
      </c>
      <c r="Y34" s="3">
        <v>0</v>
      </c>
      <c r="Z34" s="3">
        <v>9</v>
      </c>
      <c r="AA34" s="3">
        <v>3</v>
      </c>
      <c r="AB34">
        <v>80</v>
      </c>
      <c r="AC34">
        <v>1.3639999999999999E-2</v>
      </c>
      <c r="AD34">
        <v>93.6</v>
      </c>
      <c r="AE34">
        <v>18.8</v>
      </c>
    </row>
    <row r="35" spans="1:31" x14ac:dyDescent="0.25">
      <c r="A35" s="3">
        <v>0</v>
      </c>
      <c r="B35" s="3">
        <v>9</v>
      </c>
      <c r="C35" s="3">
        <v>4</v>
      </c>
      <c r="D35">
        <v>0</v>
      </c>
      <c r="E35">
        <v>0</v>
      </c>
      <c r="F35">
        <v>0</v>
      </c>
      <c r="G35">
        <v>0</v>
      </c>
      <c r="I35" s="3">
        <v>0</v>
      </c>
      <c r="J35" s="3">
        <v>9</v>
      </c>
      <c r="K35" s="3">
        <v>4</v>
      </c>
      <c r="L35">
        <v>0</v>
      </c>
      <c r="M35">
        <v>0</v>
      </c>
      <c r="N35">
        <v>0</v>
      </c>
      <c r="O35">
        <v>0</v>
      </c>
      <c r="Q35" s="3">
        <v>0</v>
      </c>
      <c r="R35" s="3">
        <v>9</v>
      </c>
      <c r="S35" s="3">
        <v>4</v>
      </c>
      <c r="T35">
        <v>80</v>
      </c>
      <c r="U35">
        <v>1.3639999999999999E-2</v>
      </c>
      <c r="V35">
        <v>93.6</v>
      </c>
      <c r="W35">
        <v>18.8</v>
      </c>
      <c r="Y35" s="3">
        <v>0</v>
      </c>
      <c r="Z35" s="3">
        <v>9</v>
      </c>
      <c r="AA35" s="3">
        <v>4</v>
      </c>
      <c r="AB35">
        <v>80</v>
      </c>
      <c r="AC35">
        <v>1.3639999999999999E-2</v>
      </c>
      <c r="AD35">
        <v>93.6</v>
      </c>
      <c r="AE35">
        <v>18.8</v>
      </c>
    </row>
    <row r="36" spans="1:31" x14ac:dyDescent="0.25">
      <c r="A36" s="3">
        <v>0</v>
      </c>
      <c r="B36" s="3">
        <v>10</v>
      </c>
      <c r="C36" s="3">
        <v>1</v>
      </c>
      <c r="D36">
        <v>0</v>
      </c>
      <c r="E36">
        <v>0</v>
      </c>
      <c r="F36">
        <v>0</v>
      </c>
      <c r="I36" s="3">
        <v>0</v>
      </c>
      <c r="J36" s="3">
        <v>10</v>
      </c>
      <c r="K36" s="3">
        <v>1</v>
      </c>
      <c r="L36">
        <v>0</v>
      </c>
      <c r="M36">
        <v>0</v>
      </c>
      <c r="N36">
        <v>0</v>
      </c>
      <c r="O36">
        <v>0</v>
      </c>
      <c r="Q36" s="3">
        <v>0</v>
      </c>
      <c r="R36" s="3">
        <v>10</v>
      </c>
      <c r="S36" s="3">
        <v>1</v>
      </c>
      <c r="T36">
        <v>85</v>
      </c>
      <c r="U36">
        <v>1.4919999999999999E-2</v>
      </c>
      <c r="V36">
        <v>22.9</v>
      </c>
      <c r="W36">
        <v>0</v>
      </c>
      <c r="Y36" s="3">
        <v>0</v>
      </c>
      <c r="Z36" s="3">
        <v>10</v>
      </c>
      <c r="AA36" s="3">
        <v>1</v>
      </c>
      <c r="AB36">
        <v>85</v>
      </c>
      <c r="AC36">
        <v>1.4919999999999999E-2</v>
      </c>
      <c r="AD36">
        <v>22.9</v>
      </c>
      <c r="AE36">
        <v>0</v>
      </c>
    </row>
    <row r="37" spans="1:31" x14ac:dyDescent="0.25">
      <c r="A37" s="3">
        <v>0</v>
      </c>
      <c r="B37" s="3">
        <v>10</v>
      </c>
      <c r="C37" s="3">
        <v>2</v>
      </c>
      <c r="D37">
        <v>0</v>
      </c>
      <c r="E37">
        <v>0</v>
      </c>
      <c r="F37">
        <v>0</v>
      </c>
      <c r="I37" s="3">
        <v>0</v>
      </c>
      <c r="J37" s="3">
        <v>10</v>
      </c>
      <c r="K37" s="3">
        <v>2</v>
      </c>
      <c r="L37">
        <v>0</v>
      </c>
      <c r="M37">
        <v>0</v>
      </c>
      <c r="N37">
        <v>0</v>
      </c>
      <c r="O37">
        <v>0</v>
      </c>
      <c r="Q37" s="3">
        <v>0</v>
      </c>
      <c r="R37" s="3">
        <v>10</v>
      </c>
      <c r="S37" s="3">
        <v>2</v>
      </c>
      <c r="T37">
        <v>85</v>
      </c>
      <c r="U37">
        <v>1.4919999999999999E-2</v>
      </c>
      <c r="V37">
        <v>22.9</v>
      </c>
      <c r="W37">
        <v>0</v>
      </c>
      <c r="Y37" s="3">
        <v>0</v>
      </c>
      <c r="Z37" s="3">
        <v>10</v>
      </c>
      <c r="AA37" s="3">
        <v>2</v>
      </c>
      <c r="AB37">
        <v>85</v>
      </c>
      <c r="AC37">
        <v>1.4919999999999999E-2</v>
      </c>
      <c r="AD37">
        <v>22.9</v>
      </c>
      <c r="AE37">
        <v>0</v>
      </c>
    </row>
    <row r="38" spans="1:31" x14ac:dyDescent="0.25">
      <c r="A38" s="3">
        <v>0</v>
      </c>
      <c r="B38" s="3">
        <v>11</v>
      </c>
      <c r="C38" s="3">
        <v>1</v>
      </c>
      <c r="D38">
        <v>0</v>
      </c>
      <c r="E38">
        <v>0</v>
      </c>
      <c r="F38">
        <v>0</v>
      </c>
      <c r="G38">
        <v>0</v>
      </c>
      <c r="I38" s="3">
        <v>0</v>
      </c>
      <c r="J38" s="3">
        <v>11</v>
      </c>
      <c r="K38" s="3">
        <v>1</v>
      </c>
      <c r="L38">
        <v>0</v>
      </c>
      <c r="M38">
        <v>0</v>
      </c>
      <c r="N38">
        <v>0</v>
      </c>
      <c r="O38">
        <v>0</v>
      </c>
      <c r="Q38" s="3">
        <v>0</v>
      </c>
      <c r="R38" s="3">
        <v>11</v>
      </c>
      <c r="S38" s="3">
        <v>1</v>
      </c>
      <c r="T38">
        <v>80</v>
      </c>
      <c r="U38">
        <v>1.3639999999999999E-2</v>
      </c>
      <c r="V38">
        <v>95.9</v>
      </c>
      <c r="W38">
        <v>18.399999999999999</v>
      </c>
      <c r="Y38" s="3">
        <v>0</v>
      </c>
      <c r="Z38" s="3">
        <v>11</v>
      </c>
      <c r="AA38" s="3">
        <v>1</v>
      </c>
      <c r="AB38">
        <v>80</v>
      </c>
      <c r="AC38">
        <v>1.3639999999999999E-2</v>
      </c>
      <c r="AD38">
        <v>95.9</v>
      </c>
      <c r="AE38">
        <v>18.399999999999999</v>
      </c>
    </row>
    <row r="39" spans="1:31" x14ac:dyDescent="0.25">
      <c r="A39" s="3">
        <v>0</v>
      </c>
      <c r="B39" s="3">
        <v>12</v>
      </c>
      <c r="C39" s="3">
        <v>1</v>
      </c>
      <c r="D39">
        <v>0</v>
      </c>
      <c r="E39">
        <v>0</v>
      </c>
      <c r="F39">
        <v>0</v>
      </c>
      <c r="G39">
        <v>0</v>
      </c>
      <c r="I39" s="3">
        <v>0</v>
      </c>
      <c r="J39" s="3">
        <v>12</v>
      </c>
      <c r="K39" s="3">
        <v>1</v>
      </c>
      <c r="L39">
        <v>0</v>
      </c>
      <c r="M39">
        <v>0</v>
      </c>
      <c r="N39">
        <v>0</v>
      </c>
      <c r="O39">
        <v>0</v>
      </c>
      <c r="Q39" s="3">
        <v>0</v>
      </c>
      <c r="R39" s="3">
        <v>12</v>
      </c>
      <c r="S39" s="3">
        <v>1</v>
      </c>
      <c r="T39">
        <v>90</v>
      </c>
      <c r="U39">
        <v>2.017E-2</v>
      </c>
      <c r="V39">
        <v>39.700000000000003</v>
      </c>
      <c r="W39">
        <v>6</v>
      </c>
      <c r="Y39" s="3">
        <v>0</v>
      </c>
      <c r="Z39" s="3">
        <v>12</v>
      </c>
      <c r="AA39" s="3">
        <v>1</v>
      </c>
      <c r="AB39">
        <v>90</v>
      </c>
      <c r="AC39">
        <v>2.017E-2</v>
      </c>
      <c r="AD39">
        <v>39.700000000000003</v>
      </c>
      <c r="AE39">
        <v>6</v>
      </c>
    </row>
    <row r="40" spans="1:31" x14ac:dyDescent="0.25">
      <c r="A40" s="3">
        <v>0</v>
      </c>
      <c r="B40" s="3">
        <v>12</v>
      </c>
      <c r="C40" s="3">
        <v>2</v>
      </c>
      <c r="D40">
        <v>0</v>
      </c>
      <c r="E40">
        <v>0</v>
      </c>
      <c r="F40">
        <v>0</v>
      </c>
      <c r="I40" s="3">
        <v>0</v>
      </c>
      <c r="J40" s="3">
        <v>12</v>
      </c>
      <c r="K40" s="3">
        <v>2</v>
      </c>
      <c r="L40">
        <v>0</v>
      </c>
      <c r="M40">
        <v>0</v>
      </c>
      <c r="N40">
        <v>0</v>
      </c>
      <c r="O40">
        <v>0</v>
      </c>
      <c r="Q40" s="3">
        <v>0</v>
      </c>
      <c r="R40" s="3">
        <v>12</v>
      </c>
      <c r="S40" s="3">
        <v>2</v>
      </c>
      <c r="T40">
        <v>90</v>
      </c>
      <c r="U40">
        <v>2.017E-2</v>
      </c>
      <c r="V40">
        <v>2.4</v>
      </c>
      <c r="W40">
        <v>0</v>
      </c>
      <c r="Y40" s="3">
        <v>0</v>
      </c>
      <c r="Z40" s="3">
        <v>12</v>
      </c>
      <c r="AA40" s="3">
        <v>2</v>
      </c>
      <c r="AB40">
        <v>90</v>
      </c>
      <c r="AC40">
        <v>2.017E-2</v>
      </c>
      <c r="AD40">
        <v>2.4</v>
      </c>
      <c r="AE40">
        <v>0</v>
      </c>
    </row>
    <row r="41" spans="1:31" x14ac:dyDescent="0.25">
      <c r="A41" s="3">
        <v>0</v>
      </c>
      <c r="B41" s="3">
        <v>12</v>
      </c>
      <c r="C41" s="3">
        <v>3</v>
      </c>
      <c r="D41">
        <v>0</v>
      </c>
      <c r="E41">
        <v>0</v>
      </c>
      <c r="F41">
        <v>0</v>
      </c>
      <c r="I41" s="3">
        <v>0</v>
      </c>
      <c r="J41" s="3">
        <v>12</v>
      </c>
      <c r="K41" s="3">
        <v>3</v>
      </c>
      <c r="L41">
        <v>0</v>
      </c>
      <c r="M41">
        <v>0</v>
      </c>
      <c r="N41">
        <v>0</v>
      </c>
      <c r="O41">
        <v>0</v>
      </c>
      <c r="Q41" s="3">
        <v>0</v>
      </c>
      <c r="R41" s="3">
        <v>12</v>
      </c>
      <c r="S41" s="3">
        <v>3</v>
      </c>
      <c r="T41">
        <v>90</v>
      </c>
      <c r="U41">
        <v>2.017E-2</v>
      </c>
      <c r="V41">
        <v>2.4</v>
      </c>
      <c r="W41">
        <v>0</v>
      </c>
      <c r="Y41" s="3">
        <v>0</v>
      </c>
      <c r="Z41" s="3">
        <v>12</v>
      </c>
      <c r="AA41" s="3">
        <v>3</v>
      </c>
      <c r="AB41">
        <v>90</v>
      </c>
      <c r="AC41">
        <v>2.017E-2</v>
      </c>
      <c r="AD41">
        <v>2.4</v>
      </c>
      <c r="AE41">
        <v>0</v>
      </c>
    </row>
    <row r="42" spans="1:31" x14ac:dyDescent="0.25">
      <c r="A42" s="3">
        <v>0</v>
      </c>
      <c r="B42" s="3">
        <v>13</v>
      </c>
      <c r="C42" s="3">
        <v>1</v>
      </c>
      <c r="D42">
        <v>0</v>
      </c>
      <c r="E42">
        <v>0</v>
      </c>
      <c r="F42">
        <v>0</v>
      </c>
      <c r="I42" s="3">
        <v>0</v>
      </c>
      <c r="J42" s="3">
        <v>13</v>
      </c>
      <c r="K42" s="3">
        <v>1</v>
      </c>
      <c r="L42">
        <v>0</v>
      </c>
      <c r="M42">
        <v>0</v>
      </c>
      <c r="N42">
        <v>0</v>
      </c>
      <c r="O42">
        <v>0</v>
      </c>
      <c r="Q42" s="3">
        <v>0</v>
      </c>
      <c r="R42" s="3">
        <v>13</v>
      </c>
      <c r="S42" s="3">
        <v>1</v>
      </c>
      <c r="T42">
        <v>90</v>
      </c>
      <c r="U42">
        <v>2.017E-2</v>
      </c>
      <c r="V42">
        <v>2.8</v>
      </c>
      <c r="W42">
        <v>0</v>
      </c>
      <c r="Y42" s="3">
        <v>0</v>
      </c>
      <c r="Z42" s="3">
        <v>13</v>
      </c>
      <c r="AA42" s="3">
        <v>1</v>
      </c>
      <c r="AB42">
        <v>90</v>
      </c>
      <c r="AC42">
        <v>2.017E-2</v>
      </c>
      <c r="AD42">
        <v>2.8</v>
      </c>
      <c r="AE42">
        <v>0</v>
      </c>
    </row>
    <row r="43" spans="1:31" x14ac:dyDescent="0.25">
      <c r="A43" s="3">
        <v>0</v>
      </c>
      <c r="B43" s="3">
        <v>13</v>
      </c>
      <c r="C43" s="3">
        <v>2</v>
      </c>
      <c r="D43">
        <v>0</v>
      </c>
      <c r="E43">
        <v>0</v>
      </c>
      <c r="F43">
        <v>0</v>
      </c>
      <c r="I43" s="3">
        <v>0</v>
      </c>
      <c r="J43" s="3">
        <v>13</v>
      </c>
      <c r="K43" s="3">
        <v>2</v>
      </c>
      <c r="L43">
        <v>0</v>
      </c>
      <c r="M43">
        <v>0</v>
      </c>
      <c r="N43">
        <v>0</v>
      </c>
      <c r="O43">
        <v>0</v>
      </c>
      <c r="Q43" s="3">
        <v>0</v>
      </c>
      <c r="R43" s="3">
        <v>13</v>
      </c>
      <c r="S43" s="3">
        <v>2</v>
      </c>
      <c r="T43">
        <v>90</v>
      </c>
      <c r="U43">
        <v>2.017E-2</v>
      </c>
      <c r="V43">
        <v>2.8</v>
      </c>
      <c r="W43">
        <v>0</v>
      </c>
      <c r="Y43" s="3">
        <v>0</v>
      </c>
      <c r="Z43" s="3">
        <v>13</v>
      </c>
      <c r="AA43" s="3">
        <v>2</v>
      </c>
      <c r="AB43">
        <v>90</v>
      </c>
      <c r="AC43">
        <v>2.017E-2</v>
      </c>
      <c r="AD43">
        <v>2.8</v>
      </c>
      <c r="AE43">
        <v>0</v>
      </c>
    </row>
    <row r="44" spans="1:31" x14ac:dyDescent="0.25">
      <c r="A44" s="3">
        <v>0</v>
      </c>
      <c r="B44" s="3">
        <v>14</v>
      </c>
      <c r="C44" s="3">
        <v>1</v>
      </c>
      <c r="D44">
        <v>0</v>
      </c>
      <c r="E44">
        <v>0</v>
      </c>
      <c r="F44">
        <v>0</v>
      </c>
      <c r="I44" s="3">
        <v>0</v>
      </c>
      <c r="J44" s="3">
        <v>14</v>
      </c>
      <c r="K44" s="3">
        <v>1</v>
      </c>
      <c r="L44">
        <v>0</v>
      </c>
      <c r="M44">
        <v>0</v>
      </c>
      <c r="N44">
        <v>0</v>
      </c>
      <c r="O44">
        <v>0</v>
      </c>
      <c r="Q44" s="3">
        <v>0</v>
      </c>
      <c r="R44" s="3">
        <v>14</v>
      </c>
      <c r="S44" s="3">
        <v>1</v>
      </c>
      <c r="T44">
        <v>90</v>
      </c>
      <c r="U44">
        <v>2.017E-2</v>
      </c>
      <c r="V44">
        <v>2.1</v>
      </c>
      <c r="W44">
        <v>0</v>
      </c>
      <c r="Y44" s="3">
        <v>0</v>
      </c>
      <c r="Z44" s="3">
        <v>14</v>
      </c>
      <c r="AA44" s="3">
        <v>1</v>
      </c>
      <c r="AB44">
        <v>90</v>
      </c>
      <c r="AC44">
        <v>2.017E-2</v>
      </c>
      <c r="AD44">
        <v>2.1</v>
      </c>
      <c r="AE44">
        <v>0</v>
      </c>
    </row>
    <row r="45" spans="1:31" x14ac:dyDescent="0.25">
      <c r="A45" s="3">
        <v>0</v>
      </c>
      <c r="B45" s="3">
        <v>14</v>
      </c>
      <c r="C45" s="3">
        <v>2</v>
      </c>
      <c r="D45">
        <v>0</v>
      </c>
      <c r="E45">
        <v>0</v>
      </c>
      <c r="F45">
        <v>0</v>
      </c>
      <c r="I45" s="3">
        <v>0</v>
      </c>
      <c r="J45" s="3">
        <v>14</v>
      </c>
      <c r="K45" s="3">
        <v>2</v>
      </c>
      <c r="L45">
        <v>0</v>
      </c>
      <c r="M45">
        <v>0</v>
      </c>
      <c r="N45">
        <v>0</v>
      </c>
      <c r="O45">
        <v>0</v>
      </c>
      <c r="Q45" s="3">
        <v>0</v>
      </c>
      <c r="R45" s="3">
        <v>14</v>
      </c>
      <c r="S45" s="3">
        <v>2</v>
      </c>
      <c r="T45">
        <v>90</v>
      </c>
      <c r="U45">
        <v>2.017E-2</v>
      </c>
      <c r="V45">
        <v>2.1</v>
      </c>
      <c r="W45">
        <v>0</v>
      </c>
      <c r="Y45" s="3">
        <v>0</v>
      </c>
      <c r="Z45" s="3">
        <v>14</v>
      </c>
      <c r="AA45" s="3">
        <v>2</v>
      </c>
      <c r="AB45">
        <v>90</v>
      </c>
      <c r="AC45">
        <v>2.017E-2</v>
      </c>
      <c r="AD45">
        <v>2.1</v>
      </c>
      <c r="AE45">
        <v>0</v>
      </c>
    </row>
    <row r="46" spans="1:31" x14ac:dyDescent="0.25">
      <c r="A46" s="3">
        <v>0</v>
      </c>
      <c r="B46" s="3">
        <v>103</v>
      </c>
      <c r="C46" s="3">
        <v>1</v>
      </c>
      <c r="D46">
        <v>0</v>
      </c>
      <c r="E46">
        <v>0</v>
      </c>
      <c r="I46" s="3">
        <v>0</v>
      </c>
      <c r="J46" s="3">
        <v>103</v>
      </c>
      <c r="K46" s="3">
        <v>1</v>
      </c>
      <c r="L46">
        <v>0</v>
      </c>
      <c r="M46">
        <v>0</v>
      </c>
      <c r="Q46" s="3">
        <v>0</v>
      </c>
      <c r="R46" s="3">
        <v>103</v>
      </c>
      <c r="S46" s="3">
        <v>1</v>
      </c>
      <c r="T46">
        <v>90</v>
      </c>
      <c r="U46">
        <v>3.1489999999999997E-2</v>
      </c>
      <c r="Y46" s="3">
        <v>0</v>
      </c>
      <c r="Z46" s="3">
        <v>103</v>
      </c>
      <c r="AA46" s="3">
        <v>1</v>
      </c>
      <c r="AB46">
        <v>90</v>
      </c>
      <c r="AC46">
        <v>3.1489999999999997E-2</v>
      </c>
    </row>
    <row r="47" spans="1:31" x14ac:dyDescent="0.25">
      <c r="A47" s="3">
        <v>0</v>
      </c>
      <c r="B47" s="3">
        <v>104</v>
      </c>
      <c r="C47" s="3">
        <v>1</v>
      </c>
      <c r="D47">
        <v>0</v>
      </c>
      <c r="E47">
        <v>0</v>
      </c>
      <c r="I47" s="3">
        <v>0</v>
      </c>
      <c r="J47" s="3">
        <v>104</v>
      </c>
      <c r="K47" s="3">
        <v>1</v>
      </c>
      <c r="L47">
        <v>0</v>
      </c>
      <c r="M47">
        <v>0</v>
      </c>
      <c r="Q47" s="3">
        <v>0</v>
      </c>
      <c r="R47" s="3">
        <v>104</v>
      </c>
      <c r="S47" s="3">
        <v>1</v>
      </c>
      <c r="T47">
        <v>90</v>
      </c>
      <c r="U47">
        <v>2.017E-2</v>
      </c>
      <c r="Y47" s="3">
        <v>0</v>
      </c>
      <c r="Z47" s="3">
        <v>104</v>
      </c>
      <c r="AA47" s="3">
        <v>1</v>
      </c>
      <c r="AB47">
        <v>90</v>
      </c>
      <c r="AC47">
        <v>2.017E-2</v>
      </c>
    </row>
    <row r="48" spans="1:31" x14ac:dyDescent="0.25">
      <c r="A48" s="3">
        <v>0</v>
      </c>
      <c r="B48" s="3">
        <v>110</v>
      </c>
      <c r="C48" s="3">
        <v>1</v>
      </c>
      <c r="D48">
        <v>0</v>
      </c>
      <c r="E48">
        <v>0</v>
      </c>
      <c r="I48" s="3">
        <v>0</v>
      </c>
      <c r="J48" s="3">
        <v>110</v>
      </c>
      <c r="K48" s="3">
        <v>1</v>
      </c>
      <c r="L48">
        <v>0</v>
      </c>
      <c r="M48">
        <v>0</v>
      </c>
      <c r="Q48" s="3">
        <v>0</v>
      </c>
      <c r="R48" s="3">
        <v>110</v>
      </c>
      <c r="S48" s="3">
        <v>1</v>
      </c>
      <c r="T48">
        <v>90</v>
      </c>
      <c r="U48">
        <v>2.017E-2</v>
      </c>
      <c r="Y48" s="3">
        <v>0</v>
      </c>
      <c r="Z48" s="3">
        <v>110</v>
      </c>
      <c r="AA48" s="3">
        <v>1</v>
      </c>
      <c r="AB48">
        <v>90</v>
      </c>
      <c r="AC48">
        <v>2.017E-2</v>
      </c>
    </row>
    <row r="49" spans="1:29" x14ac:dyDescent="0.25">
      <c r="A49" s="3">
        <v>0</v>
      </c>
      <c r="B49" s="3">
        <v>114</v>
      </c>
      <c r="C49" s="3">
        <v>1</v>
      </c>
      <c r="D49">
        <v>0</v>
      </c>
      <c r="E49">
        <v>0</v>
      </c>
      <c r="I49" s="3">
        <v>0</v>
      </c>
      <c r="J49" s="3">
        <v>114</v>
      </c>
      <c r="K49" s="3">
        <v>1</v>
      </c>
      <c r="L49">
        <v>0</v>
      </c>
      <c r="M49">
        <v>0</v>
      </c>
      <c r="Q49" s="3">
        <v>0</v>
      </c>
      <c r="R49" s="3">
        <v>114</v>
      </c>
      <c r="S49" s="3">
        <v>1</v>
      </c>
      <c r="T49">
        <v>90</v>
      </c>
      <c r="U49">
        <v>2.017E-2</v>
      </c>
      <c r="Y49" s="3">
        <v>0</v>
      </c>
      <c r="Z49" s="3">
        <v>114</v>
      </c>
      <c r="AA49" s="3">
        <v>1</v>
      </c>
      <c r="AB49">
        <v>90</v>
      </c>
      <c r="AC49">
        <v>2.017E-2</v>
      </c>
    </row>
    <row r="50" spans="1:29" x14ac:dyDescent="0.25">
      <c r="A50" s="3">
        <v>180</v>
      </c>
      <c r="B50" s="3">
        <v>1</v>
      </c>
      <c r="C50" s="3">
        <v>1</v>
      </c>
      <c r="D50">
        <v>2.22222222222178E-2</v>
      </c>
      <c r="E50">
        <v>9.9009900990094976E-2</v>
      </c>
      <c r="I50" s="3">
        <v>180</v>
      </c>
      <c r="J50" s="3">
        <v>1</v>
      </c>
      <c r="K50" s="3">
        <v>1</v>
      </c>
      <c r="L50">
        <v>-1.9999999999996021E-2</v>
      </c>
      <c r="M50">
        <v>-1.9999999999999188E-5</v>
      </c>
      <c r="Q50" s="3">
        <v>180</v>
      </c>
      <c r="R50" s="3">
        <v>1</v>
      </c>
      <c r="S50" s="3">
        <v>1</v>
      </c>
      <c r="T50">
        <v>89.98</v>
      </c>
      <c r="U50">
        <v>2.018E-2</v>
      </c>
      <c r="V50">
        <v>-0.2</v>
      </c>
      <c r="W50">
        <v>0.4</v>
      </c>
      <c r="Y50" s="3">
        <v>180</v>
      </c>
      <c r="Z50" s="3">
        <v>1</v>
      </c>
      <c r="AA50" s="3">
        <v>1</v>
      </c>
      <c r="AB50">
        <v>90</v>
      </c>
      <c r="AC50">
        <v>2.0199999999999999E-2</v>
      </c>
    </row>
    <row r="51" spans="1:29" x14ac:dyDescent="0.25">
      <c r="A51" s="3">
        <v>180</v>
      </c>
      <c r="B51" s="3">
        <v>2</v>
      </c>
      <c r="C51" s="3">
        <v>1</v>
      </c>
      <c r="D51">
        <v>3.3333333333334603E-2</v>
      </c>
      <c r="E51">
        <v>9.9009900990094976E-2</v>
      </c>
      <c r="I51" s="3">
        <v>180</v>
      </c>
      <c r="J51" s="3">
        <v>2</v>
      </c>
      <c r="K51" s="3">
        <v>1</v>
      </c>
      <c r="L51">
        <v>-3.000000000000114E-2</v>
      </c>
      <c r="M51">
        <v>-1.9999999999999188E-5</v>
      </c>
      <c r="Q51" s="3">
        <v>180</v>
      </c>
      <c r="R51" s="3">
        <v>2</v>
      </c>
      <c r="S51" s="3">
        <v>1</v>
      </c>
      <c r="T51">
        <v>89.97</v>
      </c>
      <c r="U51">
        <v>2.018E-2</v>
      </c>
      <c r="V51">
        <v>-0.2</v>
      </c>
      <c r="W51">
        <v>0.4</v>
      </c>
      <c r="Y51" s="3">
        <v>180</v>
      </c>
      <c r="Z51" s="3">
        <v>2</v>
      </c>
      <c r="AA51" s="3">
        <v>1</v>
      </c>
      <c r="AB51">
        <v>90</v>
      </c>
      <c r="AC51">
        <v>2.0199999999999999E-2</v>
      </c>
    </row>
    <row r="52" spans="1:29" x14ac:dyDescent="0.25">
      <c r="A52" s="3">
        <v>180</v>
      </c>
      <c r="B52" s="3">
        <v>3</v>
      </c>
      <c r="C52" s="3">
        <v>1</v>
      </c>
      <c r="D52">
        <v>1.1098779134285129E-2</v>
      </c>
      <c r="E52">
        <v>0</v>
      </c>
      <c r="I52" s="3">
        <v>180</v>
      </c>
      <c r="J52" s="3">
        <v>3</v>
      </c>
      <c r="K52" s="3">
        <v>1</v>
      </c>
      <c r="L52">
        <v>-9.9999999999909051E-3</v>
      </c>
      <c r="M52">
        <v>0</v>
      </c>
      <c r="Q52" s="3">
        <v>180</v>
      </c>
      <c r="R52" s="3">
        <v>3</v>
      </c>
      <c r="S52" s="3">
        <v>1</v>
      </c>
      <c r="T52">
        <v>90.09</v>
      </c>
      <c r="U52">
        <v>2.0199999999999999E-2</v>
      </c>
      <c r="V52">
        <v>-0.5</v>
      </c>
      <c r="W52">
        <v>0.9</v>
      </c>
      <c r="Y52" s="3">
        <v>180</v>
      </c>
      <c r="Z52" s="3">
        <v>3</v>
      </c>
      <c r="AA52" s="3">
        <v>1</v>
      </c>
      <c r="AB52">
        <v>90.1</v>
      </c>
      <c r="AC52">
        <v>2.0199999999999999E-2</v>
      </c>
    </row>
    <row r="53" spans="1:29" x14ac:dyDescent="0.25">
      <c r="A53" s="3">
        <v>180</v>
      </c>
      <c r="B53" s="3">
        <v>3</v>
      </c>
      <c r="C53" s="3">
        <v>2</v>
      </c>
      <c r="I53" s="3">
        <v>180</v>
      </c>
      <c r="J53" s="3">
        <v>3</v>
      </c>
      <c r="K53" s="3">
        <v>2</v>
      </c>
      <c r="Q53" s="3">
        <v>180</v>
      </c>
      <c r="R53" s="3">
        <v>3</v>
      </c>
      <c r="S53" s="3">
        <v>2</v>
      </c>
      <c r="T53">
        <v>90.5</v>
      </c>
      <c r="U53">
        <v>2.0230000000000001E-2</v>
      </c>
      <c r="V53">
        <v>-0.6</v>
      </c>
      <c r="W53">
        <v>0.9</v>
      </c>
      <c r="Y53" s="3">
        <v>180</v>
      </c>
      <c r="Z53" s="3">
        <v>4</v>
      </c>
      <c r="AA53" s="3">
        <v>1</v>
      </c>
      <c r="AB53">
        <v>94.1</v>
      </c>
      <c r="AC53">
        <v>1.8800000000000001E-2</v>
      </c>
    </row>
    <row r="54" spans="1:29" x14ac:dyDescent="0.25">
      <c r="A54" s="3">
        <v>180</v>
      </c>
      <c r="B54" s="3">
        <v>4</v>
      </c>
      <c r="C54" s="3">
        <v>1</v>
      </c>
      <c r="D54">
        <v>0</v>
      </c>
      <c r="E54">
        <v>0</v>
      </c>
      <c r="I54" s="3">
        <v>180</v>
      </c>
      <c r="J54" s="3">
        <v>4</v>
      </c>
      <c r="K54" s="3">
        <v>1</v>
      </c>
      <c r="L54">
        <v>0</v>
      </c>
      <c r="M54">
        <v>0</v>
      </c>
      <c r="Q54" s="3">
        <v>180</v>
      </c>
      <c r="R54" s="3">
        <v>4</v>
      </c>
      <c r="S54" s="3">
        <v>1</v>
      </c>
      <c r="T54">
        <v>94.1</v>
      </c>
      <c r="U54">
        <v>1.8800000000000001E-2</v>
      </c>
      <c r="V54">
        <v>-4.9000000000000004</v>
      </c>
      <c r="W54">
        <v>8.6999999999999993</v>
      </c>
      <c r="Y54" s="3">
        <v>180</v>
      </c>
      <c r="Z54" s="3">
        <v>5</v>
      </c>
      <c r="AA54" s="3">
        <v>1</v>
      </c>
      <c r="AB54">
        <v>91.4</v>
      </c>
      <c r="AC54">
        <v>2.0299999999999999E-2</v>
      </c>
    </row>
    <row r="55" spans="1:29" x14ac:dyDescent="0.25">
      <c r="A55" s="3">
        <v>180</v>
      </c>
      <c r="B55" s="3">
        <v>4</v>
      </c>
      <c r="C55" s="3">
        <v>2</v>
      </c>
      <c r="I55" s="3">
        <v>180</v>
      </c>
      <c r="J55" s="3">
        <v>4</v>
      </c>
      <c r="K55" s="3">
        <v>2</v>
      </c>
      <c r="Q55" s="3">
        <v>180</v>
      </c>
      <c r="R55" s="3">
        <v>4</v>
      </c>
      <c r="S55" s="3">
        <v>2</v>
      </c>
      <c r="T55">
        <v>94.06</v>
      </c>
      <c r="U55">
        <v>1.8839999999999999E-2</v>
      </c>
      <c r="V55">
        <v>-4.9000000000000004</v>
      </c>
      <c r="W55">
        <v>8.6999999999999993</v>
      </c>
      <c r="Y55" s="3">
        <v>180</v>
      </c>
      <c r="Z55" s="3">
        <v>6</v>
      </c>
      <c r="AA55" s="3">
        <v>1</v>
      </c>
      <c r="AB55">
        <v>94.2</v>
      </c>
      <c r="AC55">
        <v>1.83E-2</v>
      </c>
    </row>
    <row r="56" spans="1:29" x14ac:dyDescent="0.25">
      <c r="A56" s="3">
        <v>180</v>
      </c>
      <c r="B56" s="3">
        <v>4</v>
      </c>
      <c r="C56" s="3">
        <v>3</v>
      </c>
      <c r="I56" s="3">
        <v>180</v>
      </c>
      <c r="J56" s="3">
        <v>4</v>
      </c>
      <c r="K56" s="3">
        <v>3</v>
      </c>
      <c r="Q56" s="3">
        <v>180</v>
      </c>
      <c r="R56" s="3">
        <v>4</v>
      </c>
      <c r="S56" s="3">
        <v>3</v>
      </c>
      <c r="T56">
        <v>94.06</v>
      </c>
      <c r="U56">
        <v>1.8720000000000001E-2</v>
      </c>
      <c r="V56">
        <v>-5</v>
      </c>
      <c r="W56">
        <v>8.8000000000000007</v>
      </c>
      <c r="Y56" s="3">
        <v>180</v>
      </c>
      <c r="Z56" s="3">
        <v>7</v>
      </c>
      <c r="AA56" s="3">
        <v>1</v>
      </c>
      <c r="AB56">
        <v>95.5</v>
      </c>
      <c r="AC56">
        <v>1.67E-2</v>
      </c>
    </row>
    <row r="57" spans="1:29" x14ac:dyDescent="0.25">
      <c r="A57" s="3">
        <v>180</v>
      </c>
      <c r="B57" s="3">
        <v>5</v>
      </c>
      <c r="C57" s="3">
        <v>1</v>
      </c>
      <c r="D57">
        <v>1.0940919037204721E-2</v>
      </c>
      <c r="E57">
        <v>0.14778325123152111</v>
      </c>
      <c r="I57" s="3">
        <v>180</v>
      </c>
      <c r="J57" s="3">
        <v>5</v>
      </c>
      <c r="K57" s="3">
        <v>1</v>
      </c>
      <c r="L57">
        <v>-1.0000000000005119E-2</v>
      </c>
      <c r="M57">
        <v>-2.9999999999998781E-5</v>
      </c>
      <c r="Q57" s="3">
        <v>180</v>
      </c>
      <c r="R57" s="3">
        <v>5</v>
      </c>
      <c r="S57" s="3">
        <v>1</v>
      </c>
      <c r="T57">
        <v>91.39</v>
      </c>
      <c r="U57">
        <v>2.027E-2</v>
      </c>
      <c r="V57">
        <v>-1.1000000000000001</v>
      </c>
      <c r="W57">
        <v>1.5</v>
      </c>
      <c r="Y57" s="3">
        <v>180</v>
      </c>
      <c r="Z57" s="3">
        <v>8</v>
      </c>
      <c r="AA57" s="3">
        <v>1</v>
      </c>
      <c r="AB57">
        <v>91.6</v>
      </c>
      <c r="AC57">
        <v>1.77E-2</v>
      </c>
    </row>
    <row r="58" spans="1:29" x14ac:dyDescent="0.25">
      <c r="A58" s="3">
        <v>180</v>
      </c>
      <c r="B58" s="3">
        <v>5</v>
      </c>
      <c r="C58" s="3">
        <v>2</v>
      </c>
      <c r="I58" s="3">
        <v>180</v>
      </c>
      <c r="J58" s="3">
        <v>5</v>
      </c>
      <c r="K58" s="3">
        <v>2</v>
      </c>
      <c r="Q58" s="3">
        <v>180</v>
      </c>
      <c r="R58" s="3">
        <v>5</v>
      </c>
      <c r="S58" s="3">
        <v>2</v>
      </c>
      <c r="T58">
        <v>92.22</v>
      </c>
      <c r="U58">
        <v>2.027E-2</v>
      </c>
      <c r="V58">
        <v>-1.1000000000000001</v>
      </c>
      <c r="W58">
        <v>1.5</v>
      </c>
      <c r="Y58" s="3">
        <v>180</v>
      </c>
      <c r="Z58" s="3">
        <v>9</v>
      </c>
      <c r="AA58" s="3">
        <v>1</v>
      </c>
      <c r="AB58">
        <v>95.7</v>
      </c>
      <c r="AC58">
        <v>1.67E-2</v>
      </c>
    </row>
    <row r="59" spans="1:29" x14ac:dyDescent="0.25">
      <c r="A59" s="3">
        <v>180</v>
      </c>
      <c r="B59" s="3">
        <v>5</v>
      </c>
      <c r="C59" s="3">
        <v>3</v>
      </c>
      <c r="I59" s="3">
        <v>180</v>
      </c>
      <c r="J59" s="3">
        <v>5</v>
      </c>
      <c r="K59" s="3">
        <v>3</v>
      </c>
      <c r="Q59" s="3">
        <v>180</v>
      </c>
      <c r="R59" s="3">
        <v>5</v>
      </c>
      <c r="S59" s="3">
        <v>3</v>
      </c>
      <c r="T59">
        <v>93.41</v>
      </c>
      <c r="U59">
        <v>1.9820000000000001E-2</v>
      </c>
      <c r="V59">
        <v>-1.3</v>
      </c>
      <c r="W59">
        <v>1.7</v>
      </c>
      <c r="Y59" s="3">
        <v>180</v>
      </c>
      <c r="Z59" s="3">
        <v>10</v>
      </c>
      <c r="AA59" s="3">
        <v>1</v>
      </c>
      <c r="AB59">
        <v>91.3</v>
      </c>
      <c r="AC59">
        <v>1.7899999999999999E-2</v>
      </c>
    </row>
    <row r="60" spans="1:29" x14ac:dyDescent="0.25">
      <c r="A60" s="3">
        <v>180</v>
      </c>
      <c r="B60" s="3">
        <v>6</v>
      </c>
      <c r="C60" s="3">
        <v>1</v>
      </c>
      <c r="D60">
        <v>0</v>
      </c>
      <c r="E60">
        <v>0.21857923497266871</v>
      </c>
      <c r="I60" s="3">
        <v>180</v>
      </c>
      <c r="J60" s="3">
        <v>6</v>
      </c>
      <c r="K60" s="3">
        <v>1</v>
      </c>
      <c r="L60">
        <v>0</v>
      </c>
      <c r="M60">
        <v>3.999999999999837E-5</v>
      </c>
      <c r="Q60" s="3">
        <v>180</v>
      </c>
      <c r="R60" s="3">
        <v>6</v>
      </c>
      <c r="S60" s="3">
        <v>1</v>
      </c>
      <c r="T60">
        <v>94.2</v>
      </c>
      <c r="U60">
        <v>1.8339999999999999E-2</v>
      </c>
      <c r="V60">
        <v>-5</v>
      </c>
      <c r="W60">
        <v>8.6999999999999993</v>
      </c>
      <c r="Y60" s="3">
        <v>180</v>
      </c>
      <c r="Z60" s="3">
        <v>11</v>
      </c>
      <c r="AA60" s="3">
        <v>1</v>
      </c>
      <c r="AB60">
        <v>97.8</v>
      </c>
      <c r="AC60">
        <v>1.89E-2</v>
      </c>
    </row>
    <row r="61" spans="1:29" x14ac:dyDescent="0.25">
      <c r="A61" s="3">
        <v>180</v>
      </c>
      <c r="B61" s="3">
        <v>6</v>
      </c>
      <c r="C61" s="3">
        <v>2</v>
      </c>
      <c r="I61" s="3">
        <v>180</v>
      </c>
      <c r="J61" s="3">
        <v>6</v>
      </c>
      <c r="K61" s="3">
        <v>2</v>
      </c>
      <c r="Q61" s="3">
        <v>180</v>
      </c>
      <c r="R61" s="3">
        <v>6</v>
      </c>
      <c r="S61" s="3">
        <v>2</v>
      </c>
      <c r="T61">
        <v>94.33</v>
      </c>
      <c r="U61">
        <v>1.7780000000000001E-2</v>
      </c>
      <c r="V61">
        <v>-5.4</v>
      </c>
      <c r="W61">
        <v>9</v>
      </c>
      <c r="Y61" s="3">
        <v>180</v>
      </c>
      <c r="Z61" s="3">
        <v>12</v>
      </c>
      <c r="AA61" s="3">
        <v>1</v>
      </c>
      <c r="AB61">
        <v>99.6</v>
      </c>
      <c r="AC61">
        <v>1.9400000000000001E-2</v>
      </c>
    </row>
    <row r="62" spans="1:29" x14ac:dyDescent="0.25">
      <c r="A62" s="3">
        <v>180</v>
      </c>
      <c r="B62" s="3">
        <v>6</v>
      </c>
      <c r="C62" s="3">
        <v>3</v>
      </c>
      <c r="I62" s="3">
        <v>180</v>
      </c>
      <c r="J62" s="3">
        <v>6</v>
      </c>
      <c r="K62" s="3">
        <v>3</v>
      </c>
      <c r="Q62" s="3">
        <v>180</v>
      </c>
      <c r="R62" s="3">
        <v>6</v>
      </c>
      <c r="S62" s="3">
        <v>3</v>
      </c>
      <c r="T62">
        <v>94.84</v>
      </c>
      <c r="U62">
        <v>1.7129999999999999E-2</v>
      </c>
      <c r="V62">
        <v>-6</v>
      </c>
      <c r="W62">
        <v>9.6</v>
      </c>
      <c r="Y62" s="3">
        <v>180</v>
      </c>
      <c r="Z62" s="3">
        <v>13</v>
      </c>
      <c r="AA62" s="3">
        <v>1</v>
      </c>
      <c r="AB62">
        <v>93.3</v>
      </c>
      <c r="AC62">
        <v>2.0199999999999999E-2</v>
      </c>
    </row>
    <row r="63" spans="1:29" x14ac:dyDescent="0.25">
      <c r="A63" s="3">
        <v>180</v>
      </c>
      <c r="B63" s="3">
        <v>7</v>
      </c>
      <c r="C63" s="3">
        <v>1</v>
      </c>
      <c r="D63">
        <v>4.1884816753933247E-2</v>
      </c>
      <c r="E63">
        <v>0.17964071856286701</v>
      </c>
      <c r="I63" s="3">
        <v>180</v>
      </c>
      <c r="J63" s="3">
        <v>7</v>
      </c>
      <c r="K63" s="3">
        <v>1</v>
      </c>
      <c r="L63">
        <v>4.0000000000006253E-2</v>
      </c>
      <c r="M63">
        <v>2.9999999999998781E-5</v>
      </c>
      <c r="Q63" s="3">
        <v>180</v>
      </c>
      <c r="R63" s="3">
        <v>7</v>
      </c>
      <c r="S63" s="3">
        <v>1</v>
      </c>
      <c r="T63">
        <v>95.54</v>
      </c>
      <c r="U63">
        <v>1.6729999999999998E-2</v>
      </c>
      <c r="V63">
        <v>99.6</v>
      </c>
      <c r="W63">
        <v>19.5</v>
      </c>
      <c r="Y63" s="3">
        <v>180</v>
      </c>
      <c r="Z63" s="3">
        <v>14</v>
      </c>
      <c r="AA63" s="3">
        <v>1</v>
      </c>
      <c r="AB63">
        <v>91.2</v>
      </c>
      <c r="AC63">
        <v>2.0199999999999999E-2</v>
      </c>
    </row>
    <row r="64" spans="1:29" x14ac:dyDescent="0.25">
      <c r="A64" s="3">
        <v>180</v>
      </c>
      <c r="B64" s="3">
        <v>8</v>
      </c>
      <c r="C64" s="3">
        <v>1</v>
      </c>
      <c r="D64">
        <v>2.1834061135366841E-2</v>
      </c>
      <c r="E64">
        <v>0.16949152542372189</v>
      </c>
      <c r="I64" s="3">
        <v>180</v>
      </c>
      <c r="J64" s="3">
        <v>8</v>
      </c>
      <c r="K64" s="3">
        <v>1</v>
      </c>
      <c r="L64">
        <v>-1.9999999999996021E-2</v>
      </c>
      <c r="M64">
        <v>-2.9999999999998781E-5</v>
      </c>
      <c r="Q64" s="3">
        <v>180</v>
      </c>
      <c r="R64" s="3">
        <v>8</v>
      </c>
      <c r="S64" s="3">
        <v>1</v>
      </c>
      <c r="T64">
        <v>91.58</v>
      </c>
      <c r="U64">
        <v>1.7670000000000002E-2</v>
      </c>
      <c r="V64">
        <v>22.9</v>
      </c>
      <c r="W64">
        <v>0</v>
      </c>
      <c r="Y64" s="3">
        <v>180</v>
      </c>
      <c r="Z64" s="3">
        <v>103</v>
      </c>
      <c r="AA64" s="3">
        <v>1</v>
      </c>
      <c r="AB64">
        <v>90.7</v>
      </c>
      <c r="AC64">
        <v>2.0199999999999999E-2</v>
      </c>
    </row>
    <row r="65" spans="1:31" x14ac:dyDescent="0.25">
      <c r="A65" s="3">
        <v>180</v>
      </c>
      <c r="B65" s="3">
        <v>8</v>
      </c>
      <c r="C65" s="3">
        <v>2</v>
      </c>
      <c r="I65" s="3">
        <v>180</v>
      </c>
      <c r="J65" s="3">
        <v>8</v>
      </c>
      <c r="K65" s="3">
        <v>2</v>
      </c>
      <c r="Q65" s="3">
        <v>180</v>
      </c>
      <c r="R65" s="3">
        <v>8</v>
      </c>
      <c r="S65" s="3">
        <v>2</v>
      </c>
      <c r="T65">
        <v>91.1</v>
      </c>
      <c r="U65">
        <v>1.8780000000000002E-2</v>
      </c>
      <c r="V65">
        <v>22.9</v>
      </c>
      <c r="W65">
        <v>0</v>
      </c>
      <c r="Y65" s="3">
        <v>180</v>
      </c>
      <c r="Z65" s="3">
        <v>104</v>
      </c>
      <c r="AA65" s="3">
        <v>1</v>
      </c>
      <c r="AB65">
        <v>90.1</v>
      </c>
      <c r="AC65">
        <v>0.02</v>
      </c>
    </row>
    <row r="66" spans="1:31" x14ac:dyDescent="0.25">
      <c r="A66" s="3">
        <v>180</v>
      </c>
      <c r="B66" s="3">
        <v>9</v>
      </c>
      <c r="C66" s="3">
        <v>1</v>
      </c>
      <c r="D66">
        <v>3.1347962382446332E-2</v>
      </c>
      <c r="E66">
        <v>0.23952095808384341</v>
      </c>
      <c r="I66" s="3">
        <v>180</v>
      </c>
      <c r="J66" s="3">
        <v>9</v>
      </c>
      <c r="K66" s="3">
        <v>1</v>
      </c>
      <c r="L66">
        <v>3.000000000000114E-2</v>
      </c>
      <c r="M66">
        <v>4.000000000000184E-5</v>
      </c>
      <c r="Q66" s="3">
        <v>180</v>
      </c>
      <c r="R66" s="3">
        <v>9</v>
      </c>
      <c r="S66" s="3">
        <v>1</v>
      </c>
      <c r="T66">
        <v>95.73</v>
      </c>
      <c r="U66">
        <v>1.6740000000000001E-2</v>
      </c>
      <c r="V66">
        <v>197.2</v>
      </c>
      <c r="W66">
        <v>22.5</v>
      </c>
      <c r="Y66" s="3">
        <v>180</v>
      </c>
      <c r="Z66" s="3">
        <v>110</v>
      </c>
      <c r="AA66" s="3">
        <v>1</v>
      </c>
      <c r="AB66">
        <v>90.5</v>
      </c>
      <c r="AC66">
        <v>1.9199999999999998E-2</v>
      </c>
    </row>
    <row r="67" spans="1:31" x14ac:dyDescent="0.25">
      <c r="A67" s="3">
        <v>180</v>
      </c>
      <c r="B67" s="3">
        <v>9</v>
      </c>
      <c r="C67" s="3">
        <v>2</v>
      </c>
      <c r="I67" s="3">
        <v>180</v>
      </c>
      <c r="J67" s="3">
        <v>9</v>
      </c>
      <c r="K67" s="3">
        <v>2</v>
      </c>
      <c r="Q67" s="3">
        <v>180</v>
      </c>
      <c r="R67" s="3">
        <v>9</v>
      </c>
      <c r="S67" s="3">
        <v>2</v>
      </c>
      <c r="T67">
        <v>96.27</v>
      </c>
      <c r="U67">
        <v>1.7080000000000001E-2</v>
      </c>
      <c r="V67">
        <v>313</v>
      </c>
      <c r="W67">
        <v>22.8</v>
      </c>
      <c r="Y67" s="3">
        <v>180</v>
      </c>
      <c r="Z67" s="3">
        <v>114</v>
      </c>
      <c r="AA67" s="3">
        <v>1</v>
      </c>
      <c r="AB67">
        <v>93.7</v>
      </c>
      <c r="AC67">
        <v>2.0199999999999999E-2</v>
      </c>
    </row>
    <row r="68" spans="1:31" x14ac:dyDescent="0.25">
      <c r="A68" s="3">
        <v>180</v>
      </c>
      <c r="B68" s="3">
        <v>9</v>
      </c>
      <c r="C68" s="3">
        <v>3</v>
      </c>
      <c r="I68" s="3">
        <v>180</v>
      </c>
      <c r="J68" s="3">
        <v>9</v>
      </c>
      <c r="K68" s="3">
        <v>3</v>
      </c>
      <c r="Q68" s="3">
        <v>180</v>
      </c>
      <c r="R68" s="3">
        <v>9</v>
      </c>
      <c r="S68" s="3">
        <v>3</v>
      </c>
      <c r="T68">
        <v>96.8</v>
      </c>
      <c r="U68">
        <v>1.7610000000000001E-2</v>
      </c>
      <c r="V68">
        <v>313.10000000000002</v>
      </c>
      <c r="W68">
        <v>22.8</v>
      </c>
      <c r="Y68" s="3">
        <v>270</v>
      </c>
      <c r="Z68" s="3">
        <v>1</v>
      </c>
      <c r="AA68" s="3">
        <v>1</v>
      </c>
      <c r="AB68">
        <v>89.98</v>
      </c>
      <c r="AC68">
        <v>2.018E-2</v>
      </c>
      <c r="AD68">
        <v>-0.2</v>
      </c>
      <c r="AE68">
        <v>0.4</v>
      </c>
    </row>
    <row r="69" spans="1:31" x14ac:dyDescent="0.25">
      <c r="A69" s="3">
        <v>180</v>
      </c>
      <c r="B69" s="3">
        <v>9</v>
      </c>
      <c r="C69" s="3">
        <v>4</v>
      </c>
      <c r="I69" s="3">
        <v>180</v>
      </c>
      <c r="J69" s="3">
        <v>9</v>
      </c>
      <c r="K69" s="3">
        <v>4</v>
      </c>
      <c r="Q69" s="3">
        <v>180</v>
      </c>
      <c r="R69" s="3">
        <v>9</v>
      </c>
      <c r="S69" s="3">
        <v>4</v>
      </c>
      <c r="T69">
        <v>96.97</v>
      </c>
      <c r="U69">
        <v>1.8149999999999999E-2</v>
      </c>
      <c r="V69">
        <v>313.2</v>
      </c>
      <c r="W69">
        <v>22.6</v>
      </c>
      <c r="Y69" s="3">
        <v>270</v>
      </c>
      <c r="Z69" s="3">
        <v>2</v>
      </c>
      <c r="AA69" s="3">
        <v>1</v>
      </c>
      <c r="AB69">
        <v>89.97</v>
      </c>
      <c r="AC69">
        <v>2.018E-2</v>
      </c>
      <c r="AD69">
        <v>-0.2</v>
      </c>
      <c r="AE69">
        <v>0.4</v>
      </c>
    </row>
    <row r="70" spans="1:31" x14ac:dyDescent="0.25">
      <c r="A70" s="3">
        <v>180</v>
      </c>
      <c r="B70" s="3">
        <v>10</v>
      </c>
      <c r="C70" s="3">
        <v>1</v>
      </c>
      <c r="D70">
        <v>2.1905805038330801E-2</v>
      </c>
      <c r="E70">
        <v>0.2234636871508483</v>
      </c>
      <c r="I70" s="3">
        <v>180</v>
      </c>
      <c r="J70" s="3">
        <v>10</v>
      </c>
      <c r="K70" s="3">
        <v>1</v>
      </c>
      <c r="L70">
        <v>-1.9999999999996021E-2</v>
      </c>
      <c r="M70">
        <v>4.000000000000184E-5</v>
      </c>
      <c r="Q70" s="3">
        <v>180</v>
      </c>
      <c r="R70" s="3">
        <v>10</v>
      </c>
      <c r="S70" s="3">
        <v>1</v>
      </c>
      <c r="T70">
        <v>91.28</v>
      </c>
      <c r="U70">
        <v>1.7940000000000001E-2</v>
      </c>
      <c r="V70">
        <v>22.9</v>
      </c>
      <c r="W70">
        <v>0</v>
      </c>
      <c r="Y70" s="3">
        <v>270</v>
      </c>
      <c r="Z70" s="3">
        <v>3</v>
      </c>
      <c r="AA70" s="3">
        <v>1</v>
      </c>
      <c r="AB70">
        <v>90.09</v>
      </c>
      <c r="AC70">
        <v>2.0199999999999999E-2</v>
      </c>
      <c r="AD70">
        <v>-0.5</v>
      </c>
      <c r="AE70">
        <v>0.9</v>
      </c>
    </row>
    <row r="71" spans="1:31" x14ac:dyDescent="0.25">
      <c r="A71" s="3">
        <v>180</v>
      </c>
      <c r="B71" s="3">
        <v>10</v>
      </c>
      <c r="C71" s="3">
        <v>2</v>
      </c>
      <c r="I71" s="3">
        <v>180</v>
      </c>
      <c r="J71" s="3">
        <v>10</v>
      </c>
      <c r="K71" s="3">
        <v>2</v>
      </c>
      <c r="Q71" s="3">
        <v>180</v>
      </c>
      <c r="R71" s="3">
        <v>10</v>
      </c>
      <c r="S71" s="3">
        <v>2</v>
      </c>
      <c r="T71">
        <v>92.4</v>
      </c>
      <c r="U71">
        <v>1.7330000000000002E-2</v>
      </c>
      <c r="V71">
        <v>22.9</v>
      </c>
      <c r="W71">
        <v>0</v>
      </c>
      <c r="Y71" s="3">
        <v>270</v>
      </c>
      <c r="Z71" s="3">
        <v>3</v>
      </c>
      <c r="AA71" s="3">
        <v>2</v>
      </c>
      <c r="AB71">
        <v>90.49</v>
      </c>
      <c r="AC71">
        <v>2.0230000000000001E-2</v>
      </c>
      <c r="AD71">
        <v>-0.6</v>
      </c>
      <c r="AE71">
        <v>1</v>
      </c>
    </row>
    <row r="72" spans="1:31" x14ac:dyDescent="0.25">
      <c r="A72" s="3">
        <v>180</v>
      </c>
      <c r="B72" s="3">
        <v>11</v>
      </c>
      <c r="C72" s="3">
        <v>1</v>
      </c>
      <c r="D72">
        <v>3.067484662576803E-2</v>
      </c>
      <c r="E72">
        <v>5.2910052910050763E-2</v>
      </c>
      <c r="I72" s="3">
        <v>180</v>
      </c>
      <c r="J72" s="3">
        <v>11</v>
      </c>
      <c r="K72" s="3">
        <v>1</v>
      </c>
      <c r="L72">
        <v>3.000000000000114E-2</v>
      </c>
      <c r="M72">
        <v>-9.9999999999995925E-6</v>
      </c>
      <c r="Q72" s="3">
        <v>180</v>
      </c>
      <c r="R72" s="3">
        <v>11</v>
      </c>
      <c r="S72" s="3">
        <v>1</v>
      </c>
      <c r="T72">
        <v>97.83</v>
      </c>
      <c r="U72">
        <v>1.8890000000000001E-2</v>
      </c>
      <c r="V72">
        <v>301</v>
      </c>
      <c r="W72">
        <v>20.399999999999999</v>
      </c>
      <c r="Y72" s="3">
        <v>270</v>
      </c>
      <c r="Z72" s="3">
        <v>4</v>
      </c>
      <c r="AA72" s="3">
        <v>1</v>
      </c>
      <c r="AB72">
        <v>95.11</v>
      </c>
      <c r="AC72">
        <v>1.9009999999999999E-2</v>
      </c>
      <c r="AD72">
        <v>-5.3</v>
      </c>
      <c r="AE72">
        <v>9.1</v>
      </c>
    </row>
    <row r="73" spans="1:31" x14ac:dyDescent="0.25">
      <c r="A73" s="3">
        <v>180</v>
      </c>
      <c r="B73" s="3">
        <v>12</v>
      </c>
      <c r="C73" s="3">
        <v>1</v>
      </c>
      <c r="D73">
        <v>2.0080321285136569E-2</v>
      </c>
      <c r="E73">
        <v>0.15463917525772569</v>
      </c>
      <c r="I73" s="3">
        <v>180</v>
      </c>
      <c r="J73" s="3">
        <v>12</v>
      </c>
      <c r="K73" s="3">
        <v>1</v>
      </c>
      <c r="L73">
        <v>-1.9999999999996021E-2</v>
      </c>
      <c r="M73">
        <v>2.9999999999998781E-5</v>
      </c>
      <c r="Q73" s="3">
        <v>180</v>
      </c>
      <c r="R73" s="3">
        <v>12</v>
      </c>
      <c r="S73" s="3">
        <v>1</v>
      </c>
      <c r="T73">
        <v>99.58</v>
      </c>
      <c r="U73">
        <v>1.9429999999999999E-2</v>
      </c>
      <c r="V73">
        <v>265.39999999999998</v>
      </c>
      <c r="W73">
        <v>8.6</v>
      </c>
      <c r="Y73" s="3">
        <v>270</v>
      </c>
      <c r="Z73" s="3">
        <v>4</v>
      </c>
      <c r="AA73" s="3">
        <v>2</v>
      </c>
      <c r="AB73">
        <v>95.16</v>
      </c>
      <c r="AC73">
        <v>1.9140000000000001E-2</v>
      </c>
      <c r="AD73">
        <v>-5.2</v>
      </c>
      <c r="AE73">
        <v>9</v>
      </c>
    </row>
    <row r="74" spans="1:31" x14ac:dyDescent="0.25">
      <c r="A74" s="3">
        <v>180</v>
      </c>
      <c r="B74" s="3">
        <v>12</v>
      </c>
      <c r="C74" s="3">
        <v>2</v>
      </c>
      <c r="I74" s="3">
        <v>180</v>
      </c>
      <c r="J74" s="3">
        <v>12</v>
      </c>
      <c r="K74" s="3">
        <v>2</v>
      </c>
      <c r="Q74" s="3">
        <v>180</v>
      </c>
      <c r="R74" s="3">
        <v>12</v>
      </c>
      <c r="S74" s="3">
        <v>2</v>
      </c>
      <c r="T74">
        <v>97.97</v>
      </c>
      <c r="U74">
        <v>1.992E-2</v>
      </c>
      <c r="V74">
        <v>-3.4</v>
      </c>
      <c r="W74">
        <v>6</v>
      </c>
      <c r="Y74" s="3">
        <v>270</v>
      </c>
      <c r="Z74" s="3">
        <v>4</v>
      </c>
      <c r="AA74" s="3">
        <v>3</v>
      </c>
      <c r="AB74">
        <v>95.37</v>
      </c>
      <c r="AC74">
        <v>1.916E-2</v>
      </c>
      <c r="AD74">
        <v>-5.3</v>
      </c>
      <c r="AE74">
        <v>9.1</v>
      </c>
    </row>
    <row r="75" spans="1:31" x14ac:dyDescent="0.25">
      <c r="A75" s="3">
        <v>180</v>
      </c>
      <c r="B75" s="3">
        <v>12</v>
      </c>
      <c r="C75" s="3">
        <v>3</v>
      </c>
      <c r="I75" s="3">
        <v>180</v>
      </c>
      <c r="J75" s="3">
        <v>12</v>
      </c>
      <c r="K75" s="3">
        <v>3</v>
      </c>
      <c r="Q75" s="3">
        <v>180</v>
      </c>
      <c r="R75" s="3">
        <v>12</v>
      </c>
      <c r="S75" s="3">
        <v>3</v>
      </c>
      <c r="T75">
        <v>95.52</v>
      </c>
      <c r="U75">
        <v>2.0160000000000001E-2</v>
      </c>
      <c r="V75">
        <v>-2.6</v>
      </c>
      <c r="W75">
        <v>5.3</v>
      </c>
      <c r="Y75" s="3">
        <v>270</v>
      </c>
      <c r="Z75" s="3">
        <v>5</v>
      </c>
      <c r="AA75" s="3">
        <v>1</v>
      </c>
      <c r="AB75">
        <v>91.39</v>
      </c>
      <c r="AC75">
        <v>2.026E-2</v>
      </c>
      <c r="AD75">
        <v>-1.1000000000000001</v>
      </c>
      <c r="AE75">
        <v>1.5</v>
      </c>
    </row>
    <row r="76" spans="1:31" x14ac:dyDescent="0.25">
      <c r="A76" s="3">
        <v>180</v>
      </c>
      <c r="B76" s="3">
        <v>13</v>
      </c>
      <c r="C76" s="3">
        <v>1</v>
      </c>
      <c r="D76">
        <v>1.071811361199454E-2</v>
      </c>
      <c r="E76">
        <v>0.14851485148515961</v>
      </c>
      <c r="I76" s="3">
        <v>180</v>
      </c>
      <c r="J76" s="3">
        <v>13</v>
      </c>
      <c r="K76" s="3">
        <v>1</v>
      </c>
      <c r="L76">
        <v>-9.9999999999909051E-3</v>
      </c>
      <c r="M76">
        <v>3.000000000000225E-5</v>
      </c>
      <c r="Q76" s="3">
        <v>180</v>
      </c>
      <c r="R76" s="3">
        <v>13</v>
      </c>
      <c r="S76" s="3">
        <v>1</v>
      </c>
      <c r="T76">
        <v>93.29</v>
      </c>
      <c r="U76">
        <v>2.0230000000000001E-2</v>
      </c>
      <c r="V76">
        <v>-3.8</v>
      </c>
      <c r="W76">
        <v>7.6</v>
      </c>
      <c r="Y76" s="3">
        <v>270</v>
      </c>
      <c r="Z76" s="3">
        <v>5</v>
      </c>
      <c r="AA76" s="3">
        <v>2</v>
      </c>
      <c r="AB76">
        <v>92.27</v>
      </c>
      <c r="AC76">
        <v>2.026E-2</v>
      </c>
      <c r="AD76">
        <v>-1.1000000000000001</v>
      </c>
      <c r="AE76">
        <v>1.5</v>
      </c>
    </row>
    <row r="77" spans="1:31" x14ac:dyDescent="0.25">
      <c r="A77" s="3">
        <v>180</v>
      </c>
      <c r="B77" s="3">
        <v>13</v>
      </c>
      <c r="C77" s="3">
        <v>2</v>
      </c>
      <c r="I77" s="3">
        <v>180</v>
      </c>
      <c r="J77" s="3">
        <v>13</v>
      </c>
      <c r="K77" s="3">
        <v>2</v>
      </c>
      <c r="Q77" s="3">
        <v>180</v>
      </c>
      <c r="R77" s="3">
        <v>13</v>
      </c>
      <c r="S77" s="3">
        <v>2</v>
      </c>
      <c r="T77">
        <v>92.02</v>
      </c>
      <c r="U77">
        <v>2.0209999999999999E-2</v>
      </c>
      <c r="V77">
        <v>-3.3</v>
      </c>
      <c r="W77">
        <v>7</v>
      </c>
      <c r="Y77" s="3">
        <v>270</v>
      </c>
      <c r="Z77" s="3">
        <v>5</v>
      </c>
      <c r="AA77" s="3">
        <v>3</v>
      </c>
      <c r="AB77">
        <v>94.01</v>
      </c>
      <c r="AC77">
        <v>2.001E-2</v>
      </c>
      <c r="AD77">
        <v>-1.4</v>
      </c>
      <c r="AE77">
        <v>1.7</v>
      </c>
    </row>
    <row r="78" spans="1:31" x14ac:dyDescent="0.25">
      <c r="A78" s="3">
        <v>180</v>
      </c>
      <c r="B78" s="3">
        <v>14</v>
      </c>
      <c r="C78" s="3">
        <v>1</v>
      </c>
      <c r="D78">
        <v>4.3859649122813871E-2</v>
      </c>
      <c r="E78">
        <v>4.9504950495047488E-2</v>
      </c>
      <c r="I78" s="3">
        <v>180</v>
      </c>
      <c r="J78" s="3">
        <v>14</v>
      </c>
      <c r="K78" s="3">
        <v>1</v>
      </c>
      <c r="L78">
        <v>-4.0000000000006253E-2</v>
      </c>
      <c r="M78">
        <v>-9.9999999999995925E-6</v>
      </c>
      <c r="Q78" s="3">
        <v>180</v>
      </c>
      <c r="R78" s="3">
        <v>14</v>
      </c>
      <c r="S78" s="3">
        <v>1</v>
      </c>
      <c r="T78">
        <v>91.16</v>
      </c>
      <c r="U78">
        <v>2.019E-2</v>
      </c>
      <c r="V78">
        <v>-2</v>
      </c>
      <c r="W78">
        <v>4.3</v>
      </c>
      <c r="Y78" s="3">
        <v>270</v>
      </c>
      <c r="Z78" s="3">
        <v>6</v>
      </c>
      <c r="AA78" s="3">
        <v>1</v>
      </c>
      <c r="AB78">
        <v>95.97</v>
      </c>
      <c r="AC78">
        <v>1.9E-2</v>
      </c>
      <c r="AD78">
        <v>-5.4</v>
      </c>
      <c r="AE78">
        <v>9.1</v>
      </c>
    </row>
    <row r="79" spans="1:31" x14ac:dyDescent="0.25">
      <c r="A79" s="3">
        <v>180</v>
      </c>
      <c r="B79" s="3">
        <v>14</v>
      </c>
      <c r="C79" s="3">
        <v>2</v>
      </c>
      <c r="I79" s="3">
        <v>180</v>
      </c>
      <c r="J79" s="3">
        <v>14</v>
      </c>
      <c r="K79" s="3">
        <v>2</v>
      </c>
      <c r="Q79" s="3">
        <v>180</v>
      </c>
      <c r="R79" s="3">
        <v>14</v>
      </c>
      <c r="S79" s="3">
        <v>2</v>
      </c>
      <c r="T79">
        <v>90.4</v>
      </c>
      <c r="U79">
        <v>2.018E-2</v>
      </c>
      <c r="V79">
        <v>-1.8</v>
      </c>
      <c r="W79">
        <v>4.0999999999999996</v>
      </c>
      <c r="Y79" s="3">
        <v>270</v>
      </c>
      <c r="Z79" s="3">
        <v>6</v>
      </c>
      <c r="AA79" s="3">
        <v>2</v>
      </c>
      <c r="AB79">
        <v>96.75</v>
      </c>
      <c r="AC79">
        <v>1.8759999999999999E-2</v>
      </c>
      <c r="AD79">
        <v>-5.9</v>
      </c>
      <c r="AE79">
        <v>9.5</v>
      </c>
    </row>
    <row r="80" spans="1:31" x14ac:dyDescent="0.25">
      <c r="A80" s="3">
        <v>180</v>
      </c>
      <c r="B80" s="3">
        <v>103</v>
      </c>
      <c r="C80" s="3">
        <v>1</v>
      </c>
      <c r="D80">
        <v>1.102535832415117E-2</v>
      </c>
      <c r="E80">
        <v>0.14851485148515961</v>
      </c>
      <c r="I80" s="3">
        <v>180</v>
      </c>
      <c r="J80" s="3">
        <v>103</v>
      </c>
      <c r="K80" s="3">
        <v>1</v>
      </c>
      <c r="L80">
        <v>-1.0000000000005119E-2</v>
      </c>
      <c r="M80">
        <v>3.000000000000225E-5</v>
      </c>
      <c r="Q80" s="3">
        <v>180</v>
      </c>
      <c r="R80" s="3">
        <v>103</v>
      </c>
      <c r="S80" s="3">
        <v>1</v>
      </c>
      <c r="T80">
        <v>90.69</v>
      </c>
      <c r="U80">
        <v>2.0230000000000001E-2</v>
      </c>
      <c r="Y80" s="3">
        <v>270</v>
      </c>
      <c r="Z80" s="3">
        <v>6</v>
      </c>
      <c r="AA80" s="3">
        <v>3</v>
      </c>
      <c r="AB80">
        <v>98.06</v>
      </c>
      <c r="AC80">
        <v>1.848E-2</v>
      </c>
      <c r="AD80">
        <v>-6.6</v>
      </c>
      <c r="AE80">
        <v>10.3</v>
      </c>
    </row>
    <row r="81" spans="1:31" x14ac:dyDescent="0.25">
      <c r="A81" s="3">
        <v>180</v>
      </c>
      <c r="B81" s="3">
        <v>104</v>
      </c>
      <c r="C81" s="3">
        <v>1</v>
      </c>
      <c r="D81">
        <v>2.2197558268586041E-2</v>
      </c>
      <c r="E81">
        <v>9.9999999999995925E-2</v>
      </c>
      <c r="I81" s="3">
        <v>180</v>
      </c>
      <c r="J81" s="3">
        <v>104</v>
      </c>
      <c r="K81" s="3">
        <v>1</v>
      </c>
      <c r="L81">
        <v>-1.9999999999996021E-2</v>
      </c>
      <c r="M81">
        <v>1.9999999999999188E-5</v>
      </c>
      <c r="Q81" s="3">
        <v>180</v>
      </c>
      <c r="R81" s="3">
        <v>104</v>
      </c>
      <c r="S81" s="3">
        <v>1</v>
      </c>
      <c r="T81">
        <v>90.08</v>
      </c>
      <c r="U81">
        <v>2.002E-2</v>
      </c>
      <c r="Y81" s="3">
        <v>270</v>
      </c>
      <c r="Z81" s="3">
        <v>7</v>
      </c>
      <c r="AA81" s="3">
        <v>1</v>
      </c>
      <c r="AB81">
        <v>99.41</v>
      </c>
      <c r="AC81">
        <v>1.84E-2</v>
      </c>
      <c r="AD81">
        <v>98.7</v>
      </c>
      <c r="AE81">
        <v>20</v>
      </c>
    </row>
    <row r="82" spans="1:31" x14ac:dyDescent="0.25">
      <c r="A82" s="3">
        <v>180</v>
      </c>
      <c r="B82" s="3">
        <v>110</v>
      </c>
      <c r="C82" s="3">
        <v>1</v>
      </c>
      <c r="D82">
        <v>2.2099447513807761E-2</v>
      </c>
      <c r="E82">
        <v>0.10416666666668049</v>
      </c>
      <c r="I82" s="3">
        <v>180</v>
      </c>
      <c r="J82" s="3">
        <v>110</v>
      </c>
      <c r="K82" s="3">
        <v>1</v>
      </c>
      <c r="L82">
        <v>-1.9999999999996021E-2</v>
      </c>
      <c r="M82">
        <v>2.0000000000002651E-5</v>
      </c>
      <c r="Q82" s="3">
        <v>180</v>
      </c>
      <c r="R82" s="3">
        <v>110</v>
      </c>
      <c r="S82" s="3">
        <v>1</v>
      </c>
      <c r="T82">
        <v>90.48</v>
      </c>
      <c r="U82">
        <v>1.9220000000000001E-2</v>
      </c>
      <c r="Y82" s="3">
        <v>270</v>
      </c>
      <c r="Z82" s="3">
        <v>8</v>
      </c>
      <c r="AA82" s="3">
        <v>1</v>
      </c>
      <c r="AB82">
        <v>93.6</v>
      </c>
      <c r="AC82">
        <v>1.857E-2</v>
      </c>
      <c r="AD82">
        <v>22.9</v>
      </c>
      <c r="AE82">
        <v>0</v>
      </c>
    </row>
    <row r="83" spans="1:31" x14ac:dyDescent="0.25">
      <c r="A83" s="3">
        <v>180</v>
      </c>
      <c r="B83" s="3">
        <v>114</v>
      </c>
      <c r="C83" s="3">
        <v>1</v>
      </c>
      <c r="D83">
        <v>2.1344717182493089E-2</v>
      </c>
      <c r="E83">
        <v>0.14851485148515961</v>
      </c>
      <c r="I83" s="3">
        <v>180</v>
      </c>
      <c r="J83" s="3">
        <v>114</v>
      </c>
      <c r="K83" s="3">
        <v>1</v>
      </c>
      <c r="L83">
        <v>1.9999999999996021E-2</v>
      </c>
      <c r="M83">
        <v>3.000000000000225E-5</v>
      </c>
      <c r="Q83" s="3">
        <v>180</v>
      </c>
      <c r="R83" s="3">
        <v>114</v>
      </c>
      <c r="S83" s="3">
        <v>1</v>
      </c>
      <c r="T83">
        <v>93.72</v>
      </c>
      <c r="U83">
        <v>2.0230000000000001E-2</v>
      </c>
      <c r="Y83" s="3">
        <v>270</v>
      </c>
      <c r="Z83" s="3">
        <v>8</v>
      </c>
      <c r="AA83" s="3">
        <v>2</v>
      </c>
      <c r="AB83">
        <v>92.04</v>
      </c>
      <c r="AC83">
        <v>1.9310000000000001E-2</v>
      </c>
      <c r="AD83">
        <v>22.9</v>
      </c>
      <c r="AE83">
        <v>0</v>
      </c>
    </row>
    <row r="84" spans="1:31" x14ac:dyDescent="0.25">
      <c r="A84" s="3">
        <v>270</v>
      </c>
      <c r="B84" s="3">
        <v>1</v>
      </c>
      <c r="C84" s="3">
        <v>1</v>
      </c>
      <c r="D84">
        <v>0</v>
      </c>
      <c r="E84">
        <v>0</v>
      </c>
      <c r="F84">
        <v>0</v>
      </c>
      <c r="G84">
        <v>0</v>
      </c>
      <c r="I84" s="3">
        <v>270</v>
      </c>
      <c r="J84" s="3">
        <v>1</v>
      </c>
      <c r="K84" s="3">
        <v>1</v>
      </c>
      <c r="L84">
        <v>0</v>
      </c>
      <c r="M84">
        <v>0</v>
      </c>
      <c r="N84">
        <v>0</v>
      </c>
      <c r="O84">
        <v>0</v>
      </c>
      <c r="Q84" s="3">
        <v>270</v>
      </c>
      <c r="R84" s="3">
        <v>1</v>
      </c>
      <c r="S84" s="3">
        <v>1</v>
      </c>
      <c r="T84">
        <v>89.98</v>
      </c>
      <c r="U84">
        <v>2.018E-2</v>
      </c>
      <c r="V84">
        <v>-0.2</v>
      </c>
      <c r="W84">
        <v>0.4</v>
      </c>
      <c r="Y84" s="3">
        <v>270</v>
      </c>
      <c r="Z84" s="3">
        <v>9</v>
      </c>
      <c r="AA84" s="3">
        <v>1</v>
      </c>
      <c r="AB84">
        <v>99.6</v>
      </c>
      <c r="AC84">
        <v>1.8589999999999999E-2</v>
      </c>
      <c r="AD84">
        <v>189.1</v>
      </c>
      <c r="AE84">
        <v>22.8</v>
      </c>
    </row>
    <row r="85" spans="1:31" x14ac:dyDescent="0.25">
      <c r="A85" s="3">
        <v>270</v>
      </c>
      <c r="B85" s="3">
        <v>2</v>
      </c>
      <c r="C85" s="3">
        <v>1</v>
      </c>
      <c r="D85">
        <v>0</v>
      </c>
      <c r="E85">
        <v>0</v>
      </c>
      <c r="F85">
        <v>0</v>
      </c>
      <c r="G85">
        <v>0</v>
      </c>
      <c r="I85" s="3">
        <v>270</v>
      </c>
      <c r="J85" s="3">
        <v>2</v>
      </c>
      <c r="K85" s="3">
        <v>1</v>
      </c>
      <c r="L85">
        <v>0</v>
      </c>
      <c r="M85">
        <v>0</v>
      </c>
      <c r="N85">
        <v>0</v>
      </c>
      <c r="O85">
        <v>0</v>
      </c>
      <c r="Q85" s="3">
        <v>270</v>
      </c>
      <c r="R85" s="3">
        <v>2</v>
      </c>
      <c r="S85" s="3">
        <v>1</v>
      </c>
      <c r="T85">
        <v>89.97</v>
      </c>
      <c r="U85">
        <v>2.018E-2</v>
      </c>
      <c r="V85">
        <v>-0.2</v>
      </c>
      <c r="W85">
        <v>0.4</v>
      </c>
      <c r="Y85" s="3">
        <v>270</v>
      </c>
      <c r="Z85" s="3">
        <v>9</v>
      </c>
      <c r="AA85" s="3">
        <v>2</v>
      </c>
      <c r="AB85">
        <v>99.81</v>
      </c>
      <c r="AC85">
        <v>1.8890000000000001E-2</v>
      </c>
      <c r="AD85">
        <v>312.5</v>
      </c>
      <c r="AE85">
        <v>23</v>
      </c>
    </row>
    <row r="86" spans="1:31" x14ac:dyDescent="0.25">
      <c r="A86" s="3">
        <v>270</v>
      </c>
      <c r="B86" s="3">
        <v>3</v>
      </c>
      <c r="C86" s="3">
        <v>1</v>
      </c>
      <c r="D86">
        <v>0</v>
      </c>
      <c r="E86">
        <v>0</v>
      </c>
      <c r="F86">
        <v>0</v>
      </c>
      <c r="G86">
        <v>0</v>
      </c>
      <c r="I86" s="3">
        <v>270</v>
      </c>
      <c r="J86" s="3">
        <v>3</v>
      </c>
      <c r="K86" s="3">
        <v>1</v>
      </c>
      <c r="L86">
        <v>0</v>
      </c>
      <c r="M86">
        <v>0</v>
      </c>
      <c r="N86">
        <v>0</v>
      </c>
      <c r="O86">
        <v>0</v>
      </c>
      <c r="Q86" s="3">
        <v>270</v>
      </c>
      <c r="R86" s="3">
        <v>3</v>
      </c>
      <c r="S86" s="3">
        <v>1</v>
      </c>
      <c r="T86">
        <v>90.09</v>
      </c>
      <c r="U86">
        <v>2.0199999999999999E-2</v>
      </c>
      <c r="V86">
        <v>-0.5</v>
      </c>
      <c r="W86">
        <v>0.9</v>
      </c>
      <c r="Y86" s="3">
        <v>270</v>
      </c>
      <c r="Z86" s="3">
        <v>9</v>
      </c>
      <c r="AA86" s="3">
        <v>3</v>
      </c>
      <c r="AB86">
        <v>99.77</v>
      </c>
      <c r="AC86">
        <v>1.9210000000000001E-2</v>
      </c>
      <c r="AD86">
        <v>312.60000000000002</v>
      </c>
      <c r="AE86">
        <v>22.9</v>
      </c>
    </row>
    <row r="87" spans="1:31" x14ac:dyDescent="0.25">
      <c r="A87" s="3">
        <v>270</v>
      </c>
      <c r="B87" s="3">
        <v>3</v>
      </c>
      <c r="C87" s="3">
        <v>2</v>
      </c>
      <c r="D87">
        <v>0</v>
      </c>
      <c r="E87">
        <v>0</v>
      </c>
      <c r="F87">
        <v>0</v>
      </c>
      <c r="G87">
        <v>0</v>
      </c>
      <c r="I87" s="3">
        <v>270</v>
      </c>
      <c r="J87" s="3">
        <v>3</v>
      </c>
      <c r="K87" s="3">
        <v>2</v>
      </c>
      <c r="L87">
        <v>0</v>
      </c>
      <c r="M87">
        <v>0</v>
      </c>
      <c r="N87">
        <v>0</v>
      </c>
      <c r="O87">
        <v>0</v>
      </c>
      <c r="Q87" s="3">
        <v>270</v>
      </c>
      <c r="R87" s="3">
        <v>3</v>
      </c>
      <c r="S87" s="3">
        <v>2</v>
      </c>
      <c r="T87">
        <v>90.49</v>
      </c>
      <c r="U87">
        <v>2.0230000000000001E-2</v>
      </c>
      <c r="V87">
        <v>-0.6</v>
      </c>
      <c r="W87">
        <v>1</v>
      </c>
      <c r="Y87" s="3">
        <v>270</v>
      </c>
      <c r="Z87" s="3">
        <v>9</v>
      </c>
      <c r="AA87" s="3">
        <v>4</v>
      </c>
      <c r="AB87">
        <v>99.3</v>
      </c>
      <c r="AC87">
        <v>1.9449999999999999E-2</v>
      </c>
      <c r="AD87">
        <v>312.8</v>
      </c>
      <c r="AE87">
        <v>22.7</v>
      </c>
    </row>
    <row r="88" spans="1:31" x14ac:dyDescent="0.25">
      <c r="A88" s="3">
        <v>270</v>
      </c>
      <c r="B88" s="3">
        <v>4</v>
      </c>
      <c r="C88" s="3">
        <v>1</v>
      </c>
      <c r="D88">
        <v>0</v>
      </c>
      <c r="E88">
        <v>0</v>
      </c>
      <c r="F88">
        <v>0</v>
      </c>
      <c r="G88">
        <v>0</v>
      </c>
      <c r="I88" s="3">
        <v>270</v>
      </c>
      <c r="J88" s="3">
        <v>4</v>
      </c>
      <c r="K88" s="3">
        <v>1</v>
      </c>
      <c r="L88">
        <v>0</v>
      </c>
      <c r="M88">
        <v>0</v>
      </c>
      <c r="N88">
        <v>0</v>
      </c>
      <c r="O88">
        <v>0</v>
      </c>
      <c r="Q88" s="3">
        <v>270</v>
      </c>
      <c r="R88" s="3">
        <v>4</v>
      </c>
      <c r="S88" s="3">
        <v>1</v>
      </c>
      <c r="T88">
        <v>95.11</v>
      </c>
      <c r="U88">
        <v>1.9009999999999999E-2</v>
      </c>
      <c r="V88">
        <v>-5.3</v>
      </c>
      <c r="W88">
        <v>9.1</v>
      </c>
      <c r="Y88" s="3">
        <v>270</v>
      </c>
      <c r="Z88" s="3">
        <v>10</v>
      </c>
      <c r="AA88" s="3">
        <v>1</v>
      </c>
      <c r="AB88">
        <v>92.91</v>
      </c>
      <c r="AC88">
        <v>1.8790000000000001E-2</v>
      </c>
      <c r="AD88">
        <v>22.9</v>
      </c>
      <c r="AE88">
        <v>0</v>
      </c>
    </row>
    <row r="89" spans="1:31" x14ac:dyDescent="0.25">
      <c r="A89" s="3">
        <v>270</v>
      </c>
      <c r="B89" s="3">
        <v>4</v>
      </c>
      <c r="C89" s="3">
        <v>2</v>
      </c>
      <c r="D89">
        <v>0</v>
      </c>
      <c r="E89">
        <v>0</v>
      </c>
      <c r="F89">
        <v>0</v>
      </c>
      <c r="G89">
        <v>0</v>
      </c>
      <c r="I89" s="3">
        <v>270</v>
      </c>
      <c r="J89" s="3">
        <v>4</v>
      </c>
      <c r="K89" s="3">
        <v>2</v>
      </c>
      <c r="L89">
        <v>0</v>
      </c>
      <c r="M89">
        <v>0</v>
      </c>
      <c r="N89">
        <v>0</v>
      </c>
      <c r="O89">
        <v>0</v>
      </c>
      <c r="Q89" s="3">
        <v>270</v>
      </c>
      <c r="R89" s="3">
        <v>4</v>
      </c>
      <c r="S89" s="3">
        <v>2</v>
      </c>
      <c r="T89">
        <v>95.16</v>
      </c>
      <c r="U89">
        <v>1.9140000000000001E-2</v>
      </c>
      <c r="V89">
        <v>-5.2</v>
      </c>
      <c r="W89">
        <v>9</v>
      </c>
      <c r="Y89" s="3">
        <v>270</v>
      </c>
      <c r="Z89" s="3">
        <v>10</v>
      </c>
      <c r="AA89" s="3">
        <v>2</v>
      </c>
      <c r="AB89">
        <v>94.86</v>
      </c>
      <c r="AC89">
        <v>1.856E-2</v>
      </c>
      <c r="AD89">
        <v>22.9</v>
      </c>
      <c r="AE89">
        <v>0</v>
      </c>
    </row>
    <row r="90" spans="1:31" x14ac:dyDescent="0.25">
      <c r="A90" s="3">
        <v>270</v>
      </c>
      <c r="B90" s="3">
        <v>4</v>
      </c>
      <c r="C90" s="3">
        <v>3</v>
      </c>
      <c r="D90">
        <v>0</v>
      </c>
      <c r="E90">
        <v>0</v>
      </c>
      <c r="F90">
        <v>0</v>
      </c>
      <c r="G90">
        <v>0</v>
      </c>
      <c r="I90" s="3">
        <v>270</v>
      </c>
      <c r="J90" s="3">
        <v>4</v>
      </c>
      <c r="K90" s="3">
        <v>3</v>
      </c>
      <c r="L90">
        <v>0</v>
      </c>
      <c r="M90">
        <v>0</v>
      </c>
      <c r="N90">
        <v>0</v>
      </c>
      <c r="O90">
        <v>0</v>
      </c>
      <c r="Q90" s="3">
        <v>270</v>
      </c>
      <c r="R90" s="3">
        <v>4</v>
      </c>
      <c r="S90" s="3">
        <v>3</v>
      </c>
      <c r="T90">
        <v>95.37</v>
      </c>
      <c r="U90">
        <v>1.916E-2</v>
      </c>
      <c r="V90">
        <v>-5.3</v>
      </c>
      <c r="W90">
        <v>9.1</v>
      </c>
      <c r="Y90" s="3">
        <v>270</v>
      </c>
      <c r="Z90" s="3">
        <v>11</v>
      </c>
      <c r="AA90" s="3">
        <v>1</v>
      </c>
      <c r="AB90">
        <v>99.39</v>
      </c>
      <c r="AC90">
        <v>1.983E-2</v>
      </c>
      <c r="AD90">
        <v>300</v>
      </c>
      <c r="AE90">
        <v>20.3</v>
      </c>
    </row>
    <row r="91" spans="1:31" x14ac:dyDescent="0.25">
      <c r="A91" s="3">
        <v>270</v>
      </c>
      <c r="B91" s="3">
        <v>5</v>
      </c>
      <c r="C91" s="3">
        <v>1</v>
      </c>
      <c r="D91">
        <v>0</v>
      </c>
      <c r="E91">
        <v>0</v>
      </c>
      <c r="F91">
        <v>0</v>
      </c>
      <c r="G91">
        <v>0</v>
      </c>
      <c r="I91" s="3">
        <v>270</v>
      </c>
      <c r="J91" s="3">
        <v>5</v>
      </c>
      <c r="K91" s="3">
        <v>1</v>
      </c>
      <c r="L91">
        <v>0</v>
      </c>
      <c r="M91">
        <v>0</v>
      </c>
      <c r="N91">
        <v>0</v>
      </c>
      <c r="O91">
        <v>0</v>
      </c>
      <c r="Q91" s="3">
        <v>270</v>
      </c>
      <c r="R91" s="3">
        <v>5</v>
      </c>
      <c r="S91" s="3">
        <v>1</v>
      </c>
      <c r="T91">
        <v>91.39</v>
      </c>
      <c r="U91">
        <v>2.026E-2</v>
      </c>
      <c r="V91">
        <v>-1.1000000000000001</v>
      </c>
      <c r="W91">
        <v>1.5</v>
      </c>
      <c r="Y91" s="3">
        <v>270</v>
      </c>
      <c r="Z91" s="3">
        <v>12</v>
      </c>
      <c r="AA91" s="3">
        <v>1</v>
      </c>
      <c r="AB91">
        <v>100.47</v>
      </c>
      <c r="AC91">
        <v>2.002E-2</v>
      </c>
      <c r="AD91">
        <v>275.39999999999998</v>
      </c>
      <c r="AE91">
        <v>8.6</v>
      </c>
    </row>
    <row r="92" spans="1:31" x14ac:dyDescent="0.25">
      <c r="A92" s="3">
        <v>270</v>
      </c>
      <c r="B92" s="3">
        <v>5</v>
      </c>
      <c r="C92" s="3">
        <v>2</v>
      </c>
      <c r="D92">
        <v>0</v>
      </c>
      <c r="E92">
        <v>0</v>
      </c>
      <c r="F92">
        <v>0</v>
      </c>
      <c r="G92">
        <v>0</v>
      </c>
      <c r="I92" s="3">
        <v>270</v>
      </c>
      <c r="J92" s="3">
        <v>5</v>
      </c>
      <c r="K92" s="3">
        <v>2</v>
      </c>
      <c r="L92">
        <v>0</v>
      </c>
      <c r="M92">
        <v>0</v>
      </c>
      <c r="N92">
        <v>0</v>
      </c>
      <c r="O92">
        <v>0</v>
      </c>
      <c r="Q92" s="3">
        <v>270</v>
      </c>
      <c r="R92" s="3">
        <v>5</v>
      </c>
      <c r="S92" s="3">
        <v>2</v>
      </c>
      <c r="T92">
        <v>92.27</v>
      </c>
      <c r="U92">
        <v>2.026E-2</v>
      </c>
      <c r="V92">
        <v>-1.1000000000000001</v>
      </c>
      <c r="W92">
        <v>1.5</v>
      </c>
      <c r="Y92" s="3">
        <v>270</v>
      </c>
      <c r="Z92" s="3">
        <v>12</v>
      </c>
      <c r="AA92" s="3">
        <v>2</v>
      </c>
      <c r="AB92">
        <v>98.32</v>
      </c>
      <c r="AC92">
        <v>2.018E-2</v>
      </c>
      <c r="AD92">
        <v>-3.4</v>
      </c>
      <c r="AE92">
        <v>6.1</v>
      </c>
    </row>
    <row r="93" spans="1:31" x14ac:dyDescent="0.25">
      <c r="A93" s="3">
        <v>270</v>
      </c>
      <c r="B93" s="3">
        <v>5</v>
      </c>
      <c r="C93" s="3">
        <v>3</v>
      </c>
      <c r="D93">
        <v>1.0637166258914071E-2</v>
      </c>
      <c r="E93">
        <v>0</v>
      </c>
      <c r="F93">
        <v>0</v>
      </c>
      <c r="G93">
        <v>0</v>
      </c>
      <c r="I93" s="3">
        <v>270</v>
      </c>
      <c r="J93" s="3">
        <v>5</v>
      </c>
      <c r="K93" s="3">
        <v>3</v>
      </c>
      <c r="L93">
        <v>-1.0000000000005119E-2</v>
      </c>
      <c r="M93">
        <v>0</v>
      </c>
      <c r="N93">
        <v>0</v>
      </c>
      <c r="O93">
        <v>0</v>
      </c>
      <c r="Q93" s="3">
        <v>270</v>
      </c>
      <c r="R93" s="3">
        <v>5</v>
      </c>
      <c r="S93" s="3">
        <v>3</v>
      </c>
      <c r="T93">
        <v>94</v>
      </c>
      <c r="U93">
        <v>2.001E-2</v>
      </c>
      <c r="V93">
        <v>-1.4</v>
      </c>
      <c r="W93">
        <v>1.7</v>
      </c>
      <c r="Y93" s="3">
        <v>270</v>
      </c>
      <c r="Z93" s="3">
        <v>12</v>
      </c>
      <c r="AA93" s="3">
        <v>3</v>
      </c>
      <c r="AB93">
        <v>95.58</v>
      </c>
      <c r="AC93">
        <v>2.0230000000000001E-2</v>
      </c>
      <c r="AD93">
        <v>-2.6</v>
      </c>
      <c r="AE93">
        <v>5.3</v>
      </c>
    </row>
    <row r="94" spans="1:31" x14ac:dyDescent="0.25">
      <c r="A94" s="3">
        <v>270</v>
      </c>
      <c r="B94" s="3">
        <v>6</v>
      </c>
      <c r="C94" s="3">
        <v>1</v>
      </c>
      <c r="D94">
        <v>0</v>
      </c>
      <c r="E94">
        <v>0</v>
      </c>
      <c r="F94">
        <v>0</v>
      </c>
      <c r="G94">
        <v>0</v>
      </c>
      <c r="I94" s="3">
        <v>270</v>
      </c>
      <c r="J94" s="3">
        <v>6</v>
      </c>
      <c r="K94" s="3">
        <v>1</v>
      </c>
      <c r="L94">
        <v>0</v>
      </c>
      <c r="M94">
        <v>0</v>
      </c>
      <c r="N94">
        <v>0</v>
      </c>
      <c r="O94">
        <v>0</v>
      </c>
      <c r="Q94" s="3">
        <v>270</v>
      </c>
      <c r="R94" s="3">
        <v>6</v>
      </c>
      <c r="S94" s="3">
        <v>1</v>
      </c>
      <c r="T94">
        <v>95.97</v>
      </c>
      <c r="U94">
        <v>1.9E-2</v>
      </c>
      <c r="V94">
        <v>-5.4</v>
      </c>
      <c r="W94">
        <v>9.1</v>
      </c>
      <c r="Y94" s="3">
        <v>270</v>
      </c>
      <c r="Z94" s="3">
        <v>13</v>
      </c>
      <c r="AA94" s="3">
        <v>1</v>
      </c>
      <c r="AB94">
        <v>93.27</v>
      </c>
      <c r="AC94">
        <v>2.0230000000000001E-2</v>
      </c>
      <c r="AD94">
        <v>-3.8</v>
      </c>
      <c r="AE94">
        <v>7.6</v>
      </c>
    </row>
    <row r="95" spans="1:31" x14ac:dyDescent="0.25">
      <c r="A95" s="3">
        <v>270</v>
      </c>
      <c r="B95" s="3">
        <v>6</v>
      </c>
      <c r="C95" s="3">
        <v>2</v>
      </c>
      <c r="D95">
        <v>0</v>
      </c>
      <c r="E95">
        <v>0</v>
      </c>
      <c r="F95">
        <v>0</v>
      </c>
      <c r="G95">
        <v>0</v>
      </c>
      <c r="I95" s="3">
        <v>270</v>
      </c>
      <c r="J95" s="3">
        <v>6</v>
      </c>
      <c r="K95" s="3">
        <v>2</v>
      </c>
      <c r="L95">
        <v>0</v>
      </c>
      <c r="M95">
        <v>0</v>
      </c>
      <c r="N95">
        <v>0</v>
      </c>
      <c r="O95">
        <v>0</v>
      </c>
      <c r="Q95" s="3">
        <v>270</v>
      </c>
      <c r="R95" s="3">
        <v>6</v>
      </c>
      <c r="S95" s="3">
        <v>2</v>
      </c>
      <c r="T95">
        <v>96.75</v>
      </c>
      <c r="U95">
        <v>1.8759999999999999E-2</v>
      </c>
      <c r="V95">
        <v>-5.9</v>
      </c>
      <c r="W95">
        <v>9.5</v>
      </c>
      <c r="Y95" s="3">
        <v>270</v>
      </c>
      <c r="Z95" s="3">
        <v>13</v>
      </c>
      <c r="AA95" s="3">
        <v>2</v>
      </c>
      <c r="AB95">
        <v>92</v>
      </c>
      <c r="AC95">
        <v>2.0209999999999999E-2</v>
      </c>
      <c r="AD95">
        <v>-3.3</v>
      </c>
      <c r="AE95">
        <v>7</v>
      </c>
    </row>
    <row r="96" spans="1:31" x14ac:dyDescent="0.25">
      <c r="A96" s="3">
        <v>270</v>
      </c>
      <c r="B96" s="3">
        <v>6</v>
      </c>
      <c r="C96" s="3">
        <v>3</v>
      </c>
      <c r="D96">
        <v>0</v>
      </c>
      <c r="E96">
        <v>0</v>
      </c>
      <c r="F96">
        <v>0</v>
      </c>
      <c r="G96">
        <v>0</v>
      </c>
      <c r="I96" s="3">
        <v>270</v>
      </c>
      <c r="J96" s="3">
        <v>6</v>
      </c>
      <c r="K96" s="3">
        <v>3</v>
      </c>
      <c r="L96">
        <v>0</v>
      </c>
      <c r="M96">
        <v>0</v>
      </c>
      <c r="N96">
        <v>0</v>
      </c>
      <c r="O96">
        <v>0</v>
      </c>
      <c r="Q96" s="3">
        <v>270</v>
      </c>
      <c r="R96" s="3">
        <v>6</v>
      </c>
      <c r="S96" s="3">
        <v>3</v>
      </c>
      <c r="T96">
        <v>98.06</v>
      </c>
      <c r="U96">
        <v>1.848E-2</v>
      </c>
      <c r="V96">
        <v>-6.6</v>
      </c>
      <c r="W96">
        <v>10.3</v>
      </c>
      <c r="Y96" s="3">
        <v>270</v>
      </c>
      <c r="Z96" s="3">
        <v>14</v>
      </c>
      <c r="AA96" s="3">
        <v>1</v>
      </c>
      <c r="AB96">
        <v>91.15</v>
      </c>
      <c r="AC96">
        <v>2.019E-2</v>
      </c>
      <c r="AD96">
        <v>-2</v>
      </c>
      <c r="AE96">
        <v>4.3</v>
      </c>
    </row>
    <row r="97" spans="1:31" x14ac:dyDescent="0.25">
      <c r="A97" s="3">
        <v>270</v>
      </c>
      <c r="B97" s="3">
        <v>7</v>
      </c>
      <c r="C97" s="3">
        <v>1</v>
      </c>
      <c r="D97">
        <v>0</v>
      </c>
      <c r="E97">
        <v>0</v>
      </c>
      <c r="F97">
        <v>0</v>
      </c>
      <c r="G97">
        <v>0</v>
      </c>
      <c r="I97" s="3">
        <v>270</v>
      </c>
      <c r="J97" s="3">
        <v>7</v>
      </c>
      <c r="K97" s="3">
        <v>1</v>
      </c>
      <c r="L97">
        <v>0</v>
      </c>
      <c r="M97">
        <v>0</v>
      </c>
      <c r="N97">
        <v>0</v>
      </c>
      <c r="O97">
        <v>0</v>
      </c>
      <c r="Q97" s="3">
        <v>270</v>
      </c>
      <c r="R97" s="3">
        <v>7</v>
      </c>
      <c r="S97" s="3">
        <v>1</v>
      </c>
      <c r="T97">
        <v>99.41</v>
      </c>
      <c r="U97">
        <v>1.84E-2</v>
      </c>
      <c r="V97">
        <v>98.7</v>
      </c>
      <c r="W97">
        <v>20</v>
      </c>
      <c r="Y97" s="3">
        <v>270</v>
      </c>
      <c r="Z97" s="3">
        <v>14</v>
      </c>
      <c r="AA97" s="3">
        <v>2</v>
      </c>
      <c r="AB97">
        <v>90.4</v>
      </c>
      <c r="AC97">
        <v>2.018E-2</v>
      </c>
      <c r="AD97">
        <v>-1.8</v>
      </c>
      <c r="AE97">
        <v>4.0999999999999996</v>
      </c>
    </row>
    <row r="98" spans="1:31" x14ac:dyDescent="0.25">
      <c r="A98" s="3">
        <v>270</v>
      </c>
      <c r="B98" s="3">
        <v>8</v>
      </c>
      <c r="C98" s="3">
        <v>1</v>
      </c>
      <c r="D98">
        <v>0</v>
      </c>
      <c r="E98">
        <v>0</v>
      </c>
      <c r="F98">
        <v>0</v>
      </c>
      <c r="I98" s="3">
        <v>270</v>
      </c>
      <c r="J98" s="3">
        <v>8</v>
      </c>
      <c r="K98" s="3">
        <v>1</v>
      </c>
      <c r="L98">
        <v>0</v>
      </c>
      <c r="M98">
        <v>0</v>
      </c>
      <c r="N98">
        <v>0</v>
      </c>
      <c r="O98">
        <v>0</v>
      </c>
      <c r="Q98" s="3">
        <v>270</v>
      </c>
      <c r="R98" s="3">
        <v>8</v>
      </c>
      <c r="S98" s="3">
        <v>1</v>
      </c>
      <c r="T98">
        <v>93.6</v>
      </c>
      <c r="U98">
        <v>1.857E-2</v>
      </c>
      <c r="V98">
        <v>22.9</v>
      </c>
      <c r="W98">
        <v>0</v>
      </c>
      <c r="Y98" s="3">
        <v>270</v>
      </c>
      <c r="Z98" s="3">
        <v>103</v>
      </c>
      <c r="AA98" s="3">
        <v>1</v>
      </c>
      <c r="AB98">
        <v>90.69</v>
      </c>
      <c r="AC98">
        <v>2.0219999999999998E-2</v>
      </c>
    </row>
    <row r="99" spans="1:31" x14ac:dyDescent="0.25">
      <c r="A99" s="3">
        <v>270</v>
      </c>
      <c r="B99" s="3">
        <v>8</v>
      </c>
      <c r="C99" s="3">
        <v>2</v>
      </c>
      <c r="D99">
        <v>0</v>
      </c>
      <c r="E99">
        <v>0</v>
      </c>
      <c r="F99">
        <v>0</v>
      </c>
      <c r="I99" s="3">
        <v>270</v>
      </c>
      <c r="J99" s="3">
        <v>8</v>
      </c>
      <c r="K99" s="3">
        <v>2</v>
      </c>
      <c r="L99">
        <v>0</v>
      </c>
      <c r="M99">
        <v>0</v>
      </c>
      <c r="N99">
        <v>0</v>
      </c>
      <c r="O99">
        <v>0</v>
      </c>
      <c r="Q99" s="3">
        <v>270</v>
      </c>
      <c r="R99" s="3">
        <v>8</v>
      </c>
      <c r="S99" s="3">
        <v>2</v>
      </c>
      <c r="T99">
        <v>92.04</v>
      </c>
      <c r="U99">
        <v>1.9310000000000001E-2</v>
      </c>
      <c r="V99">
        <v>22.9</v>
      </c>
      <c r="W99">
        <v>0</v>
      </c>
      <c r="Y99" s="3">
        <v>270</v>
      </c>
      <c r="Z99" s="3">
        <v>104</v>
      </c>
      <c r="AA99" s="3">
        <v>1</v>
      </c>
      <c r="AB99">
        <v>90.21</v>
      </c>
      <c r="AC99">
        <v>2.0029999999999999E-2</v>
      </c>
    </row>
    <row r="100" spans="1:31" x14ac:dyDescent="0.25">
      <c r="A100" s="3">
        <v>270</v>
      </c>
      <c r="B100" s="3">
        <v>9</v>
      </c>
      <c r="C100" s="3">
        <v>1</v>
      </c>
      <c r="D100">
        <v>0</v>
      </c>
      <c r="E100">
        <v>0</v>
      </c>
      <c r="F100">
        <v>0</v>
      </c>
      <c r="G100">
        <v>0</v>
      </c>
      <c r="I100" s="3">
        <v>270</v>
      </c>
      <c r="J100" s="3">
        <v>9</v>
      </c>
      <c r="K100" s="3">
        <v>1</v>
      </c>
      <c r="L100">
        <v>0</v>
      </c>
      <c r="M100">
        <v>0</v>
      </c>
      <c r="N100">
        <v>0</v>
      </c>
      <c r="O100">
        <v>0</v>
      </c>
      <c r="Q100" s="3">
        <v>270</v>
      </c>
      <c r="R100" s="3">
        <v>9</v>
      </c>
      <c r="S100" s="3">
        <v>1</v>
      </c>
      <c r="T100">
        <v>99.6</v>
      </c>
      <c r="U100">
        <v>1.8589999999999999E-2</v>
      </c>
      <c r="V100">
        <v>189.1</v>
      </c>
      <c r="W100">
        <v>22.8</v>
      </c>
      <c r="Y100" s="3">
        <v>270</v>
      </c>
      <c r="Z100" s="3">
        <v>110</v>
      </c>
      <c r="AA100" s="3">
        <v>1</v>
      </c>
      <c r="AB100">
        <v>91.18</v>
      </c>
      <c r="AC100">
        <v>1.9570000000000001E-2</v>
      </c>
    </row>
    <row r="101" spans="1:31" x14ac:dyDescent="0.25">
      <c r="A101" s="3">
        <v>270</v>
      </c>
      <c r="B101" s="3">
        <v>9</v>
      </c>
      <c r="C101" s="3">
        <v>2</v>
      </c>
      <c r="D101">
        <v>0</v>
      </c>
      <c r="E101">
        <v>0</v>
      </c>
      <c r="F101">
        <v>0</v>
      </c>
      <c r="G101">
        <v>0</v>
      </c>
      <c r="I101" s="3">
        <v>270</v>
      </c>
      <c r="J101" s="3">
        <v>9</v>
      </c>
      <c r="K101" s="3">
        <v>2</v>
      </c>
      <c r="L101">
        <v>0</v>
      </c>
      <c r="M101">
        <v>0</v>
      </c>
      <c r="N101">
        <v>0</v>
      </c>
      <c r="O101">
        <v>0</v>
      </c>
      <c r="Q101" s="3">
        <v>270</v>
      </c>
      <c r="R101" s="3">
        <v>9</v>
      </c>
      <c r="S101" s="3">
        <v>2</v>
      </c>
      <c r="T101">
        <v>99.81</v>
      </c>
      <c r="U101">
        <v>1.8890000000000001E-2</v>
      </c>
      <c r="V101">
        <v>312.5</v>
      </c>
      <c r="W101">
        <v>23</v>
      </c>
      <c r="Y101" s="3">
        <v>270</v>
      </c>
      <c r="Z101" s="3">
        <v>114</v>
      </c>
      <c r="AA101" s="3">
        <v>1</v>
      </c>
      <c r="AB101">
        <v>93.68</v>
      </c>
      <c r="AC101">
        <v>2.0240000000000001E-2</v>
      </c>
    </row>
    <row r="102" spans="1:31" x14ac:dyDescent="0.25">
      <c r="A102" s="3">
        <v>270</v>
      </c>
      <c r="B102" s="3">
        <v>9</v>
      </c>
      <c r="C102" s="3">
        <v>3</v>
      </c>
      <c r="D102">
        <v>0</v>
      </c>
      <c r="E102">
        <v>0</v>
      </c>
      <c r="F102">
        <v>0</v>
      </c>
      <c r="G102">
        <v>0</v>
      </c>
      <c r="I102" s="3">
        <v>270</v>
      </c>
      <c r="J102" s="3">
        <v>9</v>
      </c>
      <c r="K102" s="3">
        <v>3</v>
      </c>
      <c r="L102">
        <v>0</v>
      </c>
      <c r="M102">
        <v>0</v>
      </c>
      <c r="N102">
        <v>0</v>
      </c>
      <c r="O102">
        <v>0</v>
      </c>
      <c r="Q102" s="3">
        <v>270</v>
      </c>
      <c r="R102" s="3">
        <v>9</v>
      </c>
      <c r="S102" s="3">
        <v>3</v>
      </c>
      <c r="T102">
        <v>99.77</v>
      </c>
      <c r="U102">
        <v>1.9210000000000001E-2</v>
      </c>
      <c r="V102">
        <v>312.60000000000002</v>
      </c>
      <c r="W102">
        <v>22.9</v>
      </c>
      <c r="Y102" s="3">
        <v>360</v>
      </c>
      <c r="Z102" s="3">
        <v>1</v>
      </c>
      <c r="AA102" s="3">
        <v>1</v>
      </c>
      <c r="AB102">
        <v>89.98</v>
      </c>
      <c r="AC102">
        <v>2.018E-2</v>
      </c>
      <c r="AD102">
        <v>-0.2</v>
      </c>
      <c r="AE102">
        <v>0.4</v>
      </c>
    </row>
    <row r="103" spans="1:31" x14ac:dyDescent="0.25">
      <c r="A103" s="3">
        <v>270</v>
      </c>
      <c r="B103" s="3">
        <v>9</v>
      </c>
      <c r="C103" s="3">
        <v>4</v>
      </c>
      <c r="D103">
        <v>0</v>
      </c>
      <c r="E103">
        <v>0</v>
      </c>
      <c r="F103">
        <v>0</v>
      </c>
      <c r="G103">
        <v>0</v>
      </c>
      <c r="I103" s="3">
        <v>270</v>
      </c>
      <c r="J103" s="3">
        <v>9</v>
      </c>
      <c r="K103" s="3">
        <v>4</v>
      </c>
      <c r="L103">
        <v>0</v>
      </c>
      <c r="M103">
        <v>0</v>
      </c>
      <c r="N103">
        <v>0</v>
      </c>
      <c r="O103">
        <v>0</v>
      </c>
      <c r="Q103" s="3">
        <v>270</v>
      </c>
      <c r="R103" s="3">
        <v>9</v>
      </c>
      <c r="S103" s="3">
        <v>4</v>
      </c>
      <c r="T103">
        <v>99.3</v>
      </c>
      <c r="U103">
        <v>1.9449999999999999E-2</v>
      </c>
      <c r="V103">
        <v>312.8</v>
      </c>
      <c r="W103">
        <v>22.7</v>
      </c>
      <c r="Y103" s="3">
        <v>360</v>
      </c>
      <c r="Z103" s="3">
        <v>2</v>
      </c>
      <c r="AA103" s="3">
        <v>1</v>
      </c>
      <c r="AB103">
        <v>89.97</v>
      </c>
      <c r="AC103">
        <v>2.018E-2</v>
      </c>
      <c r="AD103">
        <v>-0.2</v>
      </c>
      <c r="AE103">
        <v>0.4</v>
      </c>
    </row>
    <row r="104" spans="1:31" x14ac:dyDescent="0.25">
      <c r="A104" s="3">
        <v>270</v>
      </c>
      <c r="B104" s="3">
        <v>10</v>
      </c>
      <c r="C104" s="3">
        <v>1</v>
      </c>
      <c r="D104">
        <v>0</v>
      </c>
      <c r="E104">
        <v>0</v>
      </c>
      <c r="F104">
        <v>0</v>
      </c>
      <c r="I104" s="3">
        <v>270</v>
      </c>
      <c r="J104" s="3">
        <v>10</v>
      </c>
      <c r="K104" s="3">
        <v>1</v>
      </c>
      <c r="L104">
        <v>0</v>
      </c>
      <c r="M104">
        <v>0</v>
      </c>
      <c r="N104">
        <v>0</v>
      </c>
      <c r="O104">
        <v>0</v>
      </c>
      <c r="Q104" s="3">
        <v>270</v>
      </c>
      <c r="R104" s="3">
        <v>10</v>
      </c>
      <c r="S104" s="3">
        <v>1</v>
      </c>
      <c r="T104">
        <v>92.91</v>
      </c>
      <c r="U104">
        <v>1.8790000000000001E-2</v>
      </c>
      <c r="V104">
        <v>22.9</v>
      </c>
      <c r="W104">
        <v>0</v>
      </c>
      <c r="Y104" s="3">
        <v>360</v>
      </c>
      <c r="Z104" s="3">
        <v>3</v>
      </c>
      <c r="AA104" s="3">
        <v>1</v>
      </c>
      <c r="AB104">
        <v>90.09</v>
      </c>
      <c r="AC104">
        <v>2.0199999999999999E-2</v>
      </c>
      <c r="AD104">
        <v>-0.6</v>
      </c>
      <c r="AE104">
        <v>0.9</v>
      </c>
    </row>
    <row r="105" spans="1:31" x14ac:dyDescent="0.25">
      <c r="A105" s="3">
        <v>270</v>
      </c>
      <c r="B105" s="3">
        <v>10</v>
      </c>
      <c r="C105" s="3">
        <v>2</v>
      </c>
      <c r="D105">
        <v>0</v>
      </c>
      <c r="E105">
        <v>0</v>
      </c>
      <c r="F105">
        <v>0</v>
      </c>
      <c r="I105" s="3">
        <v>270</v>
      </c>
      <c r="J105" s="3">
        <v>10</v>
      </c>
      <c r="K105" s="3">
        <v>2</v>
      </c>
      <c r="L105">
        <v>0</v>
      </c>
      <c r="M105">
        <v>0</v>
      </c>
      <c r="N105">
        <v>0</v>
      </c>
      <c r="O105">
        <v>0</v>
      </c>
      <c r="Q105" s="3">
        <v>270</v>
      </c>
      <c r="R105" s="3">
        <v>10</v>
      </c>
      <c r="S105" s="3">
        <v>2</v>
      </c>
      <c r="T105">
        <v>94.86</v>
      </c>
      <c r="U105">
        <v>1.856E-2</v>
      </c>
      <c r="V105">
        <v>22.9</v>
      </c>
      <c r="W105">
        <v>0</v>
      </c>
      <c r="Y105" s="3">
        <v>360</v>
      </c>
      <c r="Z105" s="3">
        <v>3</v>
      </c>
      <c r="AA105" s="3">
        <v>2</v>
      </c>
      <c r="AB105">
        <v>90.51</v>
      </c>
      <c r="AC105">
        <v>2.0230000000000001E-2</v>
      </c>
      <c r="AD105">
        <v>-0.6</v>
      </c>
      <c r="AE105">
        <v>1</v>
      </c>
    </row>
    <row r="106" spans="1:31" x14ac:dyDescent="0.25">
      <c r="A106" s="3">
        <v>270</v>
      </c>
      <c r="B106" s="3">
        <v>11</v>
      </c>
      <c r="C106" s="3">
        <v>1</v>
      </c>
      <c r="D106">
        <v>0</v>
      </c>
      <c r="E106">
        <v>0</v>
      </c>
      <c r="F106">
        <v>0</v>
      </c>
      <c r="G106">
        <v>0</v>
      </c>
      <c r="I106" s="3">
        <v>270</v>
      </c>
      <c r="J106" s="3">
        <v>11</v>
      </c>
      <c r="K106" s="3">
        <v>1</v>
      </c>
      <c r="L106">
        <v>0</v>
      </c>
      <c r="M106">
        <v>0</v>
      </c>
      <c r="N106">
        <v>0</v>
      </c>
      <c r="O106">
        <v>0</v>
      </c>
      <c r="Q106" s="3">
        <v>270</v>
      </c>
      <c r="R106" s="3">
        <v>11</v>
      </c>
      <c r="S106" s="3">
        <v>1</v>
      </c>
      <c r="T106">
        <v>99.39</v>
      </c>
      <c r="U106">
        <v>1.983E-2</v>
      </c>
      <c r="V106">
        <v>300</v>
      </c>
      <c r="W106">
        <v>20.3</v>
      </c>
      <c r="Y106" s="3">
        <v>360</v>
      </c>
      <c r="Z106" s="3">
        <v>4</v>
      </c>
      <c r="AA106" s="3">
        <v>1</v>
      </c>
      <c r="AB106">
        <v>95.76</v>
      </c>
      <c r="AC106">
        <v>1.968E-2</v>
      </c>
      <c r="AD106">
        <v>-5.2</v>
      </c>
      <c r="AE106">
        <v>9</v>
      </c>
    </row>
    <row r="107" spans="1:31" x14ac:dyDescent="0.25">
      <c r="A107" s="3">
        <v>270</v>
      </c>
      <c r="B107" s="3">
        <v>12</v>
      </c>
      <c r="C107" s="3">
        <v>1</v>
      </c>
      <c r="D107">
        <v>0</v>
      </c>
      <c r="E107">
        <v>0</v>
      </c>
      <c r="F107">
        <v>0</v>
      </c>
      <c r="G107">
        <v>0</v>
      </c>
      <c r="I107" s="3">
        <v>270</v>
      </c>
      <c r="J107" s="3">
        <v>12</v>
      </c>
      <c r="K107" s="3">
        <v>1</v>
      </c>
      <c r="L107">
        <v>0</v>
      </c>
      <c r="M107">
        <v>0</v>
      </c>
      <c r="N107">
        <v>0</v>
      </c>
      <c r="O107">
        <v>0</v>
      </c>
      <c r="Q107" s="3">
        <v>270</v>
      </c>
      <c r="R107" s="3">
        <v>12</v>
      </c>
      <c r="S107" s="3">
        <v>1</v>
      </c>
      <c r="T107">
        <v>100.47</v>
      </c>
      <c r="U107">
        <v>2.002E-2</v>
      </c>
      <c r="V107">
        <v>275.39999999999998</v>
      </c>
      <c r="W107">
        <v>8.6</v>
      </c>
      <c r="Y107" s="3">
        <v>360</v>
      </c>
      <c r="Z107" s="3">
        <v>4</v>
      </c>
      <c r="AA107" s="3">
        <v>2</v>
      </c>
      <c r="AB107">
        <v>95.82</v>
      </c>
      <c r="AC107">
        <v>1.9769999999999999E-2</v>
      </c>
      <c r="AD107">
        <v>-5.2</v>
      </c>
      <c r="AE107">
        <v>9</v>
      </c>
    </row>
    <row r="108" spans="1:31" x14ac:dyDescent="0.25">
      <c r="A108" s="3">
        <v>270</v>
      </c>
      <c r="B108" s="3">
        <v>12</v>
      </c>
      <c r="C108" s="3">
        <v>2</v>
      </c>
      <c r="D108">
        <v>0</v>
      </c>
      <c r="E108">
        <v>0</v>
      </c>
      <c r="F108">
        <v>0</v>
      </c>
      <c r="G108">
        <v>0</v>
      </c>
      <c r="I108" s="3">
        <v>270</v>
      </c>
      <c r="J108" s="3">
        <v>12</v>
      </c>
      <c r="K108" s="3">
        <v>2</v>
      </c>
      <c r="L108">
        <v>0</v>
      </c>
      <c r="M108">
        <v>0</v>
      </c>
      <c r="N108">
        <v>0</v>
      </c>
      <c r="O108">
        <v>0</v>
      </c>
      <c r="Q108" s="3">
        <v>270</v>
      </c>
      <c r="R108" s="3">
        <v>12</v>
      </c>
      <c r="S108" s="3">
        <v>2</v>
      </c>
      <c r="T108">
        <v>98.32</v>
      </c>
      <c r="U108">
        <v>2.018E-2</v>
      </c>
      <c r="V108">
        <v>-3.4</v>
      </c>
      <c r="W108">
        <v>6.1</v>
      </c>
      <c r="Y108" s="3">
        <v>360</v>
      </c>
      <c r="Z108" s="3">
        <v>4</v>
      </c>
      <c r="AA108" s="3">
        <v>3</v>
      </c>
      <c r="AB108">
        <v>96.11</v>
      </c>
      <c r="AC108">
        <v>1.9800000000000002E-2</v>
      </c>
      <c r="AD108">
        <v>-5.3</v>
      </c>
      <c r="AE108">
        <v>9.1</v>
      </c>
    </row>
    <row r="109" spans="1:31" x14ac:dyDescent="0.25">
      <c r="A109" s="3">
        <v>270</v>
      </c>
      <c r="B109" s="3">
        <v>12</v>
      </c>
      <c r="C109" s="3">
        <v>3</v>
      </c>
      <c r="D109">
        <v>0</v>
      </c>
      <c r="E109">
        <v>0</v>
      </c>
      <c r="F109">
        <v>0</v>
      </c>
      <c r="G109">
        <v>0</v>
      </c>
      <c r="I109" s="3">
        <v>270</v>
      </c>
      <c r="J109" s="3">
        <v>12</v>
      </c>
      <c r="K109" s="3">
        <v>3</v>
      </c>
      <c r="L109">
        <v>0</v>
      </c>
      <c r="M109">
        <v>0</v>
      </c>
      <c r="N109">
        <v>0</v>
      </c>
      <c r="O109">
        <v>0</v>
      </c>
      <c r="Q109" s="3">
        <v>270</v>
      </c>
      <c r="R109" s="3">
        <v>12</v>
      </c>
      <c r="S109" s="3">
        <v>3</v>
      </c>
      <c r="T109">
        <v>95.58</v>
      </c>
      <c r="U109">
        <v>2.0230000000000001E-2</v>
      </c>
      <c r="V109">
        <v>-2.6</v>
      </c>
      <c r="W109">
        <v>5.3</v>
      </c>
      <c r="Y109" s="3">
        <v>360</v>
      </c>
      <c r="Z109" s="3">
        <v>5</v>
      </c>
      <c r="AA109" s="3">
        <v>1</v>
      </c>
      <c r="AB109">
        <v>91.41</v>
      </c>
      <c r="AC109">
        <v>2.026E-2</v>
      </c>
      <c r="AD109">
        <v>-1.1000000000000001</v>
      </c>
      <c r="AE109">
        <v>1.5</v>
      </c>
    </row>
    <row r="110" spans="1:31" x14ac:dyDescent="0.25">
      <c r="A110" s="3">
        <v>270</v>
      </c>
      <c r="B110" s="3">
        <v>13</v>
      </c>
      <c r="C110" s="3">
        <v>1</v>
      </c>
      <c r="D110">
        <v>0</v>
      </c>
      <c r="E110">
        <v>0</v>
      </c>
      <c r="F110">
        <v>0</v>
      </c>
      <c r="G110">
        <v>0</v>
      </c>
      <c r="I110" s="3">
        <v>270</v>
      </c>
      <c r="J110" s="3">
        <v>13</v>
      </c>
      <c r="K110" s="3">
        <v>1</v>
      </c>
      <c r="L110">
        <v>0</v>
      </c>
      <c r="M110">
        <v>0</v>
      </c>
      <c r="N110">
        <v>0</v>
      </c>
      <c r="O110">
        <v>0</v>
      </c>
      <c r="Q110" s="3">
        <v>270</v>
      </c>
      <c r="R110" s="3">
        <v>13</v>
      </c>
      <c r="S110" s="3">
        <v>1</v>
      </c>
      <c r="T110">
        <v>93.27</v>
      </c>
      <c r="U110">
        <v>2.0230000000000001E-2</v>
      </c>
      <c r="V110">
        <v>-3.8</v>
      </c>
      <c r="W110">
        <v>7.6</v>
      </c>
      <c r="Y110" s="3">
        <v>360</v>
      </c>
      <c r="Z110" s="3">
        <v>5</v>
      </c>
      <c r="AA110" s="3">
        <v>2</v>
      </c>
      <c r="AB110">
        <v>92.3</v>
      </c>
      <c r="AC110">
        <v>2.0279999999999999E-2</v>
      </c>
      <c r="AD110">
        <v>-1.2</v>
      </c>
      <c r="AE110">
        <v>1.6</v>
      </c>
    </row>
    <row r="111" spans="1:31" x14ac:dyDescent="0.25">
      <c r="A111" s="3">
        <v>270</v>
      </c>
      <c r="B111" s="3">
        <v>13</v>
      </c>
      <c r="C111" s="3">
        <v>2</v>
      </c>
      <c r="D111">
        <v>0</v>
      </c>
      <c r="E111">
        <v>0</v>
      </c>
      <c r="F111">
        <v>0</v>
      </c>
      <c r="G111">
        <v>0</v>
      </c>
      <c r="I111" s="3">
        <v>270</v>
      </c>
      <c r="J111" s="3">
        <v>13</v>
      </c>
      <c r="K111" s="3">
        <v>2</v>
      </c>
      <c r="L111">
        <v>0</v>
      </c>
      <c r="M111">
        <v>0</v>
      </c>
      <c r="N111">
        <v>0</v>
      </c>
      <c r="O111">
        <v>0</v>
      </c>
      <c r="Q111" s="3">
        <v>270</v>
      </c>
      <c r="R111" s="3">
        <v>13</v>
      </c>
      <c r="S111" s="3">
        <v>2</v>
      </c>
      <c r="T111">
        <v>92</v>
      </c>
      <c r="U111">
        <v>2.0209999999999999E-2</v>
      </c>
      <c r="V111">
        <v>-3.3</v>
      </c>
      <c r="W111">
        <v>7</v>
      </c>
      <c r="Y111" s="3">
        <v>360</v>
      </c>
      <c r="Z111" s="3">
        <v>5</v>
      </c>
      <c r="AA111" s="3">
        <v>3</v>
      </c>
      <c r="AB111">
        <v>94.27</v>
      </c>
      <c r="AC111">
        <v>2.0199999999999999E-2</v>
      </c>
      <c r="AD111">
        <v>-1.4</v>
      </c>
      <c r="AE111">
        <v>1.8</v>
      </c>
    </row>
    <row r="112" spans="1:31" x14ac:dyDescent="0.25">
      <c r="A112" s="3">
        <v>270</v>
      </c>
      <c r="B112" s="3">
        <v>14</v>
      </c>
      <c r="C112" s="3">
        <v>1</v>
      </c>
      <c r="D112">
        <v>0</v>
      </c>
      <c r="E112">
        <v>0</v>
      </c>
      <c r="F112">
        <v>0</v>
      </c>
      <c r="G112">
        <v>0</v>
      </c>
      <c r="I112" s="3">
        <v>270</v>
      </c>
      <c r="J112" s="3">
        <v>14</v>
      </c>
      <c r="K112" s="3">
        <v>1</v>
      </c>
      <c r="L112">
        <v>0</v>
      </c>
      <c r="M112">
        <v>0</v>
      </c>
      <c r="N112">
        <v>0</v>
      </c>
      <c r="O112">
        <v>0</v>
      </c>
      <c r="Q112" s="3">
        <v>270</v>
      </c>
      <c r="R112" s="3">
        <v>14</v>
      </c>
      <c r="S112" s="3">
        <v>1</v>
      </c>
      <c r="T112">
        <v>91.15</v>
      </c>
      <c r="U112">
        <v>2.019E-2</v>
      </c>
      <c r="V112">
        <v>-2</v>
      </c>
      <c r="W112">
        <v>4.3</v>
      </c>
      <c r="Y112" s="3">
        <v>360</v>
      </c>
      <c r="Z112" s="3">
        <v>6</v>
      </c>
      <c r="AA112" s="3">
        <v>1</v>
      </c>
      <c r="AB112">
        <v>96.88</v>
      </c>
      <c r="AC112">
        <v>1.976E-2</v>
      </c>
      <c r="AD112">
        <v>-5.4</v>
      </c>
      <c r="AE112">
        <v>9.1</v>
      </c>
    </row>
    <row r="113" spans="1:31" x14ac:dyDescent="0.25">
      <c r="A113" s="3">
        <v>270</v>
      </c>
      <c r="B113" s="3">
        <v>14</v>
      </c>
      <c r="C113" s="3">
        <v>2</v>
      </c>
      <c r="D113">
        <v>0</v>
      </c>
      <c r="E113">
        <v>0</v>
      </c>
      <c r="F113">
        <v>0</v>
      </c>
      <c r="G113">
        <v>0</v>
      </c>
      <c r="I113" s="3">
        <v>270</v>
      </c>
      <c r="J113" s="3">
        <v>14</v>
      </c>
      <c r="K113" s="3">
        <v>2</v>
      </c>
      <c r="L113">
        <v>0</v>
      </c>
      <c r="M113">
        <v>0</v>
      </c>
      <c r="N113">
        <v>0</v>
      </c>
      <c r="O113">
        <v>0</v>
      </c>
      <c r="Q113" s="3">
        <v>270</v>
      </c>
      <c r="R113" s="3">
        <v>14</v>
      </c>
      <c r="S113" s="3">
        <v>2</v>
      </c>
      <c r="T113">
        <v>90.4</v>
      </c>
      <c r="U113">
        <v>2.018E-2</v>
      </c>
      <c r="V113">
        <v>-1.8</v>
      </c>
      <c r="W113">
        <v>4.0999999999999996</v>
      </c>
      <c r="Y113" s="3">
        <v>360</v>
      </c>
      <c r="Z113" s="3">
        <v>6</v>
      </c>
      <c r="AA113" s="3">
        <v>2</v>
      </c>
      <c r="AB113">
        <v>97.91</v>
      </c>
      <c r="AC113">
        <v>1.968E-2</v>
      </c>
      <c r="AD113">
        <v>-5.9</v>
      </c>
      <c r="AE113">
        <v>9.6</v>
      </c>
    </row>
    <row r="114" spans="1:31" x14ac:dyDescent="0.25">
      <c r="A114" s="3">
        <v>270</v>
      </c>
      <c r="B114" s="3">
        <v>103</v>
      </c>
      <c r="C114" s="3">
        <v>1</v>
      </c>
      <c r="D114">
        <v>0</v>
      </c>
      <c r="E114">
        <v>0</v>
      </c>
      <c r="I114" s="3">
        <v>270</v>
      </c>
      <c r="J114" s="3">
        <v>103</v>
      </c>
      <c r="K114" s="3">
        <v>1</v>
      </c>
      <c r="L114">
        <v>0</v>
      </c>
      <c r="M114">
        <v>0</v>
      </c>
      <c r="Q114" s="3">
        <v>270</v>
      </c>
      <c r="R114" s="3">
        <v>103</v>
      </c>
      <c r="S114" s="3">
        <v>1</v>
      </c>
      <c r="T114">
        <v>90.69</v>
      </c>
      <c r="U114">
        <v>2.0219999999999998E-2</v>
      </c>
      <c r="Y114" s="3">
        <v>360</v>
      </c>
      <c r="Z114" s="3">
        <v>6</v>
      </c>
      <c r="AA114" s="3">
        <v>3</v>
      </c>
      <c r="AB114">
        <v>99.52</v>
      </c>
      <c r="AC114">
        <v>1.9599999999999999E-2</v>
      </c>
      <c r="AD114">
        <v>-6.7</v>
      </c>
      <c r="AE114">
        <v>10.3</v>
      </c>
    </row>
    <row r="115" spans="1:31" x14ac:dyDescent="0.25">
      <c r="A115" s="3">
        <v>270</v>
      </c>
      <c r="B115" s="3">
        <v>104</v>
      </c>
      <c r="C115" s="3">
        <v>1</v>
      </c>
      <c r="D115">
        <v>0</v>
      </c>
      <c r="E115">
        <v>0</v>
      </c>
      <c r="I115" s="3">
        <v>270</v>
      </c>
      <c r="J115" s="3">
        <v>104</v>
      </c>
      <c r="K115" s="3">
        <v>1</v>
      </c>
      <c r="L115">
        <v>0</v>
      </c>
      <c r="M115">
        <v>0</v>
      </c>
      <c r="Q115" s="3">
        <v>270</v>
      </c>
      <c r="R115" s="3">
        <v>104</v>
      </c>
      <c r="S115" s="3">
        <v>1</v>
      </c>
      <c r="T115">
        <v>90.21</v>
      </c>
      <c r="U115">
        <v>2.0029999999999999E-2</v>
      </c>
      <c r="Y115" s="3">
        <v>360</v>
      </c>
      <c r="Z115" s="3">
        <v>7</v>
      </c>
      <c r="AA115" s="3">
        <v>1</v>
      </c>
      <c r="AB115">
        <v>101.06</v>
      </c>
      <c r="AC115">
        <v>1.9609999999999999E-2</v>
      </c>
      <c r="AD115">
        <v>98</v>
      </c>
      <c r="AE115">
        <v>20.100000000000001</v>
      </c>
    </row>
    <row r="116" spans="1:31" x14ac:dyDescent="0.25">
      <c r="A116" s="3">
        <v>270</v>
      </c>
      <c r="B116" s="3">
        <v>110</v>
      </c>
      <c r="C116" s="3">
        <v>1</v>
      </c>
      <c r="D116">
        <v>0</v>
      </c>
      <c r="E116">
        <v>0</v>
      </c>
      <c r="I116" s="3">
        <v>270</v>
      </c>
      <c r="J116" s="3">
        <v>110</v>
      </c>
      <c r="K116" s="3">
        <v>1</v>
      </c>
      <c r="L116">
        <v>0</v>
      </c>
      <c r="M116">
        <v>0</v>
      </c>
      <c r="Q116" s="3">
        <v>270</v>
      </c>
      <c r="R116" s="3">
        <v>110</v>
      </c>
      <c r="S116" s="3">
        <v>1</v>
      </c>
      <c r="T116">
        <v>91.18</v>
      </c>
      <c r="U116">
        <v>1.9570000000000001E-2</v>
      </c>
      <c r="Y116" s="3">
        <v>360</v>
      </c>
      <c r="Z116" s="3">
        <v>8</v>
      </c>
      <c r="AA116" s="3">
        <v>1</v>
      </c>
      <c r="AB116">
        <v>94.77</v>
      </c>
      <c r="AC116">
        <v>1.9259999999999999E-2</v>
      </c>
      <c r="AD116">
        <v>22.9</v>
      </c>
      <c r="AE116">
        <v>0</v>
      </c>
    </row>
    <row r="117" spans="1:31" x14ac:dyDescent="0.25">
      <c r="A117" s="3">
        <v>270</v>
      </c>
      <c r="B117" s="3">
        <v>114</v>
      </c>
      <c r="C117" s="3">
        <v>1</v>
      </c>
      <c r="D117">
        <v>0</v>
      </c>
      <c r="E117">
        <v>0</v>
      </c>
      <c r="I117" s="3">
        <v>270</v>
      </c>
      <c r="J117" s="3">
        <v>114</v>
      </c>
      <c r="K117" s="3">
        <v>1</v>
      </c>
      <c r="L117">
        <v>0</v>
      </c>
      <c r="M117">
        <v>0</v>
      </c>
      <c r="Q117" s="3">
        <v>270</v>
      </c>
      <c r="R117" s="3">
        <v>114</v>
      </c>
      <c r="S117" s="3">
        <v>1</v>
      </c>
      <c r="T117">
        <v>93.68</v>
      </c>
      <c r="U117">
        <v>2.0240000000000001E-2</v>
      </c>
      <c r="Y117" s="3">
        <v>360</v>
      </c>
      <c r="Z117" s="3">
        <v>8</v>
      </c>
      <c r="AA117" s="3">
        <v>2</v>
      </c>
      <c r="AB117">
        <v>92.6</v>
      </c>
      <c r="AC117">
        <v>1.9640000000000001E-2</v>
      </c>
      <c r="AD117">
        <v>22.9</v>
      </c>
      <c r="AE117">
        <v>0</v>
      </c>
    </row>
    <row r="118" spans="1:31" x14ac:dyDescent="0.25">
      <c r="A118" s="3">
        <v>360</v>
      </c>
      <c r="B118" s="3">
        <v>1</v>
      </c>
      <c r="C118" s="3">
        <v>1</v>
      </c>
      <c r="D118">
        <v>0</v>
      </c>
      <c r="E118">
        <v>0</v>
      </c>
      <c r="F118">
        <v>0</v>
      </c>
      <c r="G118">
        <v>0</v>
      </c>
      <c r="I118" s="3">
        <v>360</v>
      </c>
      <c r="J118" s="3">
        <v>1</v>
      </c>
      <c r="K118" s="3">
        <v>1</v>
      </c>
      <c r="L118">
        <v>0</v>
      </c>
      <c r="M118">
        <v>0</v>
      </c>
      <c r="N118">
        <v>0</v>
      </c>
      <c r="O118">
        <v>0</v>
      </c>
      <c r="Q118" s="3">
        <v>360</v>
      </c>
      <c r="R118" s="3">
        <v>1</v>
      </c>
      <c r="S118" s="3">
        <v>1</v>
      </c>
      <c r="T118">
        <v>89.98</v>
      </c>
      <c r="U118">
        <v>2.018E-2</v>
      </c>
      <c r="V118">
        <v>-0.2</v>
      </c>
      <c r="W118">
        <v>0.4</v>
      </c>
      <c r="Y118" s="3">
        <v>360</v>
      </c>
      <c r="Z118" s="3">
        <v>9</v>
      </c>
      <c r="AA118" s="3">
        <v>1</v>
      </c>
      <c r="AB118">
        <v>101.07</v>
      </c>
      <c r="AC118">
        <v>1.9740000000000001E-2</v>
      </c>
      <c r="AD118">
        <v>174</v>
      </c>
      <c r="AE118">
        <v>22.8</v>
      </c>
    </row>
    <row r="119" spans="1:31" x14ac:dyDescent="0.25">
      <c r="A119" s="3">
        <v>360</v>
      </c>
      <c r="B119" s="3">
        <v>2</v>
      </c>
      <c r="C119" s="3">
        <v>1</v>
      </c>
      <c r="D119">
        <v>0</v>
      </c>
      <c r="E119">
        <v>0</v>
      </c>
      <c r="F119">
        <v>0</v>
      </c>
      <c r="G119">
        <v>0</v>
      </c>
      <c r="I119" s="3">
        <v>360</v>
      </c>
      <c r="J119" s="3">
        <v>2</v>
      </c>
      <c r="K119" s="3">
        <v>1</v>
      </c>
      <c r="L119">
        <v>0</v>
      </c>
      <c r="M119">
        <v>0</v>
      </c>
      <c r="N119">
        <v>0</v>
      </c>
      <c r="O119">
        <v>0</v>
      </c>
      <c r="Q119" s="3">
        <v>360</v>
      </c>
      <c r="R119" s="3">
        <v>2</v>
      </c>
      <c r="S119" s="3">
        <v>1</v>
      </c>
      <c r="T119">
        <v>89.97</v>
      </c>
      <c r="U119">
        <v>2.018E-2</v>
      </c>
      <c r="V119">
        <v>-0.2</v>
      </c>
      <c r="W119">
        <v>0.4</v>
      </c>
      <c r="Y119" s="3">
        <v>360</v>
      </c>
      <c r="Z119" s="3">
        <v>9</v>
      </c>
      <c r="AA119" s="3">
        <v>2</v>
      </c>
      <c r="AB119">
        <v>101</v>
      </c>
      <c r="AC119">
        <v>1.9879999999999998E-2</v>
      </c>
      <c r="AD119">
        <v>312.89999999999998</v>
      </c>
      <c r="AE119">
        <v>22.9</v>
      </c>
    </row>
    <row r="120" spans="1:31" x14ac:dyDescent="0.25">
      <c r="A120" s="3">
        <v>360</v>
      </c>
      <c r="B120" s="3">
        <v>3</v>
      </c>
      <c r="C120" s="3">
        <v>1</v>
      </c>
      <c r="D120">
        <v>0</v>
      </c>
      <c r="E120">
        <v>0</v>
      </c>
      <c r="F120">
        <v>0</v>
      </c>
      <c r="G120">
        <v>0</v>
      </c>
      <c r="I120" s="3">
        <v>360</v>
      </c>
      <c r="J120" s="3">
        <v>3</v>
      </c>
      <c r="K120" s="3">
        <v>1</v>
      </c>
      <c r="L120">
        <v>0</v>
      </c>
      <c r="M120">
        <v>0</v>
      </c>
      <c r="N120">
        <v>0</v>
      </c>
      <c r="O120">
        <v>0</v>
      </c>
      <c r="Q120" s="3">
        <v>360</v>
      </c>
      <c r="R120" s="3">
        <v>3</v>
      </c>
      <c r="S120" s="3">
        <v>1</v>
      </c>
      <c r="T120">
        <v>90.09</v>
      </c>
      <c r="U120">
        <v>2.0199999999999999E-2</v>
      </c>
      <c r="V120">
        <v>-0.6</v>
      </c>
      <c r="W120">
        <v>0.9</v>
      </c>
      <c r="Y120" s="3">
        <v>360</v>
      </c>
      <c r="Z120" s="3">
        <v>9</v>
      </c>
      <c r="AA120" s="3">
        <v>3</v>
      </c>
      <c r="AB120">
        <v>100.69</v>
      </c>
      <c r="AC120">
        <v>1.9990000000000001E-2</v>
      </c>
      <c r="AD120">
        <v>313</v>
      </c>
      <c r="AE120">
        <v>22.8</v>
      </c>
    </row>
    <row r="121" spans="1:31" x14ac:dyDescent="0.25">
      <c r="A121" s="3">
        <v>360</v>
      </c>
      <c r="B121" s="3">
        <v>3</v>
      </c>
      <c r="C121" s="3">
        <v>2</v>
      </c>
      <c r="D121">
        <v>0</v>
      </c>
      <c r="E121">
        <v>0</v>
      </c>
      <c r="F121">
        <v>0</v>
      </c>
      <c r="G121">
        <v>0</v>
      </c>
      <c r="I121" s="3">
        <v>360</v>
      </c>
      <c r="J121" s="3">
        <v>3</v>
      </c>
      <c r="K121" s="3">
        <v>2</v>
      </c>
      <c r="L121">
        <v>0</v>
      </c>
      <c r="M121">
        <v>0</v>
      </c>
      <c r="N121">
        <v>0</v>
      </c>
      <c r="O121">
        <v>0</v>
      </c>
      <c r="Q121" s="3">
        <v>360</v>
      </c>
      <c r="R121" s="3">
        <v>3</v>
      </c>
      <c r="S121" s="3">
        <v>2</v>
      </c>
      <c r="T121">
        <v>90.51</v>
      </c>
      <c r="U121">
        <v>2.0230000000000001E-2</v>
      </c>
      <c r="V121">
        <v>-0.6</v>
      </c>
      <c r="W121">
        <v>1</v>
      </c>
      <c r="Y121" s="3">
        <v>360</v>
      </c>
      <c r="Z121" s="3">
        <v>9</v>
      </c>
      <c r="AA121" s="3">
        <v>4</v>
      </c>
      <c r="AB121">
        <v>99.96</v>
      </c>
      <c r="AC121">
        <v>2.0039999999999999E-2</v>
      </c>
      <c r="AD121">
        <v>313.2</v>
      </c>
      <c r="AE121">
        <v>22.6</v>
      </c>
    </row>
    <row r="122" spans="1:31" x14ac:dyDescent="0.25">
      <c r="A122" s="3">
        <v>360</v>
      </c>
      <c r="B122" s="3">
        <v>4</v>
      </c>
      <c r="C122" s="3">
        <v>1</v>
      </c>
      <c r="D122">
        <v>0</v>
      </c>
      <c r="E122">
        <v>0</v>
      </c>
      <c r="F122">
        <v>0</v>
      </c>
      <c r="G122">
        <v>0</v>
      </c>
      <c r="I122" s="3">
        <v>360</v>
      </c>
      <c r="J122" s="3">
        <v>4</v>
      </c>
      <c r="K122" s="3">
        <v>1</v>
      </c>
      <c r="L122">
        <v>0</v>
      </c>
      <c r="M122">
        <v>0</v>
      </c>
      <c r="N122">
        <v>0</v>
      </c>
      <c r="O122">
        <v>0</v>
      </c>
      <c r="Q122" s="3">
        <v>360</v>
      </c>
      <c r="R122" s="3">
        <v>4</v>
      </c>
      <c r="S122" s="3">
        <v>1</v>
      </c>
      <c r="T122">
        <v>95.76</v>
      </c>
      <c r="U122">
        <v>1.968E-2</v>
      </c>
      <c r="V122">
        <v>-5.2</v>
      </c>
      <c r="W122">
        <v>9</v>
      </c>
      <c r="Y122" s="3">
        <v>360</v>
      </c>
      <c r="Z122" s="3">
        <v>10</v>
      </c>
      <c r="AA122" s="3">
        <v>1</v>
      </c>
      <c r="AB122">
        <v>93.83</v>
      </c>
      <c r="AC122">
        <v>1.9369999999999998E-2</v>
      </c>
      <c r="AD122">
        <v>22.9</v>
      </c>
      <c r="AE122">
        <v>0</v>
      </c>
    </row>
    <row r="123" spans="1:31" x14ac:dyDescent="0.25">
      <c r="A123" s="3">
        <v>360</v>
      </c>
      <c r="B123" s="3">
        <v>4</v>
      </c>
      <c r="C123" s="3">
        <v>2</v>
      </c>
      <c r="D123">
        <v>0</v>
      </c>
      <c r="E123">
        <v>0</v>
      </c>
      <c r="F123">
        <v>0</v>
      </c>
      <c r="G123">
        <v>0</v>
      </c>
      <c r="I123" s="3">
        <v>360</v>
      </c>
      <c r="J123" s="3">
        <v>4</v>
      </c>
      <c r="K123" s="3">
        <v>2</v>
      </c>
      <c r="L123">
        <v>0</v>
      </c>
      <c r="M123">
        <v>0</v>
      </c>
      <c r="N123">
        <v>0</v>
      </c>
      <c r="O123">
        <v>0</v>
      </c>
      <c r="Q123" s="3">
        <v>360</v>
      </c>
      <c r="R123" s="3">
        <v>4</v>
      </c>
      <c r="S123" s="3">
        <v>2</v>
      </c>
      <c r="T123">
        <v>95.82</v>
      </c>
      <c r="U123">
        <v>1.9769999999999999E-2</v>
      </c>
      <c r="V123">
        <v>-5.2</v>
      </c>
      <c r="W123">
        <v>9</v>
      </c>
      <c r="Y123" s="3">
        <v>360</v>
      </c>
      <c r="Z123" s="3">
        <v>10</v>
      </c>
      <c r="AA123" s="3">
        <v>2</v>
      </c>
      <c r="AB123">
        <v>96.03</v>
      </c>
      <c r="AC123">
        <v>1.932E-2</v>
      </c>
      <c r="AD123">
        <v>22.9</v>
      </c>
      <c r="AE123">
        <v>0</v>
      </c>
    </row>
    <row r="124" spans="1:31" x14ac:dyDescent="0.25">
      <c r="A124" s="3">
        <v>360</v>
      </c>
      <c r="B124" s="3">
        <v>4</v>
      </c>
      <c r="C124" s="3">
        <v>3</v>
      </c>
      <c r="D124">
        <v>0</v>
      </c>
      <c r="E124">
        <v>0</v>
      </c>
      <c r="F124">
        <v>0</v>
      </c>
      <c r="G124">
        <v>0</v>
      </c>
      <c r="I124" s="3">
        <v>360</v>
      </c>
      <c r="J124" s="3">
        <v>4</v>
      </c>
      <c r="K124" s="3">
        <v>3</v>
      </c>
      <c r="L124">
        <v>0</v>
      </c>
      <c r="M124">
        <v>0</v>
      </c>
      <c r="N124">
        <v>0</v>
      </c>
      <c r="O124">
        <v>0</v>
      </c>
      <c r="Q124" s="3">
        <v>360</v>
      </c>
      <c r="R124" s="3">
        <v>4</v>
      </c>
      <c r="S124" s="3">
        <v>3</v>
      </c>
      <c r="T124">
        <v>96.11</v>
      </c>
      <c r="U124">
        <v>1.9800000000000002E-2</v>
      </c>
      <c r="V124">
        <v>-5.3</v>
      </c>
      <c r="W124">
        <v>9.1</v>
      </c>
      <c r="Y124" s="3">
        <v>360</v>
      </c>
      <c r="Z124" s="3">
        <v>11</v>
      </c>
      <c r="AA124" s="3">
        <v>1</v>
      </c>
      <c r="AB124">
        <v>99.72</v>
      </c>
      <c r="AC124">
        <v>2.019E-2</v>
      </c>
      <c r="AD124">
        <v>299.2</v>
      </c>
      <c r="AE124">
        <v>20.100000000000001</v>
      </c>
    </row>
    <row r="125" spans="1:31" x14ac:dyDescent="0.25">
      <c r="A125" s="3">
        <v>360</v>
      </c>
      <c r="B125" s="3">
        <v>5</v>
      </c>
      <c r="C125" s="3">
        <v>1</v>
      </c>
      <c r="D125">
        <v>0</v>
      </c>
      <c r="E125">
        <v>0</v>
      </c>
      <c r="F125">
        <v>0</v>
      </c>
      <c r="G125">
        <v>0</v>
      </c>
      <c r="I125" s="3">
        <v>360</v>
      </c>
      <c r="J125" s="3">
        <v>5</v>
      </c>
      <c r="K125" s="3">
        <v>1</v>
      </c>
      <c r="L125">
        <v>0</v>
      </c>
      <c r="M125">
        <v>0</v>
      </c>
      <c r="N125">
        <v>0</v>
      </c>
      <c r="O125">
        <v>0</v>
      </c>
      <c r="Q125" s="3">
        <v>360</v>
      </c>
      <c r="R125" s="3">
        <v>5</v>
      </c>
      <c r="S125" s="3">
        <v>1</v>
      </c>
      <c r="T125">
        <v>91.41</v>
      </c>
      <c r="U125">
        <v>2.026E-2</v>
      </c>
      <c r="V125">
        <v>-1.1000000000000001</v>
      </c>
      <c r="W125">
        <v>1.5</v>
      </c>
      <c r="Y125" s="3">
        <v>360</v>
      </c>
      <c r="Z125" s="3">
        <v>12</v>
      </c>
      <c r="AA125" s="3">
        <v>1</v>
      </c>
      <c r="AB125">
        <v>100.65</v>
      </c>
      <c r="AC125">
        <v>2.0219999999999998E-2</v>
      </c>
      <c r="AD125">
        <v>296.60000000000002</v>
      </c>
      <c r="AE125">
        <v>8.6999999999999993</v>
      </c>
    </row>
    <row r="126" spans="1:31" x14ac:dyDescent="0.25">
      <c r="A126" s="3">
        <v>360</v>
      </c>
      <c r="B126" s="3">
        <v>5</v>
      </c>
      <c r="C126" s="3">
        <v>2</v>
      </c>
      <c r="D126">
        <v>0</v>
      </c>
      <c r="E126">
        <v>0</v>
      </c>
      <c r="F126">
        <v>0</v>
      </c>
      <c r="G126">
        <v>0</v>
      </c>
      <c r="I126" s="3">
        <v>360</v>
      </c>
      <c r="J126" s="3">
        <v>5</v>
      </c>
      <c r="K126" s="3">
        <v>2</v>
      </c>
      <c r="L126">
        <v>0</v>
      </c>
      <c r="M126">
        <v>0</v>
      </c>
      <c r="N126">
        <v>0</v>
      </c>
      <c r="O126">
        <v>0</v>
      </c>
      <c r="Q126" s="3">
        <v>360</v>
      </c>
      <c r="R126" s="3">
        <v>5</v>
      </c>
      <c r="S126" s="3">
        <v>2</v>
      </c>
      <c r="T126">
        <v>92.3</v>
      </c>
      <c r="U126">
        <v>2.0279999999999999E-2</v>
      </c>
      <c r="V126">
        <v>-1.2</v>
      </c>
      <c r="W126">
        <v>1.6</v>
      </c>
      <c r="Y126" s="3">
        <v>360</v>
      </c>
      <c r="Z126" s="3">
        <v>12</v>
      </c>
      <c r="AA126" s="3">
        <v>2</v>
      </c>
      <c r="AB126">
        <v>98.46</v>
      </c>
      <c r="AC126">
        <v>2.026E-2</v>
      </c>
      <c r="AD126">
        <v>-3.5</v>
      </c>
      <c r="AE126">
        <v>6.2</v>
      </c>
    </row>
    <row r="127" spans="1:31" x14ac:dyDescent="0.25">
      <c r="A127" s="3">
        <v>360</v>
      </c>
      <c r="B127" s="3">
        <v>5</v>
      </c>
      <c r="C127" s="3">
        <v>3</v>
      </c>
      <c r="D127">
        <v>0</v>
      </c>
      <c r="E127">
        <v>0</v>
      </c>
      <c r="F127">
        <v>0</v>
      </c>
      <c r="G127">
        <v>0</v>
      </c>
      <c r="I127" s="3">
        <v>360</v>
      </c>
      <c r="J127" s="3">
        <v>5</v>
      </c>
      <c r="K127" s="3">
        <v>3</v>
      </c>
      <c r="L127">
        <v>0</v>
      </c>
      <c r="M127">
        <v>0</v>
      </c>
      <c r="N127">
        <v>0</v>
      </c>
      <c r="O127">
        <v>0</v>
      </c>
      <c r="Q127" s="3">
        <v>360</v>
      </c>
      <c r="R127" s="3">
        <v>5</v>
      </c>
      <c r="S127" s="3">
        <v>3</v>
      </c>
      <c r="T127">
        <v>94.27</v>
      </c>
      <c r="U127">
        <v>2.0199999999999999E-2</v>
      </c>
      <c r="V127">
        <v>-1.4</v>
      </c>
      <c r="W127">
        <v>1.8</v>
      </c>
      <c r="Y127" s="3">
        <v>360</v>
      </c>
      <c r="Z127" s="3">
        <v>12</v>
      </c>
      <c r="AA127" s="3">
        <v>3</v>
      </c>
      <c r="AB127">
        <v>95.65</v>
      </c>
      <c r="AC127">
        <v>2.0250000000000001E-2</v>
      </c>
      <c r="AD127">
        <v>-2.7</v>
      </c>
      <c r="AE127">
        <v>5.4</v>
      </c>
    </row>
    <row r="128" spans="1:31" x14ac:dyDescent="0.25">
      <c r="A128" s="3">
        <v>360</v>
      </c>
      <c r="B128" s="3">
        <v>6</v>
      </c>
      <c r="C128" s="3">
        <v>1</v>
      </c>
      <c r="D128">
        <v>0</v>
      </c>
      <c r="E128">
        <v>0</v>
      </c>
      <c r="F128">
        <v>0</v>
      </c>
      <c r="G128">
        <v>0</v>
      </c>
      <c r="I128" s="3">
        <v>360</v>
      </c>
      <c r="J128" s="3">
        <v>6</v>
      </c>
      <c r="K128" s="3">
        <v>1</v>
      </c>
      <c r="L128">
        <v>0</v>
      </c>
      <c r="M128">
        <v>0</v>
      </c>
      <c r="N128">
        <v>0</v>
      </c>
      <c r="O128">
        <v>0</v>
      </c>
      <c r="Q128" s="3">
        <v>360</v>
      </c>
      <c r="R128" s="3">
        <v>6</v>
      </c>
      <c r="S128" s="3">
        <v>1</v>
      </c>
      <c r="T128">
        <v>96.88</v>
      </c>
      <c r="U128">
        <v>1.976E-2</v>
      </c>
      <c r="V128">
        <v>-5.4</v>
      </c>
      <c r="W128">
        <v>9.1</v>
      </c>
      <c r="Y128" s="3">
        <v>360</v>
      </c>
      <c r="Z128" s="3">
        <v>13</v>
      </c>
      <c r="AA128" s="3">
        <v>1</v>
      </c>
      <c r="AB128">
        <v>93.31</v>
      </c>
      <c r="AC128">
        <v>2.0230000000000001E-2</v>
      </c>
      <c r="AD128">
        <v>-3.9</v>
      </c>
      <c r="AE128">
        <v>7.7</v>
      </c>
    </row>
    <row r="129" spans="1:31" x14ac:dyDescent="0.25">
      <c r="A129" s="3">
        <v>360</v>
      </c>
      <c r="B129" s="3">
        <v>6</v>
      </c>
      <c r="C129" s="3">
        <v>2</v>
      </c>
      <c r="D129">
        <v>0</v>
      </c>
      <c r="E129">
        <v>0</v>
      </c>
      <c r="F129">
        <v>0</v>
      </c>
      <c r="G129">
        <v>0</v>
      </c>
      <c r="I129" s="3">
        <v>360</v>
      </c>
      <c r="J129" s="3">
        <v>6</v>
      </c>
      <c r="K129" s="3">
        <v>2</v>
      </c>
      <c r="L129">
        <v>0</v>
      </c>
      <c r="M129">
        <v>0</v>
      </c>
      <c r="N129">
        <v>0</v>
      </c>
      <c r="O129">
        <v>0</v>
      </c>
      <c r="Q129" s="3">
        <v>360</v>
      </c>
      <c r="R129" s="3">
        <v>6</v>
      </c>
      <c r="S129" s="3">
        <v>2</v>
      </c>
      <c r="T129">
        <v>97.91</v>
      </c>
      <c r="U129">
        <v>1.968E-2</v>
      </c>
      <c r="V129">
        <v>-5.9</v>
      </c>
      <c r="W129">
        <v>9.6</v>
      </c>
      <c r="Y129" s="3">
        <v>360</v>
      </c>
      <c r="Z129" s="3">
        <v>13</v>
      </c>
      <c r="AA129" s="3">
        <v>2</v>
      </c>
      <c r="AB129">
        <v>92.02</v>
      </c>
      <c r="AC129">
        <v>2.0209999999999999E-2</v>
      </c>
      <c r="AD129">
        <v>-3.3</v>
      </c>
      <c r="AE129">
        <v>7.1</v>
      </c>
    </row>
    <row r="130" spans="1:31" x14ac:dyDescent="0.25">
      <c r="A130" s="3">
        <v>360</v>
      </c>
      <c r="B130" s="3">
        <v>6</v>
      </c>
      <c r="C130" s="3">
        <v>3</v>
      </c>
      <c r="D130">
        <v>0</v>
      </c>
      <c r="E130">
        <v>0</v>
      </c>
      <c r="F130">
        <v>0</v>
      </c>
      <c r="G130">
        <v>0</v>
      </c>
      <c r="I130" s="3">
        <v>360</v>
      </c>
      <c r="J130" s="3">
        <v>6</v>
      </c>
      <c r="K130" s="3">
        <v>3</v>
      </c>
      <c r="L130">
        <v>0</v>
      </c>
      <c r="M130">
        <v>0</v>
      </c>
      <c r="N130">
        <v>0</v>
      </c>
      <c r="O130">
        <v>0</v>
      </c>
      <c r="Q130" s="3">
        <v>360</v>
      </c>
      <c r="R130" s="3">
        <v>6</v>
      </c>
      <c r="S130" s="3">
        <v>3</v>
      </c>
      <c r="T130">
        <v>99.52</v>
      </c>
      <c r="U130">
        <v>1.9599999999999999E-2</v>
      </c>
      <c r="V130">
        <v>-6.7</v>
      </c>
      <c r="W130">
        <v>10.3</v>
      </c>
      <c r="Y130" s="3">
        <v>360</v>
      </c>
      <c r="Z130" s="3">
        <v>14</v>
      </c>
      <c r="AA130" s="3">
        <v>1</v>
      </c>
      <c r="AB130">
        <v>91.15</v>
      </c>
      <c r="AC130">
        <v>2.019E-2</v>
      </c>
      <c r="AD130">
        <v>-2</v>
      </c>
      <c r="AE130">
        <v>4.4000000000000004</v>
      </c>
    </row>
    <row r="131" spans="1:31" x14ac:dyDescent="0.25">
      <c r="A131" s="3">
        <v>360</v>
      </c>
      <c r="B131" s="3">
        <v>7</v>
      </c>
      <c r="C131" s="3">
        <v>1</v>
      </c>
      <c r="D131">
        <v>0</v>
      </c>
      <c r="E131">
        <v>0</v>
      </c>
      <c r="F131">
        <v>0</v>
      </c>
      <c r="G131">
        <v>0</v>
      </c>
      <c r="I131" s="3">
        <v>360</v>
      </c>
      <c r="J131" s="3">
        <v>7</v>
      </c>
      <c r="K131" s="3">
        <v>1</v>
      </c>
      <c r="L131">
        <v>0</v>
      </c>
      <c r="M131">
        <v>0</v>
      </c>
      <c r="N131">
        <v>0</v>
      </c>
      <c r="O131">
        <v>0</v>
      </c>
      <c r="Q131" s="3">
        <v>360</v>
      </c>
      <c r="R131" s="3">
        <v>7</v>
      </c>
      <c r="S131" s="3">
        <v>1</v>
      </c>
      <c r="T131">
        <v>101.06</v>
      </c>
      <c r="U131">
        <v>1.9609999999999999E-2</v>
      </c>
      <c r="V131">
        <v>98</v>
      </c>
      <c r="W131">
        <v>20.100000000000001</v>
      </c>
      <c r="Y131" s="3">
        <v>360</v>
      </c>
      <c r="Z131" s="3">
        <v>14</v>
      </c>
      <c r="AA131" s="3">
        <v>2</v>
      </c>
      <c r="AB131">
        <v>90.4</v>
      </c>
      <c r="AC131">
        <v>2.018E-2</v>
      </c>
      <c r="AD131">
        <v>-1.8</v>
      </c>
      <c r="AE131">
        <v>4.0999999999999996</v>
      </c>
    </row>
    <row r="132" spans="1:31" x14ac:dyDescent="0.25">
      <c r="A132" s="3">
        <v>360</v>
      </c>
      <c r="B132" s="3">
        <v>8</v>
      </c>
      <c r="C132" s="3">
        <v>1</v>
      </c>
      <c r="D132">
        <v>0</v>
      </c>
      <c r="E132">
        <v>0</v>
      </c>
      <c r="F132">
        <v>0</v>
      </c>
      <c r="I132" s="3">
        <v>360</v>
      </c>
      <c r="J132" s="3">
        <v>8</v>
      </c>
      <c r="K132" s="3">
        <v>1</v>
      </c>
      <c r="L132">
        <v>0</v>
      </c>
      <c r="M132">
        <v>0</v>
      </c>
      <c r="N132">
        <v>0</v>
      </c>
      <c r="O132">
        <v>0</v>
      </c>
      <c r="Q132" s="3">
        <v>360</v>
      </c>
      <c r="R132" s="3">
        <v>8</v>
      </c>
      <c r="S132" s="3">
        <v>1</v>
      </c>
      <c r="T132">
        <v>94.77</v>
      </c>
      <c r="U132">
        <v>1.9259999999999999E-2</v>
      </c>
      <c r="V132">
        <v>22.9</v>
      </c>
      <c r="W132">
        <v>0</v>
      </c>
      <c r="Y132" s="3">
        <v>360</v>
      </c>
      <c r="Z132" s="3">
        <v>103</v>
      </c>
      <c r="AA132" s="3">
        <v>1</v>
      </c>
      <c r="AB132">
        <v>90.69</v>
      </c>
      <c r="AC132">
        <v>2.0219999999999998E-2</v>
      </c>
    </row>
    <row r="133" spans="1:31" x14ac:dyDescent="0.25">
      <c r="A133" s="3">
        <v>360</v>
      </c>
      <c r="B133" s="3">
        <v>8</v>
      </c>
      <c r="C133" s="3">
        <v>2</v>
      </c>
      <c r="D133">
        <v>0</v>
      </c>
      <c r="E133">
        <v>0</v>
      </c>
      <c r="F133">
        <v>0</v>
      </c>
      <c r="I133" s="3">
        <v>360</v>
      </c>
      <c r="J133" s="3">
        <v>8</v>
      </c>
      <c r="K133" s="3">
        <v>2</v>
      </c>
      <c r="L133">
        <v>0</v>
      </c>
      <c r="M133">
        <v>0</v>
      </c>
      <c r="N133">
        <v>0</v>
      </c>
      <c r="O133">
        <v>0</v>
      </c>
      <c r="Q133" s="3">
        <v>360</v>
      </c>
      <c r="R133" s="3">
        <v>8</v>
      </c>
      <c r="S133" s="3">
        <v>2</v>
      </c>
      <c r="T133">
        <v>92.6</v>
      </c>
      <c r="U133">
        <v>1.9640000000000001E-2</v>
      </c>
      <c r="V133">
        <v>22.9</v>
      </c>
      <c r="W133">
        <v>0</v>
      </c>
      <c r="Y133" s="3">
        <v>360</v>
      </c>
      <c r="Z133" s="3">
        <v>104</v>
      </c>
      <c r="AA133" s="3">
        <v>1</v>
      </c>
      <c r="AB133">
        <v>90.32</v>
      </c>
      <c r="AC133">
        <v>2.01E-2</v>
      </c>
    </row>
    <row r="134" spans="1:31" x14ac:dyDescent="0.25">
      <c r="A134" s="3">
        <v>360</v>
      </c>
      <c r="B134" s="3">
        <v>9</v>
      </c>
      <c r="C134" s="3">
        <v>1</v>
      </c>
      <c r="D134">
        <v>0</v>
      </c>
      <c r="E134">
        <v>0</v>
      </c>
      <c r="F134">
        <v>0</v>
      </c>
      <c r="G134">
        <v>0</v>
      </c>
      <c r="I134" s="3">
        <v>360</v>
      </c>
      <c r="J134" s="3">
        <v>9</v>
      </c>
      <c r="K134" s="3">
        <v>1</v>
      </c>
      <c r="L134">
        <v>0</v>
      </c>
      <c r="M134">
        <v>0</v>
      </c>
      <c r="N134">
        <v>0</v>
      </c>
      <c r="O134">
        <v>0</v>
      </c>
      <c r="Q134" s="3">
        <v>360</v>
      </c>
      <c r="R134" s="3">
        <v>9</v>
      </c>
      <c r="S134" s="3">
        <v>1</v>
      </c>
      <c r="T134">
        <v>101.07</v>
      </c>
      <c r="U134">
        <v>1.9740000000000001E-2</v>
      </c>
      <c r="V134">
        <v>174</v>
      </c>
      <c r="W134">
        <v>22.8</v>
      </c>
      <c r="Y134" s="3">
        <v>360</v>
      </c>
      <c r="Z134" s="3">
        <v>110</v>
      </c>
      <c r="AA134" s="3">
        <v>1</v>
      </c>
      <c r="AB134">
        <v>91.69</v>
      </c>
      <c r="AC134">
        <v>1.9789999999999999E-2</v>
      </c>
    </row>
    <row r="135" spans="1:31" x14ac:dyDescent="0.25">
      <c r="A135" s="3">
        <v>360</v>
      </c>
      <c r="B135" s="3">
        <v>9</v>
      </c>
      <c r="C135" s="3">
        <v>2</v>
      </c>
      <c r="D135">
        <v>0</v>
      </c>
      <c r="E135">
        <v>0</v>
      </c>
      <c r="F135">
        <v>0</v>
      </c>
      <c r="G135">
        <v>0</v>
      </c>
      <c r="I135" s="3">
        <v>360</v>
      </c>
      <c r="J135" s="3">
        <v>9</v>
      </c>
      <c r="K135" s="3">
        <v>2</v>
      </c>
      <c r="L135">
        <v>0</v>
      </c>
      <c r="M135">
        <v>0</v>
      </c>
      <c r="N135">
        <v>0</v>
      </c>
      <c r="O135">
        <v>0</v>
      </c>
      <c r="Q135" s="3">
        <v>360</v>
      </c>
      <c r="R135" s="3">
        <v>9</v>
      </c>
      <c r="S135" s="3">
        <v>2</v>
      </c>
      <c r="T135">
        <v>101</v>
      </c>
      <c r="U135">
        <v>1.9879999999999998E-2</v>
      </c>
      <c r="V135">
        <v>312.89999999999998</v>
      </c>
      <c r="W135">
        <v>22.9</v>
      </c>
      <c r="Y135" s="3">
        <v>360</v>
      </c>
      <c r="Z135" s="3">
        <v>114</v>
      </c>
      <c r="AA135" s="3">
        <v>1</v>
      </c>
      <c r="AB135">
        <v>93.73</v>
      </c>
      <c r="AC135">
        <v>2.0240000000000001E-2</v>
      </c>
    </row>
    <row r="136" spans="1:31" x14ac:dyDescent="0.25">
      <c r="A136" s="3">
        <v>360</v>
      </c>
      <c r="B136" s="3">
        <v>9</v>
      </c>
      <c r="C136" s="3">
        <v>3</v>
      </c>
      <c r="D136">
        <v>0</v>
      </c>
      <c r="E136">
        <v>0</v>
      </c>
      <c r="F136">
        <v>0</v>
      </c>
      <c r="G136">
        <v>0</v>
      </c>
      <c r="I136" s="3">
        <v>360</v>
      </c>
      <c r="J136" s="3">
        <v>9</v>
      </c>
      <c r="K136" s="3">
        <v>3</v>
      </c>
      <c r="L136">
        <v>0</v>
      </c>
      <c r="M136">
        <v>0</v>
      </c>
      <c r="N136">
        <v>0</v>
      </c>
      <c r="O136">
        <v>0</v>
      </c>
      <c r="Q136" s="3">
        <v>360</v>
      </c>
      <c r="R136" s="3">
        <v>9</v>
      </c>
      <c r="S136" s="3">
        <v>3</v>
      </c>
      <c r="T136">
        <v>100.69</v>
      </c>
      <c r="U136">
        <v>1.9990000000000001E-2</v>
      </c>
      <c r="V136">
        <v>313</v>
      </c>
      <c r="W136">
        <v>22.8</v>
      </c>
      <c r="Y136" s="3">
        <v>450</v>
      </c>
      <c r="Z136" s="3">
        <v>1</v>
      </c>
      <c r="AA136" s="3">
        <v>1</v>
      </c>
      <c r="AB136">
        <v>89.65</v>
      </c>
      <c r="AC136">
        <v>2.018E-2</v>
      </c>
      <c r="AD136">
        <v>-0.2</v>
      </c>
      <c r="AE136">
        <v>0.4</v>
      </c>
    </row>
    <row r="137" spans="1:31" x14ac:dyDescent="0.25">
      <c r="A137" s="3">
        <v>360</v>
      </c>
      <c r="B137" s="3">
        <v>9</v>
      </c>
      <c r="C137" s="3">
        <v>4</v>
      </c>
      <c r="D137">
        <v>0</v>
      </c>
      <c r="E137">
        <v>0</v>
      </c>
      <c r="F137">
        <v>0</v>
      </c>
      <c r="G137">
        <v>0</v>
      </c>
      <c r="I137" s="3">
        <v>360</v>
      </c>
      <c r="J137" s="3">
        <v>9</v>
      </c>
      <c r="K137" s="3">
        <v>4</v>
      </c>
      <c r="L137">
        <v>0</v>
      </c>
      <c r="M137">
        <v>0</v>
      </c>
      <c r="N137">
        <v>0</v>
      </c>
      <c r="O137">
        <v>0</v>
      </c>
      <c r="Q137" s="3">
        <v>360</v>
      </c>
      <c r="R137" s="3">
        <v>9</v>
      </c>
      <c r="S137" s="3">
        <v>4</v>
      </c>
      <c r="T137">
        <v>99.96</v>
      </c>
      <c r="U137">
        <v>2.0039999999999999E-2</v>
      </c>
      <c r="V137">
        <v>313.2</v>
      </c>
      <c r="W137">
        <v>22.6</v>
      </c>
      <c r="Y137" s="3">
        <v>450</v>
      </c>
      <c r="Z137" s="3">
        <v>2</v>
      </c>
      <c r="AA137" s="3">
        <v>1</v>
      </c>
      <c r="AB137">
        <v>89.22</v>
      </c>
      <c r="AC137">
        <v>2.019E-2</v>
      </c>
      <c r="AD137">
        <v>-0.2</v>
      </c>
      <c r="AE137">
        <v>0.4</v>
      </c>
    </row>
    <row r="138" spans="1:31" x14ac:dyDescent="0.25">
      <c r="A138" s="3">
        <v>360</v>
      </c>
      <c r="B138" s="3">
        <v>10</v>
      </c>
      <c r="C138" s="3">
        <v>1</v>
      </c>
      <c r="D138">
        <v>0</v>
      </c>
      <c r="E138">
        <v>0</v>
      </c>
      <c r="F138">
        <v>0</v>
      </c>
      <c r="I138" s="3">
        <v>360</v>
      </c>
      <c r="J138" s="3">
        <v>10</v>
      </c>
      <c r="K138" s="3">
        <v>1</v>
      </c>
      <c r="L138">
        <v>0</v>
      </c>
      <c r="M138">
        <v>0</v>
      </c>
      <c r="N138">
        <v>0</v>
      </c>
      <c r="O138">
        <v>0</v>
      </c>
      <c r="Q138" s="3">
        <v>360</v>
      </c>
      <c r="R138" s="3">
        <v>10</v>
      </c>
      <c r="S138" s="3">
        <v>1</v>
      </c>
      <c r="T138">
        <v>93.83</v>
      </c>
      <c r="U138">
        <v>1.9369999999999998E-2</v>
      </c>
      <c r="V138">
        <v>22.9</v>
      </c>
      <c r="W138">
        <v>0</v>
      </c>
      <c r="Y138" s="3">
        <v>450</v>
      </c>
      <c r="Z138" s="3">
        <v>3</v>
      </c>
      <c r="AA138" s="3">
        <v>1</v>
      </c>
      <c r="AB138">
        <v>88.59</v>
      </c>
      <c r="AC138">
        <v>2.0209999999999999E-2</v>
      </c>
      <c r="AD138">
        <v>-0.6</v>
      </c>
      <c r="AE138">
        <v>0.9</v>
      </c>
    </row>
    <row r="139" spans="1:31" x14ac:dyDescent="0.25">
      <c r="A139" s="3">
        <v>360</v>
      </c>
      <c r="B139" s="3">
        <v>10</v>
      </c>
      <c r="C139" s="3">
        <v>2</v>
      </c>
      <c r="D139">
        <v>0</v>
      </c>
      <c r="E139">
        <v>0</v>
      </c>
      <c r="F139">
        <v>0</v>
      </c>
      <c r="I139" s="3">
        <v>360</v>
      </c>
      <c r="J139" s="3">
        <v>10</v>
      </c>
      <c r="K139" s="3">
        <v>2</v>
      </c>
      <c r="L139">
        <v>0</v>
      </c>
      <c r="M139">
        <v>0</v>
      </c>
      <c r="N139">
        <v>0</v>
      </c>
      <c r="O139">
        <v>0</v>
      </c>
      <c r="Q139" s="3">
        <v>360</v>
      </c>
      <c r="R139" s="3">
        <v>10</v>
      </c>
      <c r="S139" s="3">
        <v>2</v>
      </c>
      <c r="T139">
        <v>96.03</v>
      </c>
      <c r="U139">
        <v>1.932E-2</v>
      </c>
      <c r="V139">
        <v>22.9</v>
      </c>
      <c r="W139">
        <v>0</v>
      </c>
      <c r="Y139" s="3">
        <v>450</v>
      </c>
      <c r="Z139" s="3">
        <v>3</v>
      </c>
      <c r="AA139" s="3">
        <v>2</v>
      </c>
      <c r="AB139">
        <v>88.27</v>
      </c>
      <c r="AC139">
        <v>2.0240000000000001E-2</v>
      </c>
      <c r="AD139">
        <v>-0.6</v>
      </c>
      <c r="AE139">
        <v>1</v>
      </c>
    </row>
    <row r="140" spans="1:31" x14ac:dyDescent="0.25">
      <c r="A140" s="3">
        <v>360</v>
      </c>
      <c r="B140" s="3">
        <v>11</v>
      </c>
      <c r="C140" s="3">
        <v>1</v>
      </c>
      <c r="D140">
        <v>0</v>
      </c>
      <c r="E140">
        <v>0</v>
      </c>
      <c r="F140">
        <v>0</v>
      </c>
      <c r="G140">
        <v>0</v>
      </c>
      <c r="I140" s="3">
        <v>360</v>
      </c>
      <c r="J140" s="3">
        <v>11</v>
      </c>
      <c r="K140" s="3">
        <v>1</v>
      </c>
      <c r="L140">
        <v>0</v>
      </c>
      <c r="M140">
        <v>0</v>
      </c>
      <c r="N140">
        <v>0</v>
      </c>
      <c r="O140">
        <v>0</v>
      </c>
      <c r="Q140" s="3">
        <v>360</v>
      </c>
      <c r="R140" s="3">
        <v>11</v>
      </c>
      <c r="S140" s="3">
        <v>1</v>
      </c>
      <c r="T140">
        <v>99.72</v>
      </c>
      <c r="U140">
        <v>2.019E-2</v>
      </c>
      <c r="V140">
        <v>299.2</v>
      </c>
      <c r="W140">
        <v>20.100000000000001</v>
      </c>
      <c r="Y140" s="3">
        <v>450</v>
      </c>
      <c r="Z140" s="3">
        <v>4</v>
      </c>
      <c r="AA140" s="3">
        <v>1</v>
      </c>
      <c r="AB140">
        <v>84.38</v>
      </c>
      <c r="AC140">
        <v>1.685E-2</v>
      </c>
      <c r="AD140">
        <v>-5</v>
      </c>
      <c r="AE140">
        <v>8.8000000000000007</v>
      </c>
    </row>
    <row r="141" spans="1:31" x14ac:dyDescent="0.25">
      <c r="A141" s="3">
        <v>360</v>
      </c>
      <c r="B141" s="3">
        <v>12</v>
      </c>
      <c r="C141" s="3">
        <v>1</v>
      </c>
      <c r="D141">
        <v>0</v>
      </c>
      <c r="E141">
        <v>0</v>
      </c>
      <c r="F141">
        <v>0</v>
      </c>
      <c r="G141">
        <v>0</v>
      </c>
      <c r="I141" s="3">
        <v>360</v>
      </c>
      <c r="J141" s="3">
        <v>12</v>
      </c>
      <c r="K141" s="3">
        <v>1</v>
      </c>
      <c r="L141">
        <v>0</v>
      </c>
      <c r="M141">
        <v>0</v>
      </c>
      <c r="N141">
        <v>0</v>
      </c>
      <c r="O141">
        <v>0</v>
      </c>
      <c r="Q141" s="3">
        <v>360</v>
      </c>
      <c r="R141" s="3">
        <v>12</v>
      </c>
      <c r="S141" s="3">
        <v>1</v>
      </c>
      <c r="T141">
        <v>100.65</v>
      </c>
      <c r="U141">
        <v>2.0219999999999998E-2</v>
      </c>
      <c r="V141">
        <v>296.60000000000002</v>
      </c>
      <c r="W141">
        <v>8.6999999999999993</v>
      </c>
      <c r="Y141" s="3">
        <v>450</v>
      </c>
      <c r="Z141" s="3">
        <v>4</v>
      </c>
      <c r="AA141" s="3">
        <v>2</v>
      </c>
      <c r="AB141">
        <v>84.45</v>
      </c>
      <c r="AC141">
        <v>1.6809999999999999E-2</v>
      </c>
      <c r="AD141">
        <v>-5</v>
      </c>
      <c r="AE141">
        <v>8.8000000000000007</v>
      </c>
    </row>
    <row r="142" spans="1:31" x14ac:dyDescent="0.25">
      <c r="A142" s="3">
        <v>360</v>
      </c>
      <c r="B142" s="3">
        <v>12</v>
      </c>
      <c r="C142" s="3">
        <v>2</v>
      </c>
      <c r="D142">
        <v>0</v>
      </c>
      <c r="E142">
        <v>0</v>
      </c>
      <c r="F142">
        <v>0</v>
      </c>
      <c r="G142">
        <v>0</v>
      </c>
      <c r="I142" s="3">
        <v>360</v>
      </c>
      <c r="J142" s="3">
        <v>12</v>
      </c>
      <c r="K142" s="3">
        <v>2</v>
      </c>
      <c r="L142">
        <v>0</v>
      </c>
      <c r="M142">
        <v>0</v>
      </c>
      <c r="N142">
        <v>0</v>
      </c>
      <c r="O142">
        <v>0</v>
      </c>
      <c r="Q142" s="3">
        <v>360</v>
      </c>
      <c r="R142" s="3">
        <v>12</v>
      </c>
      <c r="S142" s="3">
        <v>2</v>
      </c>
      <c r="T142">
        <v>98.46</v>
      </c>
      <c r="U142">
        <v>2.026E-2</v>
      </c>
      <c r="V142">
        <v>-3.5</v>
      </c>
      <c r="W142">
        <v>6.2</v>
      </c>
      <c r="Y142" s="3">
        <v>450</v>
      </c>
      <c r="Z142" s="3">
        <v>4</v>
      </c>
      <c r="AA142" s="3">
        <v>3</v>
      </c>
      <c r="AB142">
        <v>84.58</v>
      </c>
      <c r="AC142">
        <v>1.678E-2</v>
      </c>
      <c r="AD142">
        <v>-5.0999999999999996</v>
      </c>
      <c r="AE142">
        <v>8.9</v>
      </c>
    </row>
    <row r="143" spans="1:31" x14ac:dyDescent="0.25">
      <c r="A143" s="3">
        <v>360</v>
      </c>
      <c r="B143" s="3">
        <v>12</v>
      </c>
      <c r="C143" s="3">
        <v>3</v>
      </c>
      <c r="D143">
        <v>0</v>
      </c>
      <c r="E143">
        <v>0</v>
      </c>
      <c r="F143">
        <v>0</v>
      </c>
      <c r="G143">
        <v>0</v>
      </c>
      <c r="I143" s="3">
        <v>360</v>
      </c>
      <c r="J143" s="3">
        <v>12</v>
      </c>
      <c r="K143" s="3">
        <v>3</v>
      </c>
      <c r="L143">
        <v>0</v>
      </c>
      <c r="M143">
        <v>0</v>
      </c>
      <c r="N143">
        <v>0</v>
      </c>
      <c r="O143">
        <v>0</v>
      </c>
      <c r="Q143" s="3">
        <v>360</v>
      </c>
      <c r="R143" s="3">
        <v>12</v>
      </c>
      <c r="S143" s="3">
        <v>3</v>
      </c>
      <c r="T143">
        <v>95.65</v>
      </c>
      <c r="U143">
        <v>2.0250000000000001E-2</v>
      </c>
      <c r="V143">
        <v>-2.7</v>
      </c>
      <c r="W143">
        <v>5.4</v>
      </c>
      <c r="Y143" s="3">
        <v>450</v>
      </c>
      <c r="Z143" s="3">
        <v>5</v>
      </c>
      <c r="AA143" s="3">
        <v>1</v>
      </c>
      <c r="AB143">
        <v>87.95</v>
      </c>
      <c r="AC143">
        <v>2.026E-2</v>
      </c>
      <c r="AD143">
        <v>-1.1000000000000001</v>
      </c>
      <c r="AE143">
        <v>1.5</v>
      </c>
    </row>
    <row r="144" spans="1:31" x14ac:dyDescent="0.25">
      <c r="A144" s="3">
        <v>360</v>
      </c>
      <c r="B144" s="3">
        <v>13</v>
      </c>
      <c r="C144" s="3">
        <v>1</v>
      </c>
      <c r="D144">
        <v>0</v>
      </c>
      <c r="E144">
        <v>0</v>
      </c>
      <c r="F144">
        <v>0</v>
      </c>
      <c r="G144">
        <v>0</v>
      </c>
      <c r="I144" s="3">
        <v>360</v>
      </c>
      <c r="J144" s="3">
        <v>13</v>
      </c>
      <c r="K144" s="3">
        <v>1</v>
      </c>
      <c r="L144">
        <v>0</v>
      </c>
      <c r="M144">
        <v>0</v>
      </c>
      <c r="N144">
        <v>0</v>
      </c>
      <c r="O144">
        <v>0</v>
      </c>
      <c r="Q144" s="3">
        <v>360</v>
      </c>
      <c r="R144" s="3">
        <v>13</v>
      </c>
      <c r="S144" s="3">
        <v>1</v>
      </c>
      <c r="T144">
        <v>93.31</v>
      </c>
      <c r="U144">
        <v>2.0230000000000001E-2</v>
      </c>
      <c r="V144">
        <v>-3.9</v>
      </c>
      <c r="W144">
        <v>7.7</v>
      </c>
      <c r="Y144" s="3">
        <v>450</v>
      </c>
      <c r="Z144" s="3">
        <v>5</v>
      </c>
      <c r="AA144" s="3">
        <v>2</v>
      </c>
      <c r="AB144">
        <v>88.07</v>
      </c>
      <c r="AC144">
        <v>2.0250000000000001E-2</v>
      </c>
      <c r="AD144">
        <v>-1.2</v>
      </c>
      <c r="AE144">
        <v>1.6</v>
      </c>
    </row>
    <row r="145" spans="1:31" x14ac:dyDescent="0.25">
      <c r="A145" s="3">
        <v>360</v>
      </c>
      <c r="B145" s="3">
        <v>13</v>
      </c>
      <c r="C145" s="3">
        <v>2</v>
      </c>
      <c r="D145">
        <v>0</v>
      </c>
      <c r="E145">
        <v>0</v>
      </c>
      <c r="F145">
        <v>0</v>
      </c>
      <c r="G145">
        <v>0</v>
      </c>
      <c r="I145" s="3">
        <v>360</v>
      </c>
      <c r="J145" s="3">
        <v>13</v>
      </c>
      <c r="K145" s="3">
        <v>2</v>
      </c>
      <c r="L145">
        <v>0</v>
      </c>
      <c r="M145">
        <v>0</v>
      </c>
      <c r="N145">
        <v>0</v>
      </c>
      <c r="O145">
        <v>0</v>
      </c>
      <c r="Q145" s="3">
        <v>360</v>
      </c>
      <c r="R145" s="3">
        <v>13</v>
      </c>
      <c r="S145" s="3">
        <v>2</v>
      </c>
      <c r="T145">
        <v>92.02</v>
      </c>
      <c r="U145">
        <v>2.0209999999999999E-2</v>
      </c>
      <c r="V145">
        <v>-3.3</v>
      </c>
      <c r="W145">
        <v>7.1</v>
      </c>
      <c r="Y145" s="3">
        <v>450</v>
      </c>
      <c r="Z145" s="3">
        <v>5</v>
      </c>
      <c r="AA145" s="3">
        <v>3</v>
      </c>
      <c r="AB145">
        <v>88.39</v>
      </c>
      <c r="AC145">
        <v>1.9910000000000001E-2</v>
      </c>
      <c r="AD145">
        <v>-1.4</v>
      </c>
      <c r="AE145">
        <v>1.8</v>
      </c>
    </row>
    <row r="146" spans="1:31" x14ac:dyDescent="0.25">
      <c r="A146" s="3">
        <v>360</v>
      </c>
      <c r="B146" s="3">
        <v>14</v>
      </c>
      <c r="C146" s="3">
        <v>1</v>
      </c>
      <c r="D146">
        <v>0</v>
      </c>
      <c r="E146">
        <v>0</v>
      </c>
      <c r="F146">
        <v>0</v>
      </c>
      <c r="G146">
        <v>0</v>
      </c>
      <c r="I146" s="3">
        <v>360</v>
      </c>
      <c r="J146" s="3">
        <v>14</v>
      </c>
      <c r="K146" s="3">
        <v>1</v>
      </c>
      <c r="L146">
        <v>0</v>
      </c>
      <c r="M146">
        <v>0</v>
      </c>
      <c r="N146">
        <v>0</v>
      </c>
      <c r="O146">
        <v>0</v>
      </c>
      <c r="Q146" s="3">
        <v>360</v>
      </c>
      <c r="R146" s="3">
        <v>14</v>
      </c>
      <c r="S146" s="3">
        <v>1</v>
      </c>
      <c r="T146">
        <v>91.15</v>
      </c>
      <c r="U146">
        <v>2.019E-2</v>
      </c>
      <c r="V146">
        <v>-2</v>
      </c>
      <c r="W146">
        <v>4.4000000000000004</v>
      </c>
      <c r="Y146" s="3">
        <v>450</v>
      </c>
      <c r="Z146" s="3">
        <v>6</v>
      </c>
      <c r="AA146" s="3">
        <v>1</v>
      </c>
      <c r="AB146">
        <v>84.53</v>
      </c>
      <c r="AC146">
        <v>1.626E-2</v>
      </c>
      <c r="AD146">
        <v>-5.3</v>
      </c>
      <c r="AE146">
        <v>9</v>
      </c>
    </row>
    <row r="147" spans="1:31" x14ac:dyDescent="0.25">
      <c r="A147" s="3">
        <v>360</v>
      </c>
      <c r="B147" s="3">
        <v>14</v>
      </c>
      <c r="C147" s="3">
        <v>2</v>
      </c>
      <c r="D147">
        <v>0</v>
      </c>
      <c r="E147">
        <v>0</v>
      </c>
      <c r="F147">
        <v>0</v>
      </c>
      <c r="G147">
        <v>0</v>
      </c>
      <c r="I147" s="3">
        <v>360</v>
      </c>
      <c r="J147" s="3">
        <v>14</v>
      </c>
      <c r="K147" s="3">
        <v>2</v>
      </c>
      <c r="L147">
        <v>0</v>
      </c>
      <c r="M147">
        <v>0</v>
      </c>
      <c r="N147">
        <v>0</v>
      </c>
      <c r="O147">
        <v>0</v>
      </c>
      <c r="Q147" s="3">
        <v>360</v>
      </c>
      <c r="R147" s="3">
        <v>14</v>
      </c>
      <c r="S147" s="3">
        <v>2</v>
      </c>
      <c r="T147">
        <v>90.4</v>
      </c>
      <c r="U147">
        <v>2.018E-2</v>
      </c>
      <c r="V147">
        <v>-1.8</v>
      </c>
      <c r="W147">
        <v>4.0999999999999996</v>
      </c>
      <c r="Y147" s="3">
        <v>450</v>
      </c>
      <c r="Z147" s="3">
        <v>6</v>
      </c>
      <c r="AA147" s="3">
        <v>2</v>
      </c>
      <c r="AB147">
        <v>84.54</v>
      </c>
      <c r="AC147">
        <v>1.6230000000000001E-2</v>
      </c>
      <c r="AD147">
        <v>-5.8</v>
      </c>
      <c r="AE147">
        <v>9.5</v>
      </c>
    </row>
    <row r="148" spans="1:31" x14ac:dyDescent="0.25">
      <c r="A148" s="3">
        <v>360</v>
      </c>
      <c r="B148" s="3">
        <v>103</v>
      </c>
      <c r="C148" s="3">
        <v>1</v>
      </c>
      <c r="D148">
        <v>0</v>
      </c>
      <c r="E148">
        <v>0</v>
      </c>
      <c r="I148" s="3">
        <v>360</v>
      </c>
      <c r="J148" s="3">
        <v>103</v>
      </c>
      <c r="K148" s="3">
        <v>1</v>
      </c>
      <c r="L148">
        <v>0</v>
      </c>
      <c r="M148">
        <v>0</v>
      </c>
      <c r="Q148" s="3">
        <v>360</v>
      </c>
      <c r="R148" s="3">
        <v>103</v>
      </c>
      <c r="S148" s="3">
        <v>1</v>
      </c>
      <c r="T148">
        <v>90.69</v>
      </c>
      <c r="U148">
        <v>2.0219999999999998E-2</v>
      </c>
      <c r="Y148" s="3">
        <v>450</v>
      </c>
      <c r="Z148" s="3">
        <v>6</v>
      </c>
      <c r="AA148" s="3">
        <v>3</v>
      </c>
      <c r="AB148">
        <v>84.5</v>
      </c>
      <c r="AC148">
        <v>1.6209999999999999E-2</v>
      </c>
      <c r="AD148">
        <v>-6.6</v>
      </c>
      <c r="AE148">
        <v>10.199999999999999</v>
      </c>
    </row>
    <row r="149" spans="1:31" x14ac:dyDescent="0.25">
      <c r="A149" s="3">
        <v>360</v>
      </c>
      <c r="B149" s="3">
        <v>104</v>
      </c>
      <c r="C149" s="3">
        <v>1</v>
      </c>
      <c r="D149">
        <v>0</v>
      </c>
      <c r="E149">
        <v>0</v>
      </c>
      <c r="I149" s="3">
        <v>360</v>
      </c>
      <c r="J149" s="3">
        <v>104</v>
      </c>
      <c r="K149" s="3">
        <v>1</v>
      </c>
      <c r="L149">
        <v>0</v>
      </c>
      <c r="M149">
        <v>0</v>
      </c>
      <c r="Q149" s="3">
        <v>360</v>
      </c>
      <c r="R149" s="3">
        <v>104</v>
      </c>
      <c r="S149" s="3">
        <v>1</v>
      </c>
      <c r="T149">
        <v>90.32</v>
      </c>
      <c r="U149">
        <v>2.01E-2</v>
      </c>
      <c r="Y149" s="3">
        <v>450</v>
      </c>
      <c r="Z149" s="3">
        <v>7</v>
      </c>
      <c r="AA149" s="3">
        <v>1</v>
      </c>
      <c r="AB149">
        <v>80</v>
      </c>
      <c r="AC149">
        <v>1.3639999999999999E-2</v>
      </c>
      <c r="AD149">
        <v>-36.4</v>
      </c>
      <c r="AE149">
        <v>-139.19999999999999</v>
      </c>
    </row>
    <row r="150" spans="1:31" x14ac:dyDescent="0.25">
      <c r="A150" s="3">
        <v>360</v>
      </c>
      <c r="B150" s="3">
        <v>110</v>
      </c>
      <c r="C150" s="3">
        <v>1</v>
      </c>
      <c r="D150">
        <v>0</v>
      </c>
      <c r="E150">
        <v>0</v>
      </c>
      <c r="I150" s="3">
        <v>360</v>
      </c>
      <c r="J150" s="3">
        <v>110</v>
      </c>
      <c r="K150" s="3">
        <v>1</v>
      </c>
      <c r="L150">
        <v>0</v>
      </c>
      <c r="M150">
        <v>0</v>
      </c>
      <c r="Q150" s="3">
        <v>360</v>
      </c>
      <c r="R150" s="3">
        <v>110</v>
      </c>
      <c r="S150" s="3">
        <v>1</v>
      </c>
      <c r="T150">
        <v>91.69</v>
      </c>
      <c r="U150">
        <v>1.9789999999999999E-2</v>
      </c>
      <c r="Y150" s="3">
        <v>450</v>
      </c>
      <c r="Z150" s="3">
        <v>8</v>
      </c>
      <c r="AA150" s="3">
        <v>1</v>
      </c>
      <c r="AB150">
        <v>85</v>
      </c>
      <c r="AC150">
        <v>1.4919999999999999E-2</v>
      </c>
      <c r="AD150">
        <v>19</v>
      </c>
      <c r="AE150">
        <v>14.2</v>
      </c>
    </row>
    <row r="151" spans="1:31" x14ac:dyDescent="0.25">
      <c r="A151" s="3">
        <v>360</v>
      </c>
      <c r="B151" s="3">
        <v>114</v>
      </c>
      <c r="C151" s="3">
        <v>1</v>
      </c>
      <c r="D151">
        <v>0</v>
      </c>
      <c r="E151">
        <v>0</v>
      </c>
      <c r="I151" s="3">
        <v>360</v>
      </c>
      <c r="J151" s="3">
        <v>114</v>
      </c>
      <c r="K151" s="3">
        <v>1</v>
      </c>
      <c r="L151">
        <v>0</v>
      </c>
      <c r="M151">
        <v>0</v>
      </c>
      <c r="Q151" s="3">
        <v>360</v>
      </c>
      <c r="R151" s="3">
        <v>114</v>
      </c>
      <c r="S151" s="3">
        <v>1</v>
      </c>
      <c r="T151">
        <v>93.73</v>
      </c>
      <c r="U151">
        <v>2.0240000000000001E-2</v>
      </c>
      <c r="Y151" s="3">
        <v>450</v>
      </c>
      <c r="Z151" s="3">
        <v>8</v>
      </c>
      <c r="AA151" s="3">
        <v>2</v>
      </c>
      <c r="AB151">
        <v>85</v>
      </c>
      <c r="AC151">
        <v>1.4919999999999999E-2</v>
      </c>
      <c r="AD151">
        <v>-16.399999999999999</v>
      </c>
      <c r="AE151">
        <v>-116</v>
      </c>
    </row>
    <row r="152" spans="1:31" x14ac:dyDescent="0.25">
      <c r="A152" s="3">
        <v>450</v>
      </c>
      <c r="B152" s="3">
        <v>1</v>
      </c>
      <c r="C152" s="3">
        <v>1</v>
      </c>
      <c r="D152">
        <v>0</v>
      </c>
      <c r="E152">
        <v>0</v>
      </c>
      <c r="F152">
        <v>0</v>
      </c>
      <c r="G152">
        <v>0</v>
      </c>
      <c r="I152" s="3">
        <v>450</v>
      </c>
      <c r="J152" s="3">
        <v>1</v>
      </c>
      <c r="K152" s="3">
        <v>1</v>
      </c>
      <c r="L152">
        <v>0</v>
      </c>
      <c r="M152">
        <v>0</v>
      </c>
      <c r="N152">
        <v>0</v>
      </c>
      <c r="O152">
        <v>0</v>
      </c>
      <c r="Q152" s="3">
        <v>450</v>
      </c>
      <c r="R152" s="3">
        <v>1</v>
      </c>
      <c r="S152" s="3">
        <v>1</v>
      </c>
      <c r="T152">
        <v>89.65</v>
      </c>
      <c r="U152">
        <v>2.018E-2</v>
      </c>
      <c r="V152">
        <v>-0.2</v>
      </c>
      <c r="W152">
        <v>0.4</v>
      </c>
      <c r="Y152" s="3">
        <v>450</v>
      </c>
      <c r="Z152" s="3">
        <v>9</v>
      </c>
      <c r="AA152" s="3">
        <v>1</v>
      </c>
      <c r="AB152">
        <v>80</v>
      </c>
      <c r="AC152">
        <v>1.3639999999999999E-2</v>
      </c>
      <c r="AD152">
        <v>23.9</v>
      </c>
      <c r="AE152">
        <v>-3</v>
      </c>
    </row>
    <row r="153" spans="1:31" x14ac:dyDescent="0.25">
      <c r="A153" s="3">
        <v>450</v>
      </c>
      <c r="B153" s="3">
        <v>2</v>
      </c>
      <c r="C153" s="3">
        <v>1</v>
      </c>
      <c r="D153">
        <v>0</v>
      </c>
      <c r="E153">
        <v>0</v>
      </c>
      <c r="F153">
        <v>0</v>
      </c>
      <c r="G153">
        <v>0</v>
      </c>
      <c r="I153" s="3">
        <v>450</v>
      </c>
      <c r="J153" s="3">
        <v>2</v>
      </c>
      <c r="K153" s="3">
        <v>1</v>
      </c>
      <c r="L153">
        <v>0</v>
      </c>
      <c r="M153">
        <v>0</v>
      </c>
      <c r="N153">
        <v>0</v>
      </c>
      <c r="O153">
        <v>0</v>
      </c>
      <c r="Q153" s="3">
        <v>450</v>
      </c>
      <c r="R153" s="3">
        <v>2</v>
      </c>
      <c r="S153" s="3">
        <v>1</v>
      </c>
      <c r="T153">
        <v>89.22</v>
      </c>
      <c r="U153">
        <v>2.019E-2</v>
      </c>
      <c r="V153">
        <v>-0.2</v>
      </c>
      <c r="W153">
        <v>0.4</v>
      </c>
      <c r="Y153" s="3">
        <v>450</v>
      </c>
      <c r="Z153" s="3">
        <v>9</v>
      </c>
      <c r="AA153" s="3">
        <v>2</v>
      </c>
      <c r="AB153">
        <v>80</v>
      </c>
      <c r="AC153">
        <v>1.3639999999999999E-2</v>
      </c>
      <c r="AD153">
        <v>10.8</v>
      </c>
      <c r="AE153">
        <v>4.4000000000000004</v>
      </c>
    </row>
    <row r="154" spans="1:31" x14ac:dyDescent="0.25">
      <c r="A154" s="3">
        <v>450</v>
      </c>
      <c r="B154" s="3">
        <v>3</v>
      </c>
      <c r="C154" s="3">
        <v>1</v>
      </c>
      <c r="D154">
        <v>0</v>
      </c>
      <c r="E154">
        <v>0</v>
      </c>
      <c r="F154">
        <v>0</v>
      </c>
      <c r="G154">
        <v>0</v>
      </c>
      <c r="I154" s="3">
        <v>450</v>
      </c>
      <c r="J154" s="3">
        <v>3</v>
      </c>
      <c r="K154" s="3">
        <v>1</v>
      </c>
      <c r="L154">
        <v>0</v>
      </c>
      <c r="M154">
        <v>0</v>
      </c>
      <c r="N154">
        <v>0</v>
      </c>
      <c r="O154">
        <v>0</v>
      </c>
      <c r="Q154" s="3">
        <v>450</v>
      </c>
      <c r="R154" s="3">
        <v>3</v>
      </c>
      <c r="S154" s="3">
        <v>1</v>
      </c>
      <c r="T154">
        <v>88.59</v>
      </c>
      <c r="U154">
        <v>2.0209999999999999E-2</v>
      </c>
      <c r="V154">
        <v>-0.6</v>
      </c>
      <c r="W154">
        <v>0.9</v>
      </c>
      <c r="Y154" s="3">
        <v>450</v>
      </c>
      <c r="Z154" s="3">
        <v>9</v>
      </c>
      <c r="AA154" s="3">
        <v>3</v>
      </c>
      <c r="AB154">
        <v>80</v>
      </c>
      <c r="AC154">
        <v>1.3639999999999999E-2</v>
      </c>
      <c r="AD154">
        <v>6</v>
      </c>
      <c r="AE154">
        <v>-0.1</v>
      </c>
    </row>
    <row r="155" spans="1:31" x14ac:dyDescent="0.25">
      <c r="A155" s="3">
        <v>450</v>
      </c>
      <c r="B155" s="3">
        <v>3</v>
      </c>
      <c r="C155" s="3">
        <v>2</v>
      </c>
      <c r="D155">
        <v>0</v>
      </c>
      <c r="E155">
        <v>0</v>
      </c>
      <c r="F155">
        <v>0</v>
      </c>
      <c r="G155">
        <v>0</v>
      </c>
      <c r="I155" s="3">
        <v>450</v>
      </c>
      <c r="J155" s="3">
        <v>3</v>
      </c>
      <c r="K155" s="3">
        <v>2</v>
      </c>
      <c r="L155">
        <v>0</v>
      </c>
      <c r="M155">
        <v>0</v>
      </c>
      <c r="N155">
        <v>0</v>
      </c>
      <c r="O155">
        <v>0</v>
      </c>
      <c r="Q155" s="3">
        <v>450</v>
      </c>
      <c r="R155" s="3">
        <v>3</v>
      </c>
      <c r="S155" s="3">
        <v>2</v>
      </c>
      <c r="T155">
        <v>88.27</v>
      </c>
      <c r="U155">
        <v>2.0240000000000001E-2</v>
      </c>
      <c r="V155">
        <v>-0.6</v>
      </c>
      <c r="W155">
        <v>1</v>
      </c>
      <c r="Y155" s="3">
        <v>450</v>
      </c>
      <c r="Z155" s="3">
        <v>9</v>
      </c>
      <c r="AA155" s="3">
        <v>4</v>
      </c>
      <c r="AB155">
        <v>80</v>
      </c>
      <c r="AC155">
        <v>1.3639999999999999E-2</v>
      </c>
      <c r="AD155">
        <v>-21.3</v>
      </c>
      <c r="AE155">
        <v>-30.7</v>
      </c>
    </row>
    <row r="156" spans="1:31" x14ac:dyDescent="0.25">
      <c r="A156" s="3">
        <v>450</v>
      </c>
      <c r="B156" s="3">
        <v>4</v>
      </c>
      <c r="C156" s="3">
        <v>1</v>
      </c>
      <c r="D156">
        <v>0</v>
      </c>
      <c r="E156">
        <v>0</v>
      </c>
      <c r="F156">
        <v>0</v>
      </c>
      <c r="G156">
        <v>0</v>
      </c>
      <c r="I156" s="3">
        <v>450</v>
      </c>
      <c r="J156" s="3">
        <v>4</v>
      </c>
      <c r="K156" s="3">
        <v>1</v>
      </c>
      <c r="L156">
        <v>0</v>
      </c>
      <c r="M156">
        <v>0</v>
      </c>
      <c r="N156">
        <v>0</v>
      </c>
      <c r="O156">
        <v>0</v>
      </c>
      <c r="Q156" s="3">
        <v>450</v>
      </c>
      <c r="R156" s="3">
        <v>4</v>
      </c>
      <c r="S156" s="3">
        <v>1</v>
      </c>
      <c r="T156">
        <v>84.38</v>
      </c>
      <c r="U156">
        <v>1.685E-2</v>
      </c>
      <c r="V156">
        <v>-5</v>
      </c>
      <c r="W156">
        <v>8.8000000000000007</v>
      </c>
      <c r="Y156" s="3">
        <v>450</v>
      </c>
      <c r="Z156" s="3">
        <v>10</v>
      </c>
      <c r="AA156" s="3">
        <v>1</v>
      </c>
      <c r="AB156">
        <v>85</v>
      </c>
      <c r="AC156">
        <v>1.4919999999999999E-2</v>
      </c>
      <c r="AD156">
        <v>-13.5</v>
      </c>
      <c r="AE156">
        <v>-95.8</v>
      </c>
    </row>
    <row r="157" spans="1:31" x14ac:dyDescent="0.25">
      <c r="A157" s="3">
        <v>450</v>
      </c>
      <c r="B157" s="3">
        <v>4</v>
      </c>
      <c r="C157" s="3">
        <v>2</v>
      </c>
      <c r="D157">
        <v>0</v>
      </c>
      <c r="E157">
        <v>0</v>
      </c>
      <c r="F157">
        <v>0</v>
      </c>
      <c r="G157">
        <v>0</v>
      </c>
      <c r="I157" s="3">
        <v>450</v>
      </c>
      <c r="J157" s="3">
        <v>4</v>
      </c>
      <c r="K157" s="3">
        <v>2</v>
      </c>
      <c r="L157">
        <v>0</v>
      </c>
      <c r="M157">
        <v>0</v>
      </c>
      <c r="N157">
        <v>0</v>
      </c>
      <c r="O157">
        <v>0</v>
      </c>
      <c r="Q157" s="3">
        <v>450</v>
      </c>
      <c r="R157" s="3">
        <v>4</v>
      </c>
      <c r="S157" s="3">
        <v>2</v>
      </c>
      <c r="T157">
        <v>84.45</v>
      </c>
      <c r="U157">
        <v>1.6809999999999999E-2</v>
      </c>
      <c r="V157">
        <v>-5</v>
      </c>
      <c r="W157">
        <v>8.8000000000000007</v>
      </c>
      <c r="Y157" s="3">
        <v>450</v>
      </c>
      <c r="Z157" s="3">
        <v>10</v>
      </c>
      <c r="AA157" s="3">
        <v>2</v>
      </c>
      <c r="AB157">
        <v>85</v>
      </c>
      <c r="AC157">
        <v>1.4919999999999999E-2</v>
      </c>
      <c r="AD157">
        <v>22.4</v>
      </c>
      <c r="AE157">
        <v>20.399999999999999</v>
      </c>
    </row>
    <row r="158" spans="1:31" x14ac:dyDescent="0.25">
      <c r="A158" s="3">
        <v>450</v>
      </c>
      <c r="B158" s="3">
        <v>4</v>
      </c>
      <c r="C158" s="3">
        <v>3</v>
      </c>
      <c r="D158">
        <v>0</v>
      </c>
      <c r="E158">
        <v>0</v>
      </c>
      <c r="F158">
        <v>0</v>
      </c>
      <c r="G158">
        <v>0</v>
      </c>
      <c r="I158" s="3">
        <v>450</v>
      </c>
      <c r="J158" s="3">
        <v>4</v>
      </c>
      <c r="K158" s="3">
        <v>3</v>
      </c>
      <c r="L158">
        <v>0</v>
      </c>
      <c r="M158">
        <v>0</v>
      </c>
      <c r="N158">
        <v>0</v>
      </c>
      <c r="O158">
        <v>0</v>
      </c>
      <c r="Q158" s="3">
        <v>450</v>
      </c>
      <c r="R158" s="3">
        <v>4</v>
      </c>
      <c r="S158" s="3">
        <v>3</v>
      </c>
      <c r="T158">
        <v>84.58</v>
      </c>
      <c r="U158">
        <v>1.678E-2</v>
      </c>
      <c r="V158">
        <v>-5.0999999999999996</v>
      </c>
      <c r="W158">
        <v>8.9</v>
      </c>
      <c r="Y158" s="3">
        <v>450</v>
      </c>
      <c r="Z158" s="3">
        <v>11</v>
      </c>
      <c r="AA158" s="3">
        <v>1</v>
      </c>
      <c r="AB158">
        <v>80</v>
      </c>
      <c r="AC158">
        <v>1.3639999999999999E-2</v>
      </c>
      <c r="AD158">
        <v>-437.2</v>
      </c>
      <c r="AE158">
        <v>-822.3</v>
      </c>
    </row>
    <row r="159" spans="1:31" x14ac:dyDescent="0.25">
      <c r="A159" s="3">
        <v>450</v>
      </c>
      <c r="B159" s="3">
        <v>5</v>
      </c>
      <c r="C159" s="3">
        <v>1</v>
      </c>
      <c r="D159">
        <v>0</v>
      </c>
      <c r="E159">
        <v>0</v>
      </c>
      <c r="F159">
        <v>0</v>
      </c>
      <c r="G159">
        <v>0</v>
      </c>
      <c r="I159" s="3">
        <v>450</v>
      </c>
      <c r="J159" s="3">
        <v>5</v>
      </c>
      <c r="K159" s="3">
        <v>1</v>
      </c>
      <c r="L159">
        <v>0</v>
      </c>
      <c r="M159">
        <v>0</v>
      </c>
      <c r="N159">
        <v>0</v>
      </c>
      <c r="O159">
        <v>0</v>
      </c>
      <c r="Q159" s="3">
        <v>450</v>
      </c>
      <c r="R159" s="3">
        <v>5</v>
      </c>
      <c r="S159" s="3">
        <v>1</v>
      </c>
      <c r="T159">
        <v>87.95</v>
      </c>
      <c r="U159">
        <v>2.026E-2</v>
      </c>
      <c r="V159">
        <v>-1.1000000000000001</v>
      </c>
      <c r="W159">
        <v>1.5</v>
      </c>
      <c r="Y159" s="3">
        <v>450</v>
      </c>
      <c r="Z159" s="3">
        <v>12</v>
      </c>
      <c r="AA159" s="3">
        <v>1</v>
      </c>
      <c r="AB159">
        <v>94.56</v>
      </c>
      <c r="AC159">
        <v>1.9820000000000001E-2</v>
      </c>
      <c r="AD159">
        <v>296.60000000000002</v>
      </c>
      <c r="AE159">
        <v>8.6999999999999993</v>
      </c>
    </row>
    <row r="160" spans="1:31" x14ac:dyDescent="0.25">
      <c r="A160" s="3">
        <v>450</v>
      </c>
      <c r="B160" s="3">
        <v>5</v>
      </c>
      <c r="C160" s="3">
        <v>2</v>
      </c>
      <c r="D160">
        <v>0</v>
      </c>
      <c r="E160">
        <v>0</v>
      </c>
      <c r="F160">
        <v>0</v>
      </c>
      <c r="G160">
        <v>0</v>
      </c>
      <c r="I160" s="3">
        <v>450</v>
      </c>
      <c r="J160" s="3">
        <v>5</v>
      </c>
      <c r="K160" s="3">
        <v>2</v>
      </c>
      <c r="L160">
        <v>0</v>
      </c>
      <c r="M160">
        <v>0</v>
      </c>
      <c r="N160">
        <v>0</v>
      </c>
      <c r="O160">
        <v>0</v>
      </c>
      <c r="Q160" s="3">
        <v>450</v>
      </c>
      <c r="R160" s="3">
        <v>5</v>
      </c>
      <c r="S160" s="3">
        <v>2</v>
      </c>
      <c r="T160">
        <v>88.07</v>
      </c>
      <c r="U160">
        <v>2.0250000000000001E-2</v>
      </c>
      <c r="V160">
        <v>-1.2</v>
      </c>
      <c r="W160">
        <v>1.6</v>
      </c>
      <c r="Y160" s="3">
        <v>450</v>
      </c>
      <c r="Z160" s="3">
        <v>12</v>
      </c>
      <c r="AA160" s="3">
        <v>2</v>
      </c>
      <c r="AB160">
        <v>93.65</v>
      </c>
      <c r="AC160">
        <v>2.018E-2</v>
      </c>
      <c r="AD160">
        <v>-3.5</v>
      </c>
      <c r="AE160">
        <v>6.2</v>
      </c>
    </row>
    <row r="161" spans="1:31" x14ac:dyDescent="0.25">
      <c r="A161" s="3">
        <v>450</v>
      </c>
      <c r="B161" s="3">
        <v>5</v>
      </c>
      <c r="C161" s="3">
        <v>3</v>
      </c>
      <c r="D161">
        <v>0</v>
      </c>
      <c r="E161">
        <v>0</v>
      </c>
      <c r="F161">
        <v>0</v>
      </c>
      <c r="G161">
        <v>0</v>
      </c>
      <c r="I161" s="3">
        <v>450</v>
      </c>
      <c r="J161" s="3">
        <v>5</v>
      </c>
      <c r="K161" s="3">
        <v>3</v>
      </c>
      <c r="L161">
        <v>0</v>
      </c>
      <c r="M161">
        <v>0</v>
      </c>
      <c r="N161">
        <v>0</v>
      </c>
      <c r="O161">
        <v>0</v>
      </c>
      <c r="Q161" s="3">
        <v>450</v>
      </c>
      <c r="R161" s="3">
        <v>5</v>
      </c>
      <c r="S161" s="3">
        <v>3</v>
      </c>
      <c r="T161">
        <v>88.39</v>
      </c>
      <c r="U161">
        <v>1.9910000000000001E-2</v>
      </c>
      <c r="V161">
        <v>-1.4</v>
      </c>
      <c r="W161">
        <v>1.8</v>
      </c>
      <c r="Y161" s="3">
        <v>450</v>
      </c>
      <c r="Z161" s="3">
        <v>12</v>
      </c>
      <c r="AA161" s="3">
        <v>3</v>
      </c>
      <c r="AB161">
        <v>92.04</v>
      </c>
      <c r="AC161">
        <v>2.0250000000000001E-2</v>
      </c>
      <c r="AD161">
        <v>-2.7</v>
      </c>
      <c r="AE161">
        <v>5.4</v>
      </c>
    </row>
    <row r="162" spans="1:31" x14ac:dyDescent="0.25">
      <c r="A162" s="3">
        <v>450</v>
      </c>
      <c r="B162" s="3">
        <v>6</v>
      </c>
      <c r="C162" s="3">
        <v>1</v>
      </c>
      <c r="D162">
        <v>0</v>
      </c>
      <c r="E162">
        <v>0</v>
      </c>
      <c r="F162">
        <v>0</v>
      </c>
      <c r="G162">
        <v>0</v>
      </c>
      <c r="I162" s="3">
        <v>450</v>
      </c>
      <c r="J162" s="3">
        <v>6</v>
      </c>
      <c r="K162" s="3">
        <v>1</v>
      </c>
      <c r="L162">
        <v>0</v>
      </c>
      <c r="M162">
        <v>0</v>
      </c>
      <c r="N162">
        <v>0</v>
      </c>
      <c r="O162">
        <v>0</v>
      </c>
      <c r="Q162" s="3">
        <v>450</v>
      </c>
      <c r="R162" s="3">
        <v>6</v>
      </c>
      <c r="S162" s="3">
        <v>1</v>
      </c>
      <c r="T162">
        <v>84.53</v>
      </c>
      <c r="U162">
        <v>1.626E-2</v>
      </c>
      <c r="V162">
        <v>-5.3</v>
      </c>
      <c r="W162">
        <v>9</v>
      </c>
      <c r="Y162" s="3">
        <v>450</v>
      </c>
      <c r="Z162" s="3">
        <v>13</v>
      </c>
      <c r="AA162" s="3">
        <v>1</v>
      </c>
      <c r="AB162">
        <v>90.37</v>
      </c>
      <c r="AC162">
        <v>2.0240000000000001E-2</v>
      </c>
      <c r="AD162">
        <v>-3.9</v>
      </c>
      <c r="AE162">
        <v>7.7</v>
      </c>
    </row>
    <row r="163" spans="1:31" x14ac:dyDescent="0.25">
      <c r="A163" s="3">
        <v>450</v>
      </c>
      <c r="B163" s="3">
        <v>6</v>
      </c>
      <c r="C163" s="3">
        <v>2</v>
      </c>
      <c r="D163">
        <v>0</v>
      </c>
      <c r="E163">
        <v>0</v>
      </c>
      <c r="F163">
        <v>0</v>
      </c>
      <c r="G163">
        <v>0</v>
      </c>
      <c r="I163" s="3">
        <v>450</v>
      </c>
      <c r="J163" s="3">
        <v>6</v>
      </c>
      <c r="K163" s="3">
        <v>2</v>
      </c>
      <c r="L163">
        <v>0</v>
      </c>
      <c r="M163">
        <v>0</v>
      </c>
      <c r="N163">
        <v>0</v>
      </c>
      <c r="O163">
        <v>0</v>
      </c>
      <c r="Q163" s="3">
        <v>450</v>
      </c>
      <c r="R163" s="3">
        <v>6</v>
      </c>
      <c r="S163" s="3">
        <v>2</v>
      </c>
      <c r="T163">
        <v>84.54</v>
      </c>
      <c r="U163">
        <v>1.6230000000000001E-2</v>
      </c>
      <c r="V163">
        <v>-5.8</v>
      </c>
      <c r="W163">
        <v>9.5</v>
      </c>
      <c r="Y163" s="3">
        <v>450</v>
      </c>
      <c r="Z163" s="3">
        <v>13</v>
      </c>
      <c r="AA163" s="3">
        <v>2</v>
      </c>
      <c r="AB163">
        <v>90.08</v>
      </c>
      <c r="AC163">
        <v>2.0209999999999999E-2</v>
      </c>
      <c r="AD163">
        <v>-3.3</v>
      </c>
      <c r="AE163">
        <v>7.1</v>
      </c>
    </row>
    <row r="164" spans="1:31" x14ac:dyDescent="0.25">
      <c r="A164" s="3">
        <v>450</v>
      </c>
      <c r="B164" s="3">
        <v>6</v>
      </c>
      <c r="C164" s="3">
        <v>3</v>
      </c>
      <c r="D164">
        <v>0</v>
      </c>
      <c r="E164">
        <v>0</v>
      </c>
      <c r="F164">
        <v>0</v>
      </c>
      <c r="G164">
        <v>0</v>
      </c>
      <c r="I164" s="3">
        <v>450</v>
      </c>
      <c r="J164" s="3">
        <v>6</v>
      </c>
      <c r="K164" s="3">
        <v>3</v>
      </c>
      <c r="L164">
        <v>0</v>
      </c>
      <c r="M164">
        <v>0</v>
      </c>
      <c r="N164">
        <v>0</v>
      </c>
      <c r="O164">
        <v>0</v>
      </c>
      <c r="Q164" s="3">
        <v>450</v>
      </c>
      <c r="R164" s="3">
        <v>6</v>
      </c>
      <c r="S164" s="3">
        <v>3</v>
      </c>
      <c r="T164">
        <v>84.5</v>
      </c>
      <c r="U164">
        <v>1.6209999999999999E-2</v>
      </c>
      <c r="V164">
        <v>-6.6</v>
      </c>
      <c r="W164">
        <v>10.199999999999999</v>
      </c>
      <c r="Y164" s="3">
        <v>450</v>
      </c>
      <c r="Z164" s="3">
        <v>14</v>
      </c>
      <c r="AA164" s="3">
        <v>1</v>
      </c>
      <c r="AB164">
        <v>89.93</v>
      </c>
      <c r="AC164">
        <v>2.019E-2</v>
      </c>
      <c r="AD164">
        <v>-2</v>
      </c>
      <c r="AE164">
        <v>4.4000000000000004</v>
      </c>
    </row>
    <row r="165" spans="1:31" x14ac:dyDescent="0.25">
      <c r="A165" s="3">
        <v>450</v>
      </c>
      <c r="B165" s="3">
        <v>7</v>
      </c>
      <c r="C165" s="3">
        <v>1</v>
      </c>
      <c r="D165">
        <v>0</v>
      </c>
      <c r="E165">
        <v>0</v>
      </c>
      <c r="F165">
        <v>0</v>
      </c>
      <c r="G165">
        <v>7.183908045976603E-2</v>
      </c>
      <c r="I165" s="3">
        <v>450</v>
      </c>
      <c r="J165" s="3">
        <v>7</v>
      </c>
      <c r="K165" s="3">
        <v>1</v>
      </c>
      <c r="L165">
        <v>0</v>
      </c>
      <c r="M165">
        <v>0</v>
      </c>
      <c r="N165">
        <v>0</v>
      </c>
      <c r="O165">
        <v>9.9999999999994316E-2</v>
      </c>
      <c r="Q165" s="3">
        <v>450</v>
      </c>
      <c r="R165" s="3">
        <v>7</v>
      </c>
      <c r="S165" s="3">
        <v>1</v>
      </c>
      <c r="T165">
        <v>80</v>
      </c>
      <c r="U165">
        <v>1.3639999999999999E-2</v>
      </c>
      <c r="V165">
        <v>-36.4</v>
      </c>
      <c r="W165">
        <v>-139.1</v>
      </c>
      <c r="Y165" s="3">
        <v>450</v>
      </c>
      <c r="Z165" s="3">
        <v>14</v>
      </c>
      <c r="AA165" s="3">
        <v>2</v>
      </c>
      <c r="AB165">
        <v>90</v>
      </c>
      <c r="AC165">
        <v>2.018E-2</v>
      </c>
      <c r="AD165">
        <v>-1.8</v>
      </c>
      <c r="AE165">
        <v>4.0999999999999996</v>
      </c>
    </row>
    <row r="166" spans="1:31" x14ac:dyDescent="0.25">
      <c r="A166" s="3">
        <v>450</v>
      </c>
      <c r="B166" s="3">
        <v>8</v>
      </c>
      <c r="C166" s="3">
        <v>1</v>
      </c>
      <c r="D166">
        <v>0</v>
      </c>
      <c r="E166">
        <v>0</v>
      </c>
      <c r="F166">
        <v>0</v>
      </c>
      <c r="G166">
        <v>0</v>
      </c>
      <c r="I166" s="3">
        <v>450</v>
      </c>
      <c r="J166" s="3">
        <v>8</v>
      </c>
      <c r="K166" s="3">
        <v>1</v>
      </c>
      <c r="L166">
        <v>0</v>
      </c>
      <c r="M166">
        <v>0</v>
      </c>
      <c r="N166">
        <v>0</v>
      </c>
      <c r="O166">
        <v>0</v>
      </c>
      <c r="Q166" s="3">
        <v>450</v>
      </c>
      <c r="R166" s="3">
        <v>8</v>
      </c>
      <c r="S166" s="3">
        <v>1</v>
      </c>
      <c r="T166">
        <v>85</v>
      </c>
      <c r="U166">
        <v>1.4919999999999999E-2</v>
      </c>
      <c r="V166">
        <v>19</v>
      </c>
      <c r="W166">
        <v>14.2</v>
      </c>
      <c r="Y166" s="3">
        <v>450</v>
      </c>
      <c r="Z166" s="3">
        <v>103</v>
      </c>
      <c r="AA166" s="3">
        <v>1</v>
      </c>
      <c r="AB166">
        <v>87.92</v>
      </c>
      <c r="AC166">
        <v>2.0219999999999998E-2</v>
      </c>
    </row>
    <row r="167" spans="1:31" x14ac:dyDescent="0.25">
      <c r="A167" s="3">
        <v>450</v>
      </c>
      <c r="B167" s="3">
        <v>8</v>
      </c>
      <c r="C167" s="3">
        <v>2</v>
      </c>
      <c r="D167">
        <v>0</v>
      </c>
      <c r="E167">
        <v>0</v>
      </c>
      <c r="F167">
        <v>0</v>
      </c>
      <c r="G167">
        <v>0</v>
      </c>
      <c r="I167" s="3">
        <v>450</v>
      </c>
      <c r="J167" s="3">
        <v>8</v>
      </c>
      <c r="K167" s="3">
        <v>2</v>
      </c>
      <c r="L167">
        <v>0</v>
      </c>
      <c r="M167">
        <v>0</v>
      </c>
      <c r="N167">
        <v>0</v>
      </c>
      <c r="O167">
        <v>0</v>
      </c>
      <c r="Q167" s="3">
        <v>450</v>
      </c>
      <c r="R167" s="3">
        <v>8</v>
      </c>
      <c r="S167" s="3">
        <v>2</v>
      </c>
      <c r="T167">
        <v>85</v>
      </c>
      <c r="U167">
        <v>1.4919999999999999E-2</v>
      </c>
      <c r="V167">
        <v>-16.399999999999999</v>
      </c>
      <c r="W167">
        <v>-116</v>
      </c>
      <c r="Y167" s="3">
        <v>450</v>
      </c>
      <c r="Z167" s="3">
        <v>104</v>
      </c>
      <c r="AA167" s="3">
        <v>1</v>
      </c>
      <c r="AB167">
        <v>87.78</v>
      </c>
      <c r="AC167">
        <v>1.917E-2</v>
      </c>
    </row>
    <row r="168" spans="1:31" x14ac:dyDescent="0.25">
      <c r="A168" s="3">
        <v>450</v>
      </c>
      <c r="B168" s="3">
        <v>9</v>
      </c>
      <c r="C168" s="3">
        <v>1</v>
      </c>
      <c r="D168">
        <v>0</v>
      </c>
      <c r="E168">
        <v>0</v>
      </c>
      <c r="F168">
        <v>0</v>
      </c>
      <c r="G168">
        <v>0</v>
      </c>
      <c r="I168" s="3">
        <v>450</v>
      </c>
      <c r="J168" s="3">
        <v>9</v>
      </c>
      <c r="K168" s="3">
        <v>1</v>
      </c>
      <c r="L168">
        <v>0</v>
      </c>
      <c r="M168">
        <v>0</v>
      </c>
      <c r="N168">
        <v>0</v>
      </c>
      <c r="O168">
        <v>0</v>
      </c>
      <c r="Q168" s="3">
        <v>450</v>
      </c>
      <c r="R168" s="3">
        <v>9</v>
      </c>
      <c r="S168" s="3">
        <v>1</v>
      </c>
      <c r="T168">
        <v>80</v>
      </c>
      <c r="U168">
        <v>1.3639999999999999E-2</v>
      </c>
      <c r="V168">
        <v>23.9</v>
      </c>
      <c r="W168">
        <v>-3</v>
      </c>
      <c r="Y168" s="3">
        <v>450</v>
      </c>
      <c r="Z168" s="3">
        <v>110</v>
      </c>
      <c r="AA168" s="3">
        <v>1</v>
      </c>
      <c r="AB168">
        <v>90.15</v>
      </c>
      <c r="AC168">
        <v>1.9429999999999999E-2</v>
      </c>
    </row>
    <row r="169" spans="1:31" x14ac:dyDescent="0.25">
      <c r="A169" s="3">
        <v>450</v>
      </c>
      <c r="B169" s="3">
        <v>9</v>
      </c>
      <c r="C169" s="3">
        <v>2</v>
      </c>
      <c r="D169">
        <v>0</v>
      </c>
      <c r="E169">
        <v>0</v>
      </c>
      <c r="F169">
        <v>0</v>
      </c>
      <c r="G169">
        <v>0</v>
      </c>
      <c r="I169" s="3">
        <v>450</v>
      </c>
      <c r="J169" s="3">
        <v>9</v>
      </c>
      <c r="K169" s="3">
        <v>2</v>
      </c>
      <c r="L169">
        <v>0</v>
      </c>
      <c r="M169">
        <v>0</v>
      </c>
      <c r="N169">
        <v>0</v>
      </c>
      <c r="O169">
        <v>0</v>
      </c>
      <c r="Q169" s="3">
        <v>450</v>
      </c>
      <c r="R169" s="3">
        <v>9</v>
      </c>
      <c r="S169" s="3">
        <v>2</v>
      </c>
      <c r="T169">
        <v>80</v>
      </c>
      <c r="U169">
        <v>1.3639999999999999E-2</v>
      </c>
      <c r="V169">
        <v>10.8</v>
      </c>
      <c r="W169">
        <v>4.4000000000000004</v>
      </c>
      <c r="Y169" s="3">
        <v>450</v>
      </c>
      <c r="Z169" s="3">
        <v>114</v>
      </c>
      <c r="AA169" s="3">
        <v>1</v>
      </c>
      <c r="AB169">
        <v>90.5</v>
      </c>
      <c r="AC169">
        <v>2.0240000000000001E-2</v>
      </c>
    </row>
    <row r="170" spans="1:31" x14ac:dyDescent="0.25">
      <c r="A170" s="3">
        <v>450</v>
      </c>
      <c r="B170" s="3">
        <v>9</v>
      </c>
      <c r="C170" s="3">
        <v>3</v>
      </c>
      <c r="D170">
        <v>0</v>
      </c>
      <c r="E170">
        <v>0</v>
      </c>
      <c r="F170">
        <v>0</v>
      </c>
      <c r="G170">
        <v>0</v>
      </c>
      <c r="I170" s="3">
        <v>450</v>
      </c>
      <c r="J170" s="3">
        <v>9</v>
      </c>
      <c r="K170" s="3">
        <v>3</v>
      </c>
      <c r="L170">
        <v>0</v>
      </c>
      <c r="M170">
        <v>0</v>
      </c>
      <c r="N170">
        <v>0</v>
      </c>
      <c r="O170">
        <v>0</v>
      </c>
      <c r="Q170" s="3">
        <v>450</v>
      </c>
      <c r="R170" s="3">
        <v>9</v>
      </c>
      <c r="S170" s="3">
        <v>3</v>
      </c>
      <c r="T170">
        <v>80</v>
      </c>
      <c r="U170">
        <v>1.3639999999999999E-2</v>
      </c>
      <c r="V170">
        <v>6</v>
      </c>
      <c r="W170">
        <v>-0.1</v>
      </c>
      <c r="Y170" s="3">
        <v>630</v>
      </c>
      <c r="Z170" s="3">
        <v>1</v>
      </c>
      <c r="AA170" s="3">
        <v>1</v>
      </c>
      <c r="AB170">
        <v>89.42</v>
      </c>
      <c r="AC170">
        <v>2.018E-2</v>
      </c>
      <c r="AD170">
        <v>-0.2</v>
      </c>
      <c r="AE170">
        <v>0.4</v>
      </c>
    </row>
    <row r="171" spans="1:31" x14ac:dyDescent="0.25">
      <c r="A171" s="3">
        <v>450</v>
      </c>
      <c r="B171" s="3">
        <v>9</v>
      </c>
      <c r="C171" s="3">
        <v>4</v>
      </c>
      <c r="D171">
        <v>0</v>
      </c>
      <c r="E171">
        <v>0</v>
      </c>
      <c r="F171">
        <v>0</v>
      </c>
      <c r="G171">
        <v>0</v>
      </c>
      <c r="I171" s="3">
        <v>450</v>
      </c>
      <c r="J171" s="3">
        <v>9</v>
      </c>
      <c r="K171" s="3">
        <v>4</v>
      </c>
      <c r="L171">
        <v>0</v>
      </c>
      <c r="M171">
        <v>0</v>
      </c>
      <c r="N171">
        <v>0</v>
      </c>
      <c r="O171">
        <v>0</v>
      </c>
      <c r="Q171" s="3">
        <v>450</v>
      </c>
      <c r="R171" s="3">
        <v>9</v>
      </c>
      <c r="S171" s="3">
        <v>4</v>
      </c>
      <c r="T171">
        <v>80</v>
      </c>
      <c r="U171">
        <v>1.3639999999999999E-2</v>
      </c>
      <c r="V171">
        <v>-21.3</v>
      </c>
      <c r="W171">
        <v>-30.7</v>
      </c>
      <c r="Y171" s="3">
        <v>630</v>
      </c>
      <c r="Z171" s="3">
        <v>2</v>
      </c>
      <c r="AA171" s="3">
        <v>1</v>
      </c>
      <c r="AB171">
        <v>88.85</v>
      </c>
      <c r="AC171">
        <v>2.018E-2</v>
      </c>
      <c r="AD171">
        <v>-0.2</v>
      </c>
      <c r="AE171">
        <v>0.4</v>
      </c>
    </row>
    <row r="172" spans="1:31" x14ac:dyDescent="0.25">
      <c r="A172" s="3">
        <v>450</v>
      </c>
      <c r="B172" s="3">
        <v>10</v>
      </c>
      <c r="C172" s="3">
        <v>1</v>
      </c>
      <c r="D172">
        <v>0</v>
      </c>
      <c r="E172">
        <v>0</v>
      </c>
      <c r="F172">
        <v>0</v>
      </c>
      <c r="G172">
        <v>0</v>
      </c>
      <c r="I172" s="3">
        <v>450</v>
      </c>
      <c r="J172" s="3">
        <v>10</v>
      </c>
      <c r="K172" s="3">
        <v>1</v>
      </c>
      <c r="L172">
        <v>0</v>
      </c>
      <c r="M172">
        <v>0</v>
      </c>
      <c r="N172">
        <v>0</v>
      </c>
      <c r="O172">
        <v>0</v>
      </c>
      <c r="Q172" s="3">
        <v>450</v>
      </c>
      <c r="R172" s="3">
        <v>10</v>
      </c>
      <c r="S172" s="3">
        <v>1</v>
      </c>
      <c r="T172">
        <v>85</v>
      </c>
      <c r="U172">
        <v>1.4919999999999999E-2</v>
      </c>
      <c r="V172">
        <v>-13.5</v>
      </c>
      <c r="W172">
        <v>-95.8</v>
      </c>
      <c r="Y172" s="3">
        <v>630</v>
      </c>
      <c r="Z172" s="3">
        <v>3</v>
      </c>
      <c r="AA172" s="3">
        <v>1</v>
      </c>
      <c r="AB172">
        <v>87.95</v>
      </c>
      <c r="AC172">
        <v>2.0199999999999999E-2</v>
      </c>
      <c r="AD172">
        <v>-0.4</v>
      </c>
      <c r="AE172">
        <v>0.8</v>
      </c>
    </row>
    <row r="173" spans="1:31" x14ac:dyDescent="0.25">
      <c r="A173" s="3">
        <v>450</v>
      </c>
      <c r="B173" s="3">
        <v>10</v>
      </c>
      <c r="C173" s="3">
        <v>2</v>
      </c>
      <c r="D173">
        <v>0</v>
      </c>
      <c r="E173">
        <v>0</v>
      </c>
      <c r="F173">
        <v>0</v>
      </c>
      <c r="G173">
        <v>0</v>
      </c>
      <c r="I173" s="3">
        <v>450</v>
      </c>
      <c r="J173" s="3">
        <v>10</v>
      </c>
      <c r="K173" s="3">
        <v>2</v>
      </c>
      <c r="L173">
        <v>0</v>
      </c>
      <c r="M173">
        <v>0</v>
      </c>
      <c r="N173">
        <v>0</v>
      </c>
      <c r="O173">
        <v>0</v>
      </c>
      <c r="Q173" s="3">
        <v>450</v>
      </c>
      <c r="R173" s="3">
        <v>10</v>
      </c>
      <c r="S173" s="3">
        <v>2</v>
      </c>
      <c r="T173">
        <v>85</v>
      </c>
      <c r="U173">
        <v>1.4919999999999999E-2</v>
      </c>
      <c r="V173">
        <v>22.4</v>
      </c>
      <c r="W173">
        <v>20.399999999999999</v>
      </c>
      <c r="Y173" s="3">
        <v>630</v>
      </c>
      <c r="Z173" s="3">
        <v>3</v>
      </c>
      <c r="AA173" s="3">
        <v>2</v>
      </c>
      <c r="AB173">
        <v>87.46</v>
      </c>
      <c r="AC173">
        <v>2.0219999999999998E-2</v>
      </c>
      <c r="AD173">
        <v>-0.3</v>
      </c>
      <c r="AE173">
        <v>0.7</v>
      </c>
    </row>
    <row r="174" spans="1:31" x14ac:dyDescent="0.25">
      <c r="A174" s="3">
        <v>450</v>
      </c>
      <c r="B174" s="3">
        <v>11</v>
      </c>
      <c r="C174" s="3">
        <v>1</v>
      </c>
      <c r="D174">
        <v>0</v>
      </c>
      <c r="E174">
        <v>0</v>
      </c>
      <c r="F174">
        <v>0</v>
      </c>
      <c r="G174">
        <v>0</v>
      </c>
      <c r="I174" s="3">
        <v>450</v>
      </c>
      <c r="J174" s="3">
        <v>11</v>
      </c>
      <c r="K174" s="3">
        <v>1</v>
      </c>
      <c r="L174">
        <v>0</v>
      </c>
      <c r="M174">
        <v>0</v>
      </c>
      <c r="N174">
        <v>0</v>
      </c>
      <c r="O174">
        <v>0</v>
      </c>
      <c r="Q174" s="3">
        <v>450</v>
      </c>
      <c r="R174" s="3">
        <v>11</v>
      </c>
      <c r="S174" s="3">
        <v>1</v>
      </c>
      <c r="T174">
        <v>80</v>
      </c>
      <c r="U174">
        <v>1.3639999999999999E-2</v>
      </c>
      <c r="V174">
        <v>-437.2</v>
      </c>
      <c r="W174">
        <v>-822.3</v>
      </c>
      <c r="Y174" s="3">
        <v>630</v>
      </c>
      <c r="Z174" s="3">
        <v>4</v>
      </c>
      <c r="AA174" s="3">
        <v>1</v>
      </c>
      <c r="AB174">
        <v>86.28</v>
      </c>
      <c r="AC174">
        <v>1.7440000000000001E-2</v>
      </c>
      <c r="AD174">
        <v>-2.2999999999999998</v>
      </c>
      <c r="AE174">
        <v>6.1</v>
      </c>
    </row>
    <row r="175" spans="1:31" x14ac:dyDescent="0.25">
      <c r="A175" s="3">
        <v>450</v>
      </c>
      <c r="B175" s="3">
        <v>12</v>
      </c>
      <c r="C175" s="3">
        <v>1</v>
      </c>
      <c r="D175">
        <v>0</v>
      </c>
      <c r="E175">
        <v>0</v>
      </c>
      <c r="F175">
        <v>0</v>
      </c>
      <c r="G175">
        <v>0</v>
      </c>
      <c r="I175" s="3">
        <v>450</v>
      </c>
      <c r="J175" s="3">
        <v>12</v>
      </c>
      <c r="K175" s="3">
        <v>1</v>
      </c>
      <c r="L175">
        <v>0</v>
      </c>
      <c r="M175">
        <v>0</v>
      </c>
      <c r="N175">
        <v>0</v>
      </c>
      <c r="O175">
        <v>0</v>
      </c>
      <c r="Q175" s="3">
        <v>450</v>
      </c>
      <c r="R175" s="3">
        <v>12</v>
      </c>
      <c r="S175" s="3">
        <v>1</v>
      </c>
      <c r="T175">
        <v>94.56</v>
      </c>
      <c r="U175">
        <v>1.9820000000000001E-2</v>
      </c>
      <c r="V175">
        <v>296.60000000000002</v>
      </c>
      <c r="W175">
        <v>8.6999999999999993</v>
      </c>
      <c r="Y175" s="3">
        <v>630</v>
      </c>
      <c r="Z175" s="3">
        <v>4</v>
      </c>
      <c r="AA175" s="3">
        <v>2</v>
      </c>
      <c r="AB175">
        <v>86.04</v>
      </c>
      <c r="AC175">
        <v>1.753E-2</v>
      </c>
      <c r="AD175">
        <v>-2.1</v>
      </c>
      <c r="AE175">
        <v>6</v>
      </c>
    </row>
    <row r="176" spans="1:31" x14ac:dyDescent="0.25">
      <c r="A176" s="3">
        <v>450</v>
      </c>
      <c r="B176" s="3">
        <v>12</v>
      </c>
      <c r="C176" s="3">
        <v>2</v>
      </c>
      <c r="D176">
        <v>0</v>
      </c>
      <c r="E176">
        <v>0</v>
      </c>
      <c r="F176">
        <v>0</v>
      </c>
      <c r="G176">
        <v>0</v>
      </c>
      <c r="I176" s="3">
        <v>450</v>
      </c>
      <c r="J176" s="3">
        <v>12</v>
      </c>
      <c r="K176" s="3">
        <v>2</v>
      </c>
      <c r="L176">
        <v>0</v>
      </c>
      <c r="M176">
        <v>0</v>
      </c>
      <c r="N176">
        <v>0</v>
      </c>
      <c r="O176">
        <v>0</v>
      </c>
      <c r="Q176" s="3">
        <v>450</v>
      </c>
      <c r="R176" s="3">
        <v>12</v>
      </c>
      <c r="S176" s="3">
        <v>2</v>
      </c>
      <c r="T176">
        <v>93.65</v>
      </c>
      <c r="U176">
        <v>2.018E-2</v>
      </c>
      <c r="V176">
        <v>-3.5</v>
      </c>
      <c r="W176">
        <v>6.2</v>
      </c>
      <c r="Y176" s="3">
        <v>630</v>
      </c>
      <c r="Z176" s="3">
        <v>4</v>
      </c>
      <c r="AA176" s="3">
        <v>3</v>
      </c>
      <c r="AB176">
        <v>85.51</v>
      </c>
      <c r="AC176">
        <v>1.7350000000000001E-2</v>
      </c>
      <c r="AD176">
        <v>-2</v>
      </c>
      <c r="AE176">
        <v>5.8</v>
      </c>
    </row>
    <row r="177" spans="1:31" x14ac:dyDescent="0.25">
      <c r="A177" s="3">
        <v>450</v>
      </c>
      <c r="B177" s="3">
        <v>12</v>
      </c>
      <c r="C177" s="3">
        <v>3</v>
      </c>
      <c r="D177">
        <v>0</v>
      </c>
      <c r="E177">
        <v>0</v>
      </c>
      <c r="F177">
        <v>0</v>
      </c>
      <c r="G177">
        <v>0</v>
      </c>
      <c r="I177" s="3">
        <v>450</v>
      </c>
      <c r="J177" s="3">
        <v>12</v>
      </c>
      <c r="K177" s="3">
        <v>3</v>
      </c>
      <c r="L177">
        <v>0</v>
      </c>
      <c r="M177">
        <v>0</v>
      </c>
      <c r="N177">
        <v>0</v>
      </c>
      <c r="O177">
        <v>0</v>
      </c>
      <c r="Q177" s="3">
        <v>450</v>
      </c>
      <c r="R177" s="3">
        <v>12</v>
      </c>
      <c r="S177" s="3">
        <v>3</v>
      </c>
      <c r="T177">
        <v>92.04</v>
      </c>
      <c r="U177">
        <v>2.0250000000000001E-2</v>
      </c>
      <c r="V177">
        <v>-2.7</v>
      </c>
      <c r="W177">
        <v>5.4</v>
      </c>
      <c r="Y177" s="3">
        <v>630</v>
      </c>
      <c r="Z177" s="3">
        <v>5</v>
      </c>
      <c r="AA177" s="3">
        <v>1</v>
      </c>
      <c r="AB177">
        <v>87.44</v>
      </c>
      <c r="AC177">
        <v>2.0240000000000001E-2</v>
      </c>
      <c r="AD177">
        <v>-0.7</v>
      </c>
      <c r="AE177">
        <v>1.1000000000000001</v>
      </c>
    </row>
    <row r="178" spans="1:31" x14ac:dyDescent="0.25">
      <c r="A178" s="3">
        <v>450</v>
      </c>
      <c r="B178" s="3">
        <v>13</v>
      </c>
      <c r="C178" s="3">
        <v>1</v>
      </c>
      <c r="D178">
        <v>0</v>
      </c>
      <c r="E178">
        <v>0</v>
      </c>
      <c r="F178">
        <v>0</v>
      </c>
      <c r="G178">
        <v>0</v>
      </c>
      <c r="I178" s="3">
        <v>450</v>
      </c>
      <c r="J178" s="3">
        <v>13</v>
      </c>
      <c r="K178" s="3">
        <v>1</v>
      </c>
      <c r="L178">
        <v>0</v>
      </c>
      <c r="M178">
        <v>0</v>
      </c>
      <c r="N178">
        <v>0</v>
      </c>
      <c r="O178">
        <v>0</v>
      </c>
      <c r="Q178" s="3">
        <v>450</v>
      </c>
      <c r="R178" s="3">
        <v>13</v>
      </c>
      <c r="S178" s="3">
        <v>1</v>
      </c>
      <c r="T178">
        <v>90.37</v>
      </c>
      <c r="U178">
        <v>2.0240000000000001E-2</v>
      </c>
      <c r="V178">
        <v>-3.9</v>
      </c>
      <c r="W178">
        <v>7.7</v>
      </c>
      <c r="Y178" s="3">
        <v>630</v>
      </c>
      <c r="Z178" s="3">
        <v>5</v>
      </c>
      <c r="AA178" s="3">
        <v>2</v>
      </c>
      <c r="AB178">
        <v>87.55</v>
      </c>
      <c r="AC178">
        <v>2.019E-2</v>
      </c>
      <c r="AD178">
        <v>-0.7</v>
      </c>
      <c r="AE178">
        <v>1.1000000000000001</v>
      </c>
    </row>
    <row r="179" spans="1:31" x14ac:dyDescent="0.25">
      <c r="A179" s="3">
        <v>450</v>
      </c>
      <c r="B179" s="3">
        <v>13</v>
      </c>
      <c r="C179" s="3">
        <v>2</v>
      </c>
      <c r="D179">
        <v>0</v>
      </c>
      <c r="E179">
        <v>0</v>
      </c>
      <c r="F179">
        <v>0</v>
      </c>
      <c r="G179">
        <v>0</v>
      </c>
      <c r="I179" s="3">
        <v>450</v>
      </c>
      <c r="J179" s="3">
        <v>13</v>
      </c>
      <c r="K179" s="3">
        <v>2</v>
      </c>
      <c r="L179">
        <v>0</v>
      </c>
      <c r="M179">
        <v>0</v>
      </c>
      <c r="N179">
        <v>0</v>
      </c>
      <c r="O179">
        <v>0</v>
      </c>
      <c r="Q179" s="3">
        <v>450</v>
      </c>
      <c r="R179" s="3">
        <v>13</v>
      </c>
      <c r="S179" s="3">
        <v>2</v>
      </c>
      <c r="T179">
        <v>90.08</v>
      </c>
      <c r="U179">
        <v>2.0209999999999999E-2</v>
      </c>
      <c r="V179">
        <v>-3.3</v>
      </c>
      <c r="W179">
        <v>7.1</v>
      </c>
      <c r="Y179" s="3">
        <v>630</v>
      </c>
      <c r="Z179" s="3">
        <v>5</v>
      </c>
      <c r="AA179" s="3">
        <v>3</v>
      </c>
      <c r="AB179">
        <v>87.08</v>
      </c>
      <c r="AC179">
        <v>1.9359999999999999E-2</v>
      </c>
      <c r="AD179">
        <v>-0.8</v>
      </c>
      <c r="AE179">
        <v>1.2</v>
      </c>
    </row>
    <row r="180" spans="1:31" x14ac:dyDescent="0.25">
      <c r="A180" s="3">
        <v>450</v>
      </c>
      <c r="B180" s="3">
        <v>14</v>
      </c>
      <c r="C180" s="3">
        <v>1</v>
      </c>
      <c r="D180">
        <v>0</v>
      </c>
      <c r="E180">
        <v>0</v>
      </c>
      <c r="F180">
        <v>0</v>
      </c>
      <c r="G180">
        <v>0</v>
      </c>
      <c r="I180" s="3">
        <v>450</v>
      </c>
      <c r="J180" s="3">
        <v>14</v>
      </c>
      <c r="K180" s="3">
        <v>1</v>
      </c>
      <c r="L180">
        <v>0</v>
      </c>
      <c r="M180">
        <v>0</v>
      </c>
      <c r="N180">
        <v>0</v>
      </c>
      <c r="O180">
        <v>0</v>
      </c>
      <c r="Q180" s="3">
        <v>450</v>
      </c>
      <c r="R180" s="3">
        <v>14</v>
      </c>
      <c r="S180" s="3">
        <v>1</v>
      </c>
      <c r="T180">
        <v>89.93</v>
      </c>
      <c r="U180">
        <v>2.019E-2</v>
      </c>
      <c r="V180">
        <v>-2</v>
      </c>
      <c r="W180">
        <v>4.4000000000000004</v>
      </c>
      <c r="Y180" s="3">
        <v>630</v>
      </c>
      <c r="Z180" s="3">
        <v>6</v>
      </c>
      <c r="AA180" s="3">
        <v>1</v>
      </c>
      <c r="AB180">
        <v>84.45</v>
      </c>
      <c r="AC180">
        <v>1.669E-2</v>
      </c>
      <c r="AD180">
        <v>-1.9</v>
      </c>
      <c r="AE180">
        <v>5.5</v>
      </c>
    </row>
    <row r="181" spans="1:31" x14ac:dyDescent="0.25">
      <c r="A181" s="3">
        <v>450</v>
      </c>
      <c r="B181" s="3">
        <v>14</v>
      </c>
      <c r="C181" s="3">
        <v>2</v>
      </c>
      <c r="D181">
        <v>0</v>
      </c>
      <c r="E181">
        <v>0</v>
      </c>
      <c r="F181">
        <v>0</v>
      </c>
      <c r="G181">
        <v>0</v>
      </c>
      <c r="I181" s="3">
        <v>450</v>
      </c>
      <c r="J181" s="3">
        <v>14</v>
      </c>
      <c r="K181" s="3">
        <v>2</v>
      </c>
      <c r="L181">
        <v>0</v>
      </c>
      <c r="M181">
        <v>0</v>
      </c>
      <c r="N181">
        <v>0</v>
      </c>
      <c r="O181">
        <v>0</v>
      </c>
      <c r="Q181" s="3">
        <v>450</v>
      </c>
      <c r="R181" s="3">
        <v>14</v>
      </c>
      <c r="S181" s="3">
        <v>2</v>
      </c>
      <c r="T181">
        <v>90</v>
      </c>
      <c r="U181">
        <v>2.018E-2</v>
      </c>
      <c r="V181">
        <v>-1.8</v>
      </c>
      <c r="W181">
        <v>4.0999999999999996</v>
      </c>
      <c r="Y181" s="3">
        <v>630</v>
      </c>
      <c r="Z181" s="3">
        <v>6</v>
      </c>
      <c r="AA181" s="3">
        <v>2</v>
      </c>
      <c r="AB181">
        <v>83.2</v>
      </c>
      <c r="AC181">
        <v>1.5789999999999998E-2</v>
      </c>
      <c r="AD181">
        <v>-2</v>
      </c>
      <c r="AE181">
        <v>5.6</v>
      </c>
    </row>
    <row r="182" spans="1:31" x14ac:dyDescent="0.25">
      <c r="A182" s="3">
        <v>450</v>
      </c>
      <c r="B182" s="3">
        <v>103</v>
      </c>
      <c r="C182" s="3">
        <v>1</v>
      </c>
      <c r="D182">
        <v>0</v>
      </c>
      <c r="E182">
        <v>0</v>
      </c>
      <c r="I182" s="3">
        <v>450</v>
      </c>
      <c r="J182" s="3">
        <v>103</v>
      </c>
      <c r="K182" s="3">
        <v>1</v>
      </c>
      <c r="L182">
        <v>0</v>
      </c>
      <c r="M182">
        <v>0</v>
      </c>
      <c r="Q182" s="3">
        <v>450</v>
      </c>
      <c r="R182" s="3">
        <v>103</v>
      </c>
      <c r="S182" s="3">
        <v>1</v>
      </c>
      <c r="T182">
        <v>87.92</v>
      </c>
      <c r="U182">
        <v>2.0219999999999998E-2</v>
      </c>
      <c r="Y182" s="3">
        <v>630</v>
      </c>
      <c r="Z182" s="3">
        <v>6</v>
      </c>
      <c r="AA182" s="3">
        <v>3</v>
      </c>
      <c r="AB182">
        <v>81.84</v>
      </c>
      <c r="AC182">
        <v>1.473E-2</v>
      </c>
      <c r="AD182">
        <v>-2.2000000000000002</v>
      </c>
      <c r="AE182">
        <v>5.8</v>
      </c>
    </row>
    <row r="183" spans="1:31" x14ac:dyDescent="0.25">
      <c r="A183" s="3">
        <v>450</v>
      </c>
      <c r="B183" s="3">
        <v>104</v>
      </c>
      <c r="C183" s="3">
        <v>1</v>
      </c>
      <c r="D183">
        <v>0</v>
      </c>
      <c r="E183">
        <v>0</v>
      </c>
      <c r="I183" s="3">
        <v>450</v>
      </c>
      <c r="J183" s="3">
        <v>104</v>
      </c>
      <c r="K183" s="3">
        <v>1</v>
      </c>
      <c r="L183">
        <v>0</v>
      </c>
      <c r="M183">
        <v>0</v>
      </c>
      <c r="Q183" s="3">
        <v>450</v>
      </c>
      <c r="R183" s="3">
        <v>104</v>
      </c>
      <c r="S183" s="3">
        <v>1</v>
      </c>
      <c r="T183">
        <v>87.78</v>
      </c>
      <c r="U183">
        <v>1.917E-2</v>
      </c>
      <c r="Y183" s="3">
        <v>630</v>
      </c>
      <c r="Z183" s="3">
        <v>7</v>
      </c>
      <c r="AA183" s="3">
        <v>1</v>
      </c>
      <c r="AB183">
        <v>80.53</v>
      </c>
      <c r="AC183">
        <v>1.3939999999999999E-2</v>
      </c>
      <c r="AD183">
        <v>-46.5</v>
      </c>
      <c r="AE183">
        <v>-138.80000000000001</v>
      </c>
    </row>
    <row r="184" spans="1:31" x14ac:dyDescent="0.25">
      <c r="A184" s="3">
        <v>450</v>
      </c>
      <c r="B184" s="3">
        <v>110</v>
      </c>
      <c r="C184" s="3">
        <v>1</v>
      </c>
      <c r="D184">
        <v>0</v>
      </c>
      <c r="E184">
        <v>0</v>
      </c>
      <c r="I184" s="3">
        <v>450</v>
      </c>
      <c r="J184" s="3">
        <v>110</v>
      </c>
      <c r="K184" s="3">
        <v>1</v>
      </c>
      <c r="L184">
        <v>0</v>
      </c>
      <c r="M184">
        <v>0</v>
      </c>
      <c r="Q184" s="3">
        <v>450</v>
      </c>
      <c r="R184" s="3">
        <v>110</v>
      </c>
      <c r="S184" s="3">
        <v>1</v>
      </c>
      <c r="T184">
        <v>90.15</v>
      </c>
      <c r="U184">
        <v>1.9429999999999999E-2</v>
      </c>
      <c r="Y184" s="3">
        <v>630</v>
      </c>
      <c r="Z184" s="3">
        <v>8</v>
      </c>
      <c r="AA184" s="3">
        <v>1</v>
      </c>
      <c r="AB184">
        <v>86.53</v>
      </c>
      <c r="AC184">
        <v>1.5890000000000001E-2</v>
      </c>
      <c r="AD184">
        <v>19</v>
      </c>
      <c r="AE184">
        <v>14.2</v>
      </c>
    </row>
    <row r="185" spans="1:31" x14ac:dyDescent="0.25">
      <c r="A185" s="3">
        <v>450</v>
      </c>
      <c r="B185" s="3">
        <v>114</v>
      </c>
      <c r="C185" s="3">
        <v>1</v>
      </c>
      <c r="D185">
        <v>0</v>
      </c>
      <c r="E185">
        <v>0</v>
      </c>
      <c r="I185" s="3">
        <v>450</v>
      </c>
      <c r="J185" s="3">
        <v>114</v>
      </c>
      <c r="K185" s="3">
        <v>1</v>
      </c>
      <c r="L185">
        <v>0</v>
      </c>
      <c r="M185">
        <v>0</v>
      </c>
      <c r="Q185" s="3">
        <v>450</v>
      </c>
      <c r="R185" s="3">
        <v>114</v>
      </c>
      <c r="S185" s="3">
        <v>1</v>
      </c>
      <c r="T185">
        <v>90.5</v>
      </c>
      <c r="U185">
        <v>2.0240000000000001E-2</v>
      </c>
      <c r="Y185" s="3">
        <v>630</v>
      </c>
      <c r="Z185" s="3">
        <v>8</v>
      </c>
      <c r="AA185" s="3">
        <v>2</v>
      </c>
      <c r="AB185">
        <v>86.7</v>
      </c>
      <c r="AC185">
        <v>1.5910000000000001E-2</v>
      </c>
      <c r="AD185">
        <v>-16.399999999999999</v>
      </c>
      <c r="AE185">
        <v>-116</v>
      </c>
    </row>
    <row r="186" spans="1:31" x14ac:dyDescent="0.25">
      <c r="A186" s="3">
        <v>630</v>
      </c>
      <c r="B186" s="3">
        <v>1</v>
      </c>
      <c r="C186" s="3">
        <v>1</v>
      </c>
      <c r="D186">
        <v>0</v>
      </c>
      <c r="E186">
        <v>0</v>
      </c>
      <c r="F186">
        <v>0</v>
      </c>
      <c r="G186">
        <v>0</v>
      </c>
      <c r="I186" s="3">
        <v>630</v>
      </c>
      <c r="J186" s="3">
        <v>1</v>
      </c>
      <c r="K186" s="3">
        <v>1</v>
      </c>
      <c r="L186">
        <v>0</v>
      </c>
      <c r="M186">
        <v>0</v>
      </c>
      <c r="N186">
        <v>0</v>
      </c>
      <c r="O186">
        <v>0</v>
      </c>
      <c r="Q186" s="3">
        <v>630</v>
      </c>
      <c r="R186" s="3">
        <v>1</v>
      </c>
      <c r="S186" s="3">
        <v>1</v>
      </c>
      <c r="T186">
        <v>89.42</v>
      </c>
      <c r="U186">
        <v>2.018E-2</v>
      </c>
      <c r="V186">
        <v>-0.2</v>
      </c>
      <c r="W186">
        <v>0.4</v>
      </c>
      <c r="Y186" s="3">
        <v>630</v>
      </c>
      <c r="Z186" s="3">
        <v>9</v>
      </c>
      <c r="AA186" s="3">
        <v>1</v>
      </c>
      <c r="AB186">
        <v>79.760000000000005</v>
      </c>
      <c r="AC186">
        <v>1.3860000000000001E-2</v>
      </c>
      <c r="AD186">
        <v>74.900000000000006</v>
      </c>
      <c r="AE186">
        <v>-1.8</v>
      </c>
    </row>
    <row r="187" spans="1:31" x14ac:dyDescent="0.25">
      <c r="A187" s="3">
        <v>630</v>
      </c>
      <c r="B187" s="3">
        <v>2</v>
      </c>
      <c r="C187" s="3">
        <v>1</v>
      </c>
      <c r="D187">
        <v>0</v>
      </c>
      <c r="E187">
        <v>0</v>
      </c>
      <c r="F187">
        <v>0</v>
      </c>
      <c r="G187">
        <v>0</v>
      </c>
      <c r="I187" s="3">
        <v>630</v>
      </c>
      <c r="J187" s="3">
        <v>2</v>
      </c>
      <c r="K187" s="3">
        <v>1</v>
      </c>
      <c r="L187">
        <v>0</v>
      </c>
      <c r="M187">
        <v>0</v>
      </c>
      <c r="N187">
        <v>0</v>
      </c>
      <c r="O187">
        <v>0</v>
      </c>
      <c r="Q187" s="3">
        <v>630</v>
      </c>
      <c r="R187" s="3">
        <v>2</v>
      </c>
      <c r="S187" s="3">
        <v>1</v>
      </c>
      <c r="T187">
        <v>88.85</v>
      </c>
      <c r="U187">
        <v>2.018E-2</v>
      </c>
      <c r="V187">
        <v>-0.2</v>
      </c>
      <c r="W187">
        <v>0.4</v>
      </c>
      <c r="Y187" s="3">
        <v>630</v>
      </c>
      <c r="Z187" s="3">
        <v>9</v>
      </c>
      <c r="AA187" s="3">
        <v>2</v>
      </c>
      <c r="AB187">
        <v>79.239999999999995</v>
      </c>
      <c r="AC187">
        <v>1.367E-2</v>
      </c>
      <c r="AD187">
        <v>196.4</v>
      </c>
      <c r="AE187">
        <v>6.3</v>
      </c>
    </row>
    <row r="188" spans="1:31" x14ac:dyDescent="0.25">
      <c r="A188" s="3">
        <v>630</v>
      </c>
      <c r="B188" s="3">
        <v>3</v>
      </c>
      <c r="C188" s="3">
        <v>1</v>
      </c>
      <c r="D188">
        <v>0</v>
      </c>
      <c r="E188">
        <v>0</v>
      </c>
      <c r="F188">
        <v>0</v>
      </c>
      <c r="G188">
        <v>0</v>
      </c>
      <c r="I188" s="3">
        <v>630</v>
      </c>
      <c r="J188" s="3">
        <v>3</v>
      </c>
      <c r="K188" s="3">
        <v>1</v>
      </c>
      <c r="L188">
        <v>0</v>
      </c>
      <c r="M188">
        <v>0</v>
      </c>
      <c r="N188">
        <v>0</v>
      </c>
      <c r="O188">
        <v>0</v>
      </c>
      <c r="Q188" s="3">
        <v>630</v>
      </c>
      <c r="R188" s="3">
        <v>3</v>
      </c>
      <c r="S188" s="3">
        <v>1</v>
      </c>
      <c r="T188">
        <v>87.95</v>
      </c>
      <c r="U188">
        <v>2.0199999999999999E-2</v>
      </c>
      <c r="V188">
        <v>-0.4</v>
      </c>
      <c r="W188">
        <v>0.8</v>
      </c>
      <c r="Y188" s="3">
        <v>630</v>
      </c>
      <c r="Z188" s="3">
        <v>9</v>
      </c>
      <c r="AA188" s="3">
        <v>3</v>
      </c>
      <c r="AB188">
        <v>79.37</v>
      </c>
      <c r="AC188">
        <v>1.359E-2</v>
      </c>
      <c r="AD188">
        <v>190.7</v>
      </c>
      <c r="AE188">
        <v>1.8</v>
      </c>
    </row>
    <row r="189" spans="1:31" x14ac:dyDescent="0.25">
      <c r="A189" s="3">
        <v>630</v>
      </c>
      <c r="B189" s="3">
        <v>3</v>
      </c>
      <c r="C189" s="3">
        <v>2</v>
      </c>
      <c r="D189">
        <v>0</v>
      </c>
      <c r="E189">
        <v>0</v>
      </c>
      <c r="F189">
        <v>0</v>
      </c>
      <c r="G189">
        <v>0</v>
      </c>
      <c r="I189" s="3">
        <v>630</v>
      </c>
      <c r="J189" s="3">
        <v>3</v>
      </c>
      <c r="K189" s="3">
        <v>2</v>
      </c>
      <c r="L189">
        <v>0</v>
      </c>
      <c r="M189">
        <v>0</v>
      </c>
      <c r="N189">
        <v>0</v>
      </c>
      <c r="O189">
        <v>0</v>
      </c>
      <c r="Q189" s="3">
        <v>630</v>
      </c>
      <c r="R189" s="3">
        <v>3</v>
      </c>
      <c r="S189" s="3">
        <v>2</v>
      </c>
      <c r="T189">
        <v>87.46</v>
      </c>
      <c r="U189">
        <v>2.0219999999999998E-2</v>
      </c>
      <c r="V189">
        <v>-0.3</v>
      </c>
      <c r="W189">
        <v>0.7</v>
      </c>
      <c r="Y189" s="3">
        <v>630</v>
      </c>
      <c r="Z189" s="3">
        <v>9</v>
      </c>
      <c r="AA189" s="3">
        <v>4</v>
      </c>
      <c r="AB189">
        <v>80.47</v>
      </c>
      <c r="AC189">
        <v>1.389E-2</v>
      </c>
      <c r="AD189">
        <v>164.7</v>
      </c>
      <c r="AE189">
        <v>-28.4</v>
      </c>
    </row>
    <row r="190" spans="1:31" x14ac:dyDescent="0.25">
      <c r="A190" s="3">
        <v>630</v>
      </c>
      <c r="B190" s="3">
        <v>4</v>
      </c>
      <c r="C190" s="3">
        <v>1</v>
      </c>
      <c r="D190">
        <v>0</v>
      </c>
      <c r="E190">
        <v>0</v>
      </c>
      <c r="F190">
        <v>0</v>
      </c>
      <c r="G190">
        <v>0</v>
      </c>
      <c r="I190" s="3">
        <v>630</v>
      </c>
      <c r="J190" s="3">
        <v>4</v>
      </c>
      <c r="K190" s="3">
        <v>1</v>
      </c>
      <c r="L190">
        <v>0</v>
      </c>
      <c r="M190">
        <v>0</v>
      </c>
      <c r="N190">
        <v>0</v>
      </c>
      <c r="O190">
        <v>0</v>
      </c>
      <c r="Q190" s="3">
        <v>630</v>
      </c>
      <c r="R190" s="3">
        <v>4</v>
      </c>
      <c r="S190" s="3">
        <v>1</v>
      </c>
      <c r="T190">
        <v>86.28</v>
      </c>
      <c r="U190">
        <v>1.7440000000000001E-2</v>
      </c>
      <c r="V190">
        <v>-2.2999999999999998</v>
      </c>
      <c r="W190">
        <v>6.1</v>
      </c>
      <c r="Y190" s="3">
        <v>630</v>
      </c>
      <c r="Z190" s="3">
        <v>10</v>
      </c>
      <c r="AA190" s="3">
        <v>1</v>
      </c>
      <c r="AB190">
        <v>85.88</v>
      </c>
      <c r="AC190">
        <v>1.5310000000000001E-2</v>
      </c>
      <c r="AD190">
        <v>-13.5</v>
      </c>
      <c r="AE190">
        <v>-95.8</v>
      </c>
    </row>
    <row r="191" spans="1:31" x14ac:dyDescent="0.25">
      <c r="A191" s="3">
        <v>630</v>
      </c>
      <c r="B191" s="3">
        <v>4</v>
      </c>
      <c r="C191" s="3">
        <v>2</v>
      </c>
      <c r="D191">
        <v>0</v>
      </c>
      <c r="E191">
        <v>0</v>
      </c>
      <c r="F191">
        <v>0</v>
      </c>
      <c r="G191">
        <v>0</v>
      </c>
      <c r="I191" s="3">
        <v>630</v>
      </c>
      <c r="J191" s="3">
        <v>4</v>
      </c>
      <c r="K191" s="3">
        <v>2</v>
      </c>
      <c r="L191">
        <v>0</v>
      </c>
      <c r="M191">
        <v>0</v>
      </c>
      <c r="N191">
        <v>0</v>
      </c>
      <c r="O191">
        <v>0</v>
      </c>
      <c r="Q191" s="3">
        <v>630</v>
      </c>
      <c r="R191" s="3">
        <v>4</v>
      </c>
      <c r="S191" s="3">
        <v>2</v>
      </c>
      <c r="T191">
        <v>86.04</v>
      </c>
      <c r="U191">
        <v>1.753E-2</v>
      </c>
      <c r="V191">
        <v>-2.1</v>
      </c>
      <c r="W191">
        <v>6</v>
      </c>
      <c r="Y191" s="3">
        <v>630</v>
      </c>
      <c r="Z191" s="3">
        <v>10</v>
      </c>
      <c r="AA191" s="3">
        <v>2</v>
      </c>
      <c r="AB191">
        <v>84.86</v>
      </c>
      <c r="AC191">
        <v>1.5259999999999999E-2</v>
      </c>
      <c r="AD191">
        <v>22.4</v>
      </c>
      <c r="AE191">
        <v>20.399999999999999</v>
      </c>
    </row>
    <row r="192" spans="1:31" x14ac:dyDescent="0.25">
      <c r="A192" s="3">
        <v>630</v>
      </c>
      <c r="B192" s="3">
        <v>4</v>
      </c>
      <c r="C192" s="3">
        <v>3</v>
      </c>
      <c r="D192">
        <v>0</v>
      </c>
      <c r="E192">
        <v>0</v>
      </c>
      <c r="F192">
        <v>0</v>
      </c>
      <c r="G192">
        <v>0</v>
      </c>
      <c r="I192" s="3">
        <v>630</v>
      </c>
      <c r="J192" s="3">
        <v>4</v>
      </c>
      <c r="K192" s="3">
        <v>3</v>
      </c>
      <c r="L192">
        <v>0</v>
      </c>
      <c r="M192">
        <v>0</v>
      </c>
      <c r="N192">
        <v>0</v>
      </c>
      <c r="O192">
        <v>0</v>
      </c>
      <c r="Q192" s="3">
        <v>630</v>
      </c>
      <c r="R192" s="3">
        <v>4</v>
      </c>
      <c r="S192" s="3">
        <v>3</v>
      </c>
      <c r="T192">
        <v>85.51</v>
      </c>
      <c r="U192">
        <v>1.7350000000000001E-2</v>
      </c>
      <c r="V192">
        <v>-2</v>
      </c>
      <c r="W192">
        <v>5.8</v>
      </c>
      <c r="Y192" s="3">
        <v>630</v>
      </c>
      <c r="Z192" s="3">
        <v>11</v>
      </c>
      <c r="AA192" s="3">
        <v>1</v>
      </c>
      <c r="AB192">
        <v>81.58</v>
      </c>
      <c r="AC192">
        <v>1.418E-2</v>
      </c>
      <c r="AD192">
        <v>-253</v>
      </c>
      <c r="AE192">
        <v>-820.3</v>
      </c>
    </row>
    <row r="193" spans="1:31" x14ac:dyDescent="0.25">
      <c r="A193" s="3">
        <v>630</v>
      </c>
      <c r="B193" s="3">
        <v>5</v>
      </c>
      <c r="C193" s="3">
        <v>1</v>
      </c>
      <c r="D193">
        <v>0</v>
      </c>
      <c r="E193">
        <v>0</v>
      </c>
      <c r="F193">
        <v>0</v>
      </c>
      <c r="G193">
        <v>0</v>
      </c>
      <c r="I193" s="3">
        <v>630</v>
      </c>
      <c r="J193" s="3">
        <v>5</v>
      </c>
      <c r="K193" s="3">
        <v>1</v>
      </c>
      <c r="L193">
        <v>0</v>
      </c>
      <c r="M193">
        <v>0</v>
      </c>
      <c r="N193">
        <v>0</v>
      </c>
      <c r="O193">
        <v>0</v>
      </c>
      <c r="Q193" s="3">
        <v>630</v>
      </c>
      <c r="R193" s="3">
        <v>5</v>
      </c>
      <c r="S193" s="3">
        <v>1</v>
      </c>
      <c r="T193">
        <v>87.44</v>
      </c>
      <c r="U193">
        <v>2.0240000000000001E-2</v>
      </c>
      <c r="V193">
        <v>-0.7</v>
      </c>
      <c r="W193">
        <v>1.1000000000000001</v>
      </c>
      <c r="Y193" s="3">
        <v>630</v>
      </c>
      <c r="Z193" s="3">
        <v>12</v>
      </c>
      <c r="AA193" s="3">
        <v>1</v>
      </c>
      <c r="AB193">
        <v>94.79</v>
      </c>
      <c r="AC193">
        <v>1.8929999999999999E-2</v>
      </c>
      <c r="AD193">
        <v>300.3</v>
      </c>
      <c r="AE193">
        <v>7.6</v>
      </c>
    </row>
    <row r="194" spans="1:31" x14ac:dyDescent="0.25">
      <c r="A194" s="3">
        <v>630</v>
      </c>
      <c r="B194" s="3">
        <v>5</v>
      </c>
      <c r="C194" s="3">
        <v>2</v>
      </c>
      <c r="D194">
        <v>0</v>
      </c>
      <c r="E194">
        <v>0</v>
      </c>
      <c r="F194">
        <v>0</v>
      </c>
      <c r="G194">
        <v>0</v>
      </c>
      <c r="I194" s="3">
        <v>630</v>
      </c>
      <c r="J194" s="3">
        <v>5</v>
      </c>
      <c r="K194" s="3">
        <v>2</v>
      </c>
      <c r="L194">
        <v>0</v>
      </c>
      <c r="M194">
        <v>0</v>
      </c>
      <c r="N194">
        <v>0</v>
      </c>
      <c r="O194">
        <v>0</v>
      </c>
      <c r="Q194" s="3">
        <v>630</v>
      </c>
      <c r="R194" s="3">
        <v>5</v>
      </c>
      <c r="S194" s="3">
        <v>2</v>
      </c>
      <c r="T194">
        <v>87.55</v>
      </c>
      <c r="U194">
        <v>2.019E-2</v>
      </c>
      <c r="V194">
        <v>-0.7</v>
      </c>
      <c r="W194">
        <v>1.1000000000000001</v>
      </c>
      <c r="Y194" s="3">
        <v>630</v>
      </c>
      <c r="Z194" s="3">
        <v>12</v>
      </c>
      <c r="AA194" s="3">
        <v>2</v>
      </c>
      <c r="AB194">
        <v>94.48</v>
      </c>
      <c r="AC194">
        <v>1.9879999999999998E-2</v>
      </c>
      <c r="AD194">
        <v>-2.5</v>
      </c>
      <c r="AE194">
        <v>5.0999999999999996</v>
      </c>
    </row>
    <row r="195" spans="1:31" x14ac:dyDescent="0.25">
      <c r="A195" s="3">
        <v>630</v>
      </c>
      <c r="B195" s="3">
        <v>5</v>
      </c>
      <c r="C195" s="3">
        <v>3</v>
      </c>
      <c r="D195">
        <v>1.148369315572475E-2</v>
      </c>
      <c r="E195">
        <v>0</v>
      </c>
      <c r="F195">
        <v>0</v>
      </c>
      <c r="G195">
        <v>0</v>
      </c>
      <c r="I195" s="3">
        <v>630</v>
      </c>
      <c r="J195" s="3">
        <v>5</v>
      </c>
      <c r="K195" s="3">
        <v>3</v>
      </c>
      <c r="L195">
        <v>1.0000000000005119E-2</v>
      </c>
      <c r="M195">
        <v>0</v>
      </c>
      <c r="N195">
        <v>0</v>
      </c>
      <c r="O195">
        <v>0</v>
      </c>
      <c r="Q195" s="3">
        <v>630</v>
      </c>
      <c r="R195" s="3">
        <v>5</v>
      </c>
      <c r="S195" s="3">
        <v>3</v>
      </c>
      <c r="T195">
        <v>87.09</v>
      </c>
      <c r="U195">
        <v>1.9359999999999999E-2</v>
      </c>
      <c r="V195">
        <v>-0.8</v>
      </c>
      <c r="W195">
        <v>1.2</v>
      </c>
      <c r="Y195" s="3">
        <v>630</v>
      </c>
      <c r="Z195" s="3">
        <v>12</v>
      </c>
      <c r="AA195" s="3">
        <v>3</v>
      </c>
      <c r="AB195">
        <v>92.45</v>
      </c>
      <c r="AC195">
        <v>2.018E-2</v>
      </c>
      <c r="AD195">
        <v>-1.8</v>
      </c>
      <c r="AE195">
        <v>4.4000000000000004</v>
      </c>
    </row>
    <row r="196" spans="1:31" x14ac:dyDescent="0.25">
      <c r="A196" s="3">
        <v>630</v>
      </c>
      <c r="B196" s="3">
        <v>6</v>
      </c>
      <c r="C196" s="3">
        <v>1</v>
      </c>
      <c r="D196">
        <v>0</v>
      </c>
      <c r="E196">
        <v>0</v>
      </c>
      <c r="F196">
        <v>0</v>
      </c>
      <c r="G196">
        <v>0</v>
      </c>
      <c r="I196" s="3">
        <v>630</v>
      </c>
      <c r="J196" s="3">
        <v>6</v>
      </c>
      <c r="K196" s="3">
        <v>1</v>
      </c>
      <c r="L196">
        <v>0</v>
      </c>
      <c r="M196">
        <v>0</v>
      </c>
      <c r="N196">
        <v>0</v>
      </c>
      <c r="O196">
        <v>0</v>
      </c>
      <c r="Q196" s="3">
        <v>630</v>
      </c>
      <c r="R196" s="3">
        <v>6</v>
      </c>
      <c r="S196" s="3">
        <v>1</v>
      </c>
      <c r="T196">
        <v>84.45</v>
      </c>
      <c r="U196">
        <v>1.669E-2</v>
      </c>
      <c r="V196">
        <v>-1.9</v>
      </c>
      <c r="W196">
        <v>5.5</v>
      </c>
      <c r="Y196" s="3">
        <v>630</v>
      </c>
      <c r="Z196" s="3">
        <v>13</v>
      </c>
      <c r="AA196" s="3">
        <v>1</v>
      </c>
      <c r="AB196">
        <v>90.64</v>
      </c>
      <c r="AC196">
        <v>2.0230000000000001E-2</v>
      </c>
      <c r="AD196">
        <v>-2.6</v>
      </c>
      <c r="AE196">
        <v>6.4</v>
      </c>
    </row>
    <row r="197" spans="1:31" x14ac:dyDescent="0.25">
      <c r="A197" s="3">
        <v>630</v>
      </c>
      <c r="B197" s="3">
        <v>6</v>
      </c>
      <c r="C197" s="3">
        <v>2</v>
      </c>
      <c r="D197">
        <v>0</v>
      </c>
      <c r="E197">
        <v>0</v>
      </c>
      <c r="F197">
        <v>0</v>
      </c>
      <c r="G197">
        <v>0</v>
      </c>
      <c r="I197" s="3">
        <v>630</v>
      </c>
      <c r="J197" s="3">
        <v>6</v>
      </c>
      <c r="K197" s="3">
        <v>2</v>
      </c>
      <c r="L197">
        <v>0</v>
      </c>
      <c r="M197">
        <v>0</v>
      </c>
      <c r="N197">
        <v>0</v>
      </c>
      <c r="O197">
        <v>0</v>
      </c>
      <c r="Q197" s="3">
        <v>630</v>
      </c>
      <c r="R197" s="3">
        <v>6</v>
      </c>
      <c r="S197" s="3">
        <v>2</v>
      </c>
      <c r="T197">
        <v>83.2</v>
      </c>
      <c r="U197">
        <v>1.5789999999999998E-2</v>
      </c>
      <c r="V197">
        <v>-2</v>
      </c>
      <c r="W197">
        <v>5.6</v>
      </c>
      <c r="Y197" s="3">
        <v>630</v>
      </c>
      <c r="Z197" s="3">
        <v>13</v>
      </c>
      <c r="AA197" s="3">
        <v>2</v>
      </c>
      <c r="AB197">
        <v>89.93</v>
      </c>
      <c r="AC197">
        <v>2.0209999999999999E-2</v>
      </c>
      <c r="AD197">
        <v>-2.2999999999999998</v>
      </c>
      <c r="AE197">
        <v>6.1</v>
      </c>
    </row>
    <row r="198" spans="1:31" x14ac:dyDescent="0.25">
      <c r="A198" s="3">
        <v>630</v>
      </c>
      <c r="B198" s="3">
        <v>6</v>
      </c>
      <c r="C198" s="3">
        <v>3</v>
      </c>
      <c r="D198">
        <v>0</v>
      </c>
      <c r="E198">
        <v>0</v>
      </c>
      <c r="F198">
        <v>0</v>
      </c>
      <c r="G198">
        <v>0</v>
      </c>
      <c r="I198" s="3">
        <v>630</v>
      </c>
      <c r="J198" s="3">
        <v>6</v>
      </c>
      <c r="K198" s="3">
        <v>3</v>
      </c>
      <c r="L198">
        <v>0</v>
      </c>
      <c r="M198">
        <v>0</v>
      </c>
      <c r="N198">
        <v>0</v>
      </c>
      <c r="O198">
        <v>0</v>
      </c>
      <c r="Q198" s="3">
        <v>630</v>
      </c>
      <c r="R198" s="3">
        <v>6</v>
      </c>
      <c r="S198" s="3">
        <v>3</v>
      </c>
      <c r="T198">
        <v>81.84</v>
      </c>
      <c r="U198">
        <v>1.473E-2</v>
      </c>
      <c r="V198">
        <v>-2.2000000000000002</v>
      </c>
      <c r="W198">
        <v>5.8</v>
      </c>
      <c r="Y198" s="3">
        <v>630</v>
      </c>
      <c r="Z198" s="3">
        <v>14</v>
      </c>
      <c r="AA198" s="3">
        <v>1</v>
      </c>
      <c r="AB198">
        <v>89.76</v>
      </c>
      <c r="AC198">
        <v>2.019E-2</v>
      </c>
      <c r="AD198">
        <v>-1.6</v>
      </c>
      <c r="AE198">
        <v>3.9</v>
      </c>
    </row>
    <row r="199" spans="1:31" x14ac:dyDescent="0.25">
      <c r="A199" s="3">
        <v>630</v>
      </c>
      <c r="B199" s="3">
        <v>7</v>
      </c>
      <c r="C199" s="3">
        <v>1</v>
      </c>
      <c r="D199">
        <v>0</v>
      </c>
      <c r="E199">
        <v>0</v>
      </c>
      <c r="F199">
        <v>0</v>
      </c>
      <c r="G199">
        <v>0</v>
      </c>
      <c r="I199" s="3">
        <v>630</v>
      </c>
      <c r="J199" s="3">
        <v>7</v>
      </c>
      <c r="K199" s="3">
        <v>1</v>
      </c>
      <c r="L199">
        <v>0</v>
      </c>
      <c r="M199">
        <v>0</v>
      </c>
      <c r="N199">
        <v>0</v>
      </c>
      <c r="O199">
        <v>0</v>
      </c>
      <c r="Q199" s="3">
        <v>630</v>
      </c>
      <c r="R199" s="3">
        <v>7</v>
      </c>
      <c r="S199" s="3">
        <v>1</v>
      </c>
      <c r="T199">
        <v>80.53</v>
      </c>
      <c r="U199">
        <v>1.3939999999999999E-2</v>
      </c>
      <c r="V199">
        <v>-46.5</v>
      </c>
      <c r="W199">
        <v>-138.80000000000001</v>
      </c>
      <c r="Y199" s="3">
        <v>630</v>
      </c>
      <c r="Z199" s="3">
        <v>14</v>
      </c>
      <c r="AA199" s="3">
        <v>2</v>
      </c>
      <c r="AB199">
        <v>89.72</v>
      </c>
      <c r="AC199">
        <v>2.018E-2</v>
      </c>
      <c r="AD199">
        <v>-1.6</v>
      </c>
      <c r="AE199">
        <v>3.9</v>
      </c>
    </row>
    <row r="200" spans="1:31" x14ac:dyDescent="0.25">
      <c r="A200" s="3">
        <v>630</v>
      </c>
      <c r="B200" s="3">
        <v>8</v>
      </c>
      <c r="C200" s="3">
        <v>1</v>
      </c>
      <c r="D200">
        <v>0</v>
      </c>
      <c r="E200">
        <v>0</v>
      </c>
      <c r="F200">
        <v>0</v>
      </c>
      <c r="G200">
        <v>0</v>
      </c>
      <c r="I200" s="3">
        <v>630</v>
      </c>
      <c r="J200" s="3">
        <v>8</v>
      </c>
      <c r="K200" s="3">
        <v>1</v>
      </c>
      <c r="L200">
        <v>0</v>
      </c>
      <c r="M200">
        <v>0</v>
      </c>
      <c r="N200">
        <v>0</v>
      </c>
      <c r="O200">
        <v>0</v>
      </c>
      <c r="Q200" s="3">
        <v>630</v>
      </c>
      <c r="R200" s="3">
        <v>8</v>
      </c>
      <c r="S200" s="3">
        <v>1</v>
      </c>
      <c r="T200">
        <v>86.53</v>
      </c>
      <c r="U200">
        <v>1.5890000000000001E-2</v>
      </c>
      <c r="V200">
        <v>19</v>
      </c>
      <c r="W200">
        <v>14.2</v>
      </c>
      <c r="Y200" s="3">
        <v>630</v>
      </c>
      <c r="Z200" s="3">
        <v>103</v>
      </c>
      <c r="AA200" s="3">
        <v>1</v>
      </c>
      <c r="AB200">
        <v>87.63</v>
      </c>
      <c r="AC200">
        <v>2.0209999999999999E-2</v>
      </c>
    </row>
    <row r="201" spans="1:31" x14ac:dyDescent="0.25">
      <c r="A201" s="3">
        <v>630</v>
      </c>
      <c r="B201" s="3">
        <v>8</v>
      </c>
      <c r="C201" s="3">
        <v>2</v>
      </c>
      <c r="D201">
        <v>0</v>
      </c>
      <c r="E201">
        <v>0</v>
      </c>
      <c r="F201">
        <v>0</v>
      </c>
      <c r="G201">
        <v>0</v>
      </c>
      <c r="I201" s="3">
        <v>630</v>
      </c>
      <c r="J201" s="3">
        <v>8</v>
      </c>
      <c r="K201" s="3">
        <v>2</v>
      </c>
      <c r="L201">
        <v>0</v>
      </c>
      <c r="M201">
        <v>0</v>
      </c>
      <c r="N201">
        <v>0</v>
      </c>
      <c r="O201">
        <v>0</v>
      </c>
      <c r="Q201" s="3">
        <v>630</v>
      </c>
      <c r="R201" s="3">
        <v>8</v>
      </c>
      <c r="S201" s="3">
        <v>2</v>
      </c>
      <c r="T201">
        <v>86.7</v>
      </c>
      <c r="U201">
        <v>1.5910000000000001E-2</v>
      </c>
      <c r="V201">
        <v>-16.399999999999999</v>
      </c>
      <c r="W201">
        <v>-116</v>
      </c>
      <c r="Y201" s="3">
        <v>630</v>
      </c>
      <c r="Z201" s="3">
        <v>104</v>
      </c>
      <c r="AA201" s="3">
        <v>1</v>
      </c>
      <c r="AB201">
        <v>89.28</v>
      </c>
      <c r="AC201">
        <v>1.992E-2</v>
      </c>
    </row>
    <row r="202" spans="1:31" x14ac:dyDescent="0.25">
      <c r="A202" s="3">
        <v>630</v>
      </c>
      <c r="B202" s="3">
        <v>9</v>
      </c>
      <c r="C202" s="3">
        <v>1</v>
      </c>
      <c r="D202">
        <v>0</v>
      </c>
      <c r="E202">
        <v>0</v>
      </c>
      <c r="F202">
        <v>0</v>
      </c>
      <c r="G202">
        <v>0</v>
      </c>
      <c r="I202" s="3">
        <v>630</v>
      </c>
      <c r="J202" s="3">
        <v>9</v>
      </c>
      <c r="K202" s="3">
        <v>1</v>
      </c>
      <c r="L202">
        <v>0</v>
      </c>
      <c r="M202">
        <v>0</v>
      </c>
      <c r="N202">
        <v>0</v>
      </c>
      <c r="O202">
        <v>0</v>
      </c>
      <c r="Q202" s="3">
        <v>630</v>
      </c>
      <c r="R202" s="3">
        <v>9</v>
      </c>
      <c r="S202" s="3">
        <v>1</v>
      </c>
      <c r="T202">
        <v>79.760000000000005</v>
      </c>
      <c r="U202">
        <v>1.3860000000000001E-2</v>
      </c>
      <c r="V202">
        <v>74.900000000000006</v>
      </c>
      <c r="W202">
        <v>-1.8</v>
      </c>
      <c r="Y202" s="3">
        <v>630</v>
      </c>
      <c r="Z202" s="3">
        <v>110</v>
      </c>
      <c r="AA202" s="3">
        <v>1</v>
      </c>
      <c r="AB202">
        <v>88.17</v>
      </c>
      <c r="AC202">
        <v>1.7919999999999998E-2</v>
      </c>
    </row>
    <row r="203" spans="1:31" x14ac:dyDescent="0.25">
      <c r="A203" s="3">
        <v>630</v>
      </c>
      <c r="B203" s="3">
        <v>9</v>
      </c>
      <c r="C203" s="3">
        <v>2</v>
      </c>
      <c r="D203">
        <v>0</v>
      </c>
      <c r="E203">
        <v>0</v>
      </c>
      <c r="F203">
        <v>0</v>
      </c>
      <c r="G203">
        <v>0</v>
      </c>
      <c r="I203" s="3">
        <v>630</v>
      </c>
      <c r="J203" s="3">
        <v>9</v>
      </c>
      <c r="K203" s="3">
        <v>2</v>
      </c>
      <c r="L203">
        <v>0</v>
      </c>
      <c r="M203">
        <v>0</v>
      </c>
      <c r="N203">
        <v>0</v>
      </c>
      <c r="O203">
        <v>0</v>
      </c>
      <c r="Q203" s="3">
        <v>630</v>
      </c>
      <c r="R203" s="3">
        <v>9</v>
      </c>
      <c r="S203" s="3">
        <v>2</v>
      </c>
      <c r="T203">
        <v>79.239999999999995</v>
      </c>
      <c r="U203">
        <v>1.367E-2</v>
      </c>
      <c r="V203">
        <v>196.4</v>
      </c>
      <c r="W203">
        <v>6.3</v>
      </c>
      <c r="Y203" s="3">
        <v>630</v>
      </c>
      <c r="Z203" s="3">
        <v>114</v>
      </c>
      <c r="AA203" s="3">
        <v>1</v>
      </c>
      <c r="AB203">
        <v>90.77</v>
      </c>
      <c r="AC203">
        <v>2.0230000000000001E-2</v>
      </c>
    </row>
    <row r="204" spans="1:31" x14ac:dyDescent="0.25">
      <c r="A204" s="3">
        <v>630</v>
      </c>
      <c r="B204" s="3">
        <v>9</v>
      </c>
      <c r="C204" s="3">
        <v>3</v>
      </c>
      <c r="D204">
        <v>0</v>
      </c>
      <c r="E204">
        <v>0</v>
      </c>
      <c r="F204">
        <v>0</v>
      </c>
      <c r="G204">
        <v>0</v>
      </c>
      <c r="I204" s="3">
        <v>630</v>
      </c>
      <c r="J204" s="3">
        <v>9</v>
      </c>
      <c r="K204" s="3">
        <v>3</v>
      </c>
      <c r="L204">
        <v>0</v>
      </c>
      <c r="M204">
        <v>0</v>
      </c>
      <c r="N204">
        <v>0</v>
      </c>
      <c r="O204">
        <v>0</v>
      </c>
      <c r="Q204" s="3">
        <v>630</v>
      </c>
      <c r="R204" s="3">
        <v>9</v>
      </c>
      <c r="S204" s="3">
        <v>3</v>
      </c>
      <c r="T204">
        <v>79.37</v>
      </c>
      <c r="U204">
        <v>1.359E-2</v>
      </c>
      <c r="V204">
        <v>190.7</v>
      </c>
      <c r="W204">
        <v>1.8</v>
      </c>
      <c r="Y204" s="3">
        <v>720</v>
      </c>
      <c r="Z204" s="3">
        <v>1</v>
      </c>
      <c r="AA204" s="3">
        <v>1</v>
      </c>
      <c r="AB204">
        <v>89.61</v>
      </c>
      <c r="AC204">
        <v>2.018E-2</v>
      </c>
      <c r="AD204">
        <v>-0.2</v>
      </c>
      <c r="AE204">
        <v>0.4</v>
      </c>
    </row>
    <row r="205" spans="1:31" x14ac:dyDescent="0.25">
      <c r="A205" s="3">
        <v>630</v>
      </c>
      <c r="B205" s="3">
        <v>9</v>
      </c>
      <c r="C205" s="3">
        <v>4</v>
      </c>
      <c r="D205">
        <v>0</v>
      </c>
      <c r="E205">
        <v>0</v>
      </c>
      <c r="F205">
        <v>0</v>
      </c>
      <c r="G205">
        <v>0</v>
      </c>
      <c r="I205" s="3">
        <v>630</v>
      </c>
      <c r="J205" s="3">
        <v>9</v>
      </c>
      <c r="K205" s="3">
        <v>4</v>
      </c>
      <c r="L205">
        <v>0</v>
      </c>
      <c r="M205">
        <v>0</v>
      </c>
      <c r="N205">
        <v>0</v>
      </c>
      <c r="O205">
        <v>0</v>
      </c>
      <c r="Q205" s="3">
        <v>630</v>
      </c>
      <c r="R205" s="3">
        <v>9</v>
      </c>
      <c r="S205" s="3">
        <v>4</v>
      </c>
      <c r="T205">
        <v>80.47</v>
      </c>
      <c r="U205">
        <v>1.389E-2</v>
      </c>
      <c r="V205">
        <v>164.7</v>
      </c>
      <c r="W205">
        <v>-28.4</v>
      </c>
      <c r="Y205" s="3">
        <v>720</v>
      </c>
      <c r="Z205" s="3">
        <v>2</v>
      </c>
      <c r="AA205" s="3">
        <v>1</v>
      </c>
      <c r="AB205">
        <v>89.22</v>
      </c>
      <c r="AC205">
        <v>2.019E-2</v>
      </c>
      <c r="AD205">
        <v>-0.2</v>
      </c>
      <c r="AE205">
        <v>0.4</v>
      </c>
    </row>
    <row r="206" spans="1:31" x14ac:dyDescent="0.25">
      <c r="A206" s="3">
        <v>630</v>
      </c>
      <c r="B206" s="3">
        <v>10</v>
      </c>
      <c r="C206" s="3">
        <v>1</v>
      </c>
      <c r="D206">
        <v>0</v>
      </c>
      <c r="E206">
        <v>0</v>
      </c>
      <c r="F206">
        <v>0</v>
      </c>
      <c r="G206">
        <v>0</v>
      </c>
      <c r="I206" s="3">
        <v>630</v>
      </c>
      <c r="J206" s="3">
        <v>10</v>
      </c>
      <c r="K206" s="3">
        <v>1</v>
      </c>
      <c r="L206">
        <v>0</v>
      </c>
      <c r="M206">
        <v>0</v>
      </c>
      <c r="N206">
        <v>0</v>
      </c>
      <c r="O206">
        <v>0</v>
      </c>
      <c r="Q206" s="3">
        <v>630</v>
      </c>
      <c r="R206" s="3">
        <v>10</v>
      </c>
      <c r="S206" s="3">
        <v>1</v>
      </c>
      <c r="T206">
        <v>85.88</v>
      </c>
      <c r="U206">
        <v>1.5310000000000001E-2</v>
      </c>
      <c r="V206">
        <v>-13.5</v>
      </c>
      <c r="W206">
        <v>-95.8</v>
      </c>
      <c r="Y206" s="3">
        <v>720</v>
      </c>
      <c r="Z206" s="3">
        <v>3</v>
      </c>
      <c r="AA206" s="3">
        <v>1</v>
      </c>
      <c r="AB206">
        <v>88.65</v>
      </c>
      <c r="AC206">
        <v>2.0209999999999999E-2</v>
      </c>
      <c r="AD206">
        <v>-0.4</v>
      </c>
      <c r="AE206">
        <v>0.8</v>
      </c>
    </row>
    <row r="207" spans="1:31" x14ac:dyDescent="0.25">
      <c r="A207" s="3">
        <v>630</v>
      </c>
      <c r="B207" s="3">
        <v>10</v>
      </c>
      <c r="C207" s="3">
        <v>2</v>
      </c>
      <c r="D207">
        <v>0</v>
      </c>
      <c r="E207">
        <v>0</v>
      </c>
      <c r="F207">
        <v>0</v>
      </c>
      <c r="G207">
        <v>0</v>
      </c>
      <c r="I207" s="3">
        <v>630</v>
      </c>
      <c r="J207" s="3">
        <v>10</v>
      </c>
      <c r="K207" s="3">
        <v>2</v>
      </c>
      <c r="L207">
        <v>0</v>
      </c>
      <c r="M207">
        <v>0</v>
      </c>
      <c r="N207">
        <v>0</v>
      </c>
      <c r="O207">
        <v>0</v>
      </c>
      <c r="Q207" s="3">
        <v>630</v>
      </c>
      <c r="R207" s="3">
        <v>10</v>
      </c>
      <c r="S207" s="3">
        <v>2</v>
      </c>
      <c r="T207">
        <v>84.86</v>
      </c>
      <c r="U207">
        <v>1.5259999999999999E-2</v>
      </c>
      <c r="V207">
        <v>22.4</v>
      </c>
      <c r="W207">
        <v>20.399999999999999</v>
      </c>
      <c r="Y207" s="3">
        <v>720</v>
      </c>
      <c r="Z207" s="3">
        <v>3</v>
      </c>
      <c r="AA207" s="3">
        <v>2</v>
      </c>
      <c r="AB207">
        <v>88.35</v>
      </c>
      <c r="AC207">
        <v>2.0230000000000001E-2</v>
      </c>
      <c r="AD207">
        <v>-0.3</v>
      </c>
      <c r="AE207">
        <v>0.7</v>
      </c>
    </row>
    <row r="208" spans="1:31" x14ac:dyDescent="0.25">
      <c r="A208" s="3">
        <v>630</v>
      </c>
      <c r="B208" s="3">
        <v>11</v>
      </c>
      <c r="C208" s="3">
        <v>1</v>
      </c>
      <c r="D208">
        <v>0</v>
      </c>
      <c r="E208">
        <v>0</v>
      </c>
      <c r="F208">
        <v>0</v>
      </c>
      <c r="G208">
        <v>0</v>
      </c>
      <c r="I208" s="3">
        <v>630</v>
      </c>
      <c r="J208" s="3">
        <v>11</v>
      </c>
      <c r="K208" s="3">
        <v>1</v>
      </c>
      <c r="L208">
        <v>0</v>
      </c>
      <c r="M208">
        <v>0</v>
      </c>
      <c r="N208">
        <v>0</v>
      </c>
      <c r="O208">
        <v>0</v>
      </c>
      <c r="Q208" s="3">
        <v>630</v>
      </c>
      <c r="R208" s="3">
        <v>11</v>
      </c>
      <c r="S208" s="3">
        <v>1</v>
      </c>
      <c r="T208">
        <v>81.58</v>
      </c>
      <c r="U208">
        <v>1.418E-2</v>
      </c>
      <c r="V208">
        <v>-253</v>
      </c>
      <c r="W208">
        <v>-820.3</v>
      </c>
      <c r="Y208" s="3">
        <v>720</v>
      </c>
      <c r="Z208" s="3">
        <v>4</v>
      </c>
      <c r="AA208" s="3">
        <v>1</v>
      </c>
      <c r="AB208">
        <v>83.95</v>
      </c>
      <c r="AC208">
        <v>1.6590000000000001E-2</v>
      </c>
      <c r="AD208">
        <v>-2.2999999999999998</v>
      </c>
      <c r="AE208">
        <v>6.1</v>
      </c>
    </row>
    <row r="209" spans="1:31" x14ac:dyDescent="0.25">
      <c r="A209" s="3">
        <v>630</v>
      </c>
      <c r="B209" s="3">
        <v>12</v>
      </c>
      <c r="C209" s="3">
        <v>1</v>
      </c>
      <c r="D209">
        <v>0</v>
      </c>
      <c r="E209">
        <v>0</v>
      </c>
      <c r="F209">
        <v>0</v>
      </c>
      <c r="G209">
        <v>0</v>
      </c>
      <c r="I209" s="3">
        <v>630</v>
      </c>
      <c r="J209" s="3">
        <v>12</v>
      </c>
      <c r="K209" s="3">
        <v>1</v>
      </c>
      <c r="L209">
        <v>0</v>
      </c>
      <c r="M209">
        <v>0</v>
      </c>
      <c r="N209">
        <v>0</v>
      </c>
      <c r="O209">
        <v>0</v>
      </c>
      <c r="Q209" s="3">
        <v>630</v>
      </c>
      <c r="R209" s="3">
        <v>12</v>
      </c>
      <c r="S209" s="3">
        <v>1</v>
      </c>
      <c r="T209">
        <v>94.79</v>
      </c>
      <c r="U209">
        <v>1.8929999999999999E-2</v>
      </c>
      <c r="V209">
        <v>300.3</v>
      </c>
      <c r="W209">
        <v>7.6</v>
      </c>
      <c r="Y209" s="3">
        <v>720</v>
      </c>
      <c r="Z209" s="3">
        <v>4</v>
      </c>
      <c r="AA209" s="3">
        <v>2</v>
      </c>
      <c r="AB209">
        <v>83.97</v>
      </c>
      <c r="AC209">
        <v>1.653E-2</v>
      </c>
      <c r="AD209">
        <v>-2.1</v>
      </c>
      <c r="AE209">
        <v>6</v>
      </c>
    </row>
    <row r="210" spans="1:31" x14ac:dyDescent="0.25">
      <c r="A210" s="3">
        <v>630</v>
      </c>
      <c r="B210" s="3">
        <v>12</v>
      </c>
      <c r="C210" s="3">
        <v>2</v>
      </c>
      <c r="D210">
        <v>0</v>
      </c>
      <c r="E210">
        <v>0</v>
      </c>
      <c r="F210">
        <v>0</v>
      </c>
      <c r="G210">
        <v>0</v>
      </c>
      <c r="I210" s="3">
        <v>630</v>
      </c>
      <c r="J210" s="3">
        <v>12</v>
      </c>
      <c r="K210" s="3">
        <v>2</v>
      </c>
      <c r="L210">
        <v>0</v>
      </c>
      <c r="M210">
        <v>0</v>
      </c>
      <c r="N210">
        <v>0</v>
      </c>
      <c r="O210">
        <v>0</v>
      </c>
      <c r="Q210" s="3">
        <v>630</v>
      </c>
      <c r="R210" s="3">
        <v>12</v>
      </c>
      <c r="S210" s="3">
        <v>2</v>
      </c>
      <c r="T210">
        <v>94.48</v>
      </c>
      <c r="U210">
        <v>1.9879999999999998E-2</v>
      </c>
      <c r="V210">
        <v>-2.5</v>
      </c>
      <c r="W210">
        <v>5.0999999999999996</v>
      </c>
      <c r="Y210" s="3">
        <v>720</v>
      </c>
      <c r="Z210" s="3">
        <v>4</v>
      </c>
      <c r="AA210" s="3">
        <v>3</v>
      </c>
      <c r="AB210">
        <v>83.98</v>
      </c>
      <c r="AC210">
        <v>1.643E-2</v>
      </c>
      <c r="AD210">
        <v>-2</v>
      </c>
      <c r="AE210">
        <v>5.8</v>
      </c>
    </row>
    <row r="211" spans="1:31" x14ac:dyDescent="0.25">
      <c r="A211" s="3">
        <v>630</v>
      </c>
      <c r="B211" s="3">
        <v>12</v>
      </c>
      <c r="C211" s="3">
        <v>3</v>
      </c>
      <c r="D211">
        <v>0</v>
      </c>
      <c r="E211">
        <v>0</v>
      </c>
      <c r="F211">
        <v>0</v>
      </c>
      <c r="G211">
        <v>0</v>
      </c>
      <c r="I211" s="3">
        <v>630</v>
      </c>
      <c r="J211" s="3">
        <v>12</v>
      </c>
      <c r="K211" s="3">
        <v>3</v>
      </c>
      <c r="L211">
        <v>0</v>
      </c>
      <c r="M211">
        <v>0</v>
      </c>
      <c r="N211">
        <v>0</v>
      </c>
      <c r="O211">
        <v>0</v>
      </c>
      <c r="Q211" s="3">
        <v>630</v>
      </c>
      <c r="R211" s="3">
        <v>12</v>
      </c>
      <c r="S211" s="3">
        <v>3</v>
      </c>
      <c r="T211">
        <v>92.45</v>
      </c>
      <c r="U211">
        <v>2.018E-2</v>
      </c>
      <c r="V211">
        <v>-1.8</v>
      </c>
      <c r="W211">
        <v>4.4000000000000004</v>
      </c>
      <c r="Y211" s="3">
        <v>720</v>
      </c>
      <c r="Z211" s="3">
        <v>5</v>
      </c>
      <c r="AA211" s="3">
        <v>1</v>
      </c>
      <c r="AB211">
        <v>88.11</v>
      </c>
      <c r="AC211">
        <v>2.0240000000000001E-2</v>
      </c>
      <c r="AD211">
        <v>-0.7</v>
      </c>
      <c r="AE211">
        <v>1.1000000000000001</v>
      </c>
    </row>
    <row r="212" spans="1:31" x14ac:dyDescent="0.25">
      <c r="A212" s="3">
        <v>630</v>
      </c>
      <c r="B212" s="3">
        <v>13</v>
      </c>
      <c r="C212" s="3">
        <v>1</v>
      </c>
      <c r="D212">
        <v>0</v>
      </c>
      <c r="E212">
        <v>0</v>
      </c>
      <c r="F212">
        <v>0</v>
      </c>
      <c r="G212">
        <v>0</v>
      </c>
      <c r="I212" s="3">
        <v>630</v>
      </c>
      <c r="J212" s="3">
        <v>13</v>
      </c>
      <c r="K212" s="3">
        <v>1</v>
      </c>
      <c r="L212">
        <v>0</v>
      </c>
      <c r="M212">
        <v>0</v>
      </c>
      <c r="N212">
        <v>0</v>
      </c>
      <c r="O212">
        <v>0</v>
      </c>
      <c r="Q212" s="3">
        <v>630</v>
      </c>
      <c r="R212" s="3">
        <v>13</v>
      </c>
      <c r="S212" s="3">
        <v>1</v>
      </c>
      <c r="T212">
        <v>90.64</v>
      </c>
      <c r="U212">
        <v>2.0230000000000001E-2</v>
      </c>
      <c r="V212">
        <v>-2.6</v>
      </c>
      <c r="W212">
        <v>6.4</v>
      </c>
      <c r="Y212" s="3">
        <v>720</v>
      </c>
      <c r="Z212" s="3">
        <v>5</v>
      </c>
      <c r="AA212" s="3">
        <v>2</v>
      </c>
      <c r="AB212">
        <v>88.12</v>
      </c>
      <c r="AC212">
        <v>2.0150000000000001E-2</v>
      </c>
      <c r="AD212">
        <v>-0.7</v>
      </c>
      <c r="AE212">
        <v>1.1000000000000001</v>
      </c>
    </row>
    <row r="213" spans="1:31" x14ac:dyDescent="0.25">
      <c r="A213" s="3">
        <v>630</v>
      </c>
      <c r="B213" s="3">
        <v>13</v>
      </c>
      <c r="C213" s="3">
        <v>2</v>
      </c>
      <c r="D213">
        <v>0</v>
      </c>
      <c r="E213">
        <v>0</v>
      </c>
      <c r="F213">
        <v>0</v>
      </c>
      <c r="G213">
        <v>0</v>
      </c>
      <c r="I213" s="3">
        <v>630</v>
      </c>
      <c r="J213" s="3">
        <v>13</v>
      </c>
      <c r="K213" s="3">
        <v>2</v>
      </c>
      <c r="L213">
        <v>0</v>
      </c>
      <c r="M213">
        <v>0</v>
      </c>
      <c r="N213">
        <v>0</v>
      </c>
      <c r="O213">
        <v>0</v>
      </c>
      <c r="Q213" s="3">
        <v>630</v>
      </c>
      <c r="R213" s="3">
        <v>13</v>
      </c>
      <c r="S213" s="3">
        <v>2</v>
      </c>
      <c r="T213">
        <v>89.93</v>
      </c>
      <c r="U213">
        <v>2.0209999999999999E-2</v>
      </c>
      <c r="V213">
        <v>-2.2999999999999998</v>
      </c>
      <c r="W213">
        <v>6.1</v>
      </c>
      <c r="Y213" s="3">
        <v>720</v>
      </c>
      <c r="Z213" s="3">
        <v>5</v>
      </c>
      <c r="AA213" s="3">
        <v>3</v>
      </c>
      <c r="AB213">
        <v>87.56</v>
      </c>
      <c r="AC213">
        <v>1.9460000000000002E-2</v>
      </c>
      <c r="AD213">
        <v>-0.8</v>
      </c>
      <c r="AE213">
        <v>1.2</v>
      </c>
    </row>
    <row r="214" spans="1:31" x14ac:dyDescent="0.25">
      <c r="A214" s="3">
        <v>630</v>
      </c>
      <c r="B214" s="3">
        <v>14</v>
      </c>
      <c r="C214" s="3">
        <v>1</v>
      </c>
      <c r="D214">
        <v>0</v>
      </c>
      <c r="E214">
        <v>0</v>
      </c>
      <c r="F214">
        <v>0</v>
      </c>
      <c r="G214">
        <v>0</v>
      </c>
      <c r="I214" s="3">
        <v>630</v>
      </c>
      <c r="J214" s="3">
        <v>14</v>
      </c>
      <c r="K214" s="3">
        <v>1</v>
      </c>
      <c r="L214">
        <v>0</v>
      </c>
      <c r="M214">
        <v>0</v>
      </c>
      <c r="N214">
        <v>0</v>
      </c>
      <c r="O214">
        <v>0</v>
      </c>
      <c r="Q214" s="3">
        <v>630</v>
      </c>
      <c r="R214" s="3">
        <v>14</v>
      </c>
      <c r="S214" s="3">
        <v>1</v>
      </c>
      <c r="T214">
        <v>89.76</v>
      </c>
      <c r="U214">
        <v>2.019E-2</v>
      </c>
      <c r="V214">
        <v>-1.6</v>
      </c>
      <c r="W214">
        <v>3.9</v>
      </c>
      <c r="Y214" s="3">
        <v>720</v>
      </c>
      <c r="Z214" s="3">
        <v>6</v>
      </c>
      <c r="AA214" s="3">
        <v>1</v>
      </c>
      <c r="AB214">
        <v>83.09</v>
      </c>
      <c r="AC214">
        <v>1.559E-2</v>
      </c>
      <c r="AD214">
        <v>-1.9</v>
      </c>
      <c r="AE214">
        <v>5.5</v>
      </c>
    </row>
    <row r="215" spans="1:31" x14ac:dyDescent="0.25">
      <c r="A215" s="3">
        <v>630</v>
      </c>
      <c r="B215" s="3">
        <v>14</v>
      </c>
      <c r="C215" s="3">
        <v>2</v>
      </c>
      <c r="D215">
        <v>0</v>
      </c>
      <c r="E215">
        <v>0</v>
      </c>
      <c r="F215">
        <v>0</v>
      </c>
      <c r="G215">
        <v>0</v>
      </c>
      <c r="I215" s="3">
        <v>630</v>
      </c>
      <c r="J215" s="3">
        <v>14</v>
      </c>
      <c r="K215" s="3">
        <v>2</v>
      </c>
      <c r="L215">
        <v>0</v>
      </c>
      <c r="M215">
        <v>0</v>
      </c>
      <c r="N215">
        <v>0</v>
      </c>
      <c r="O215">
        <v>0</v>
      </c>
      <c r="Q215" s="3">
        <v>630</v>
      </c>
      <c r="R215" s="3">
        <v>14</v>
      </c>
      <c r="S215" s="3">
        <v>2</v>
      </c>
      <c r="T215">
        <v>89.72</v>
      </c>
      <c r="U215">
        <v>2.018E-2</v>
      </c>
      <c r="V215">
        <v>-1.6</v>
      </c>
      <c r="W215">
        <v>3.9</v>
      </c>
      <c r="Y215" s="3">
        <v>720</v>
      </c>
      <c r="Z215" s="3">
        <v>6</v>
      </c>
      <c r="AA215" s="3">
        <v>2</v>
      </c>
      <c r="AB215">
        <v>83.02</v>
      </c>
      <c r="AC215">
        <v>1.55E-2</v>
      </c>
      <c r="AD215">
        <v>-2</v>
      </c>
      <c r="AE215">
        <v>5.6</v>
      </c>
    </row>
    <row r="216" spans="1:31" x14ac:dyDescent="0.25">
      <c r="A216" s="3">
        <v>630</v>
      </c>
      <c r="B216" s="3">
        <v>103</v>
      </c>
      <c r="C216" s="3">
        <v>1</v>
      </c>
      <c r="D216">
        <v>0</v>
      </c>
      <c r="E216">
        <v>0</v>
      </c>
      <c r="I216" s="3">
        <v>630</v>
      </c>
      <c r="J216" s="3">
        <v>103</v>
      </c>
      <c r="K216" s="3">
        <v>1</v>
      </c>
      <c r="L216">
        <v>0</v>
      </c>
      <c r="M216">
        <v>0</v>
      </c>
      <c r="Q216" s="3">
        <v>630</v>
      </c>
      <c r="R216" s="3">
        <v>103</v>
      </c>
      <c r="S216" s="3">
        <v>1</v>
      </c>
      <c r="T216">
        <v>87.63</v>
      </c>
      <c r="U216">
        <v>2.0209999999999999E-2</v>
      </c>
      <c r="Y216" s="3">
        <v>720</v>
      </c>
      <c r="Z216" s="3">
        <v>6</v>
      </c>
      <c r="AA216" s="3">
        <v>3</v>
      </c>
      <c r="AB216">
        <v>83.4</v>
      </c>
      <c r="AC216">
        <v>1.5650000000000001E-2</v>
      </c>
      <c r="AD216">
        <v>-2.2000000000000002</v>
      </c>
      <c r="AE216">
        <v>5.8</v>
      </c>
    </row>
    <row r="217" spans="1:31" x14ac:dyDescent="0.25">
      <c r="A217" s="3">
        <v>630</v>
      </c>
      <c r="B217" s="3">
        <v>104</v>
      </c>
      <c r="C217" s="3">
        <v>1</v>
      </c>
      <c r="D217">
        <v>0</v>
      </c>
      <c r="E217">
        <v>0</v>
      </c>
      <c r="I217" s="3">
        <v>630</v>
      </c>
      <c r="J217" s="3">
        <v>104</v>
      </c>
      <c r="K217" s="3">
        <v>1</v>
      </c>
      <c r="L217">
        <v>0</v>
      </c>
      <c r="M217">
        <v>0</v>
      </c>
      <c r="Q217" s="3">
        <v>630</v>
      </c>
      <c r="R217" s="3">
        <v>104</v>
      </c>
      <c r="S217" s="3">
        <v>1</v>
      </c>
      <c r="T217">
        <v>89.28</v>
      </c>
      <c r="U217">
        <v>1.992E-2</v>
      </c>
      <c r="Y217" s="3">
        <v>720</v>
      </c>
      <c r="Z217" s="3">
        <v>7</v>
      </c>
      <c r="AA217" s="3">
        <v>1</v>
      </c>
      <c r="AB217">
        <v>80</v>
      </c>
      <c r="AC217">
        <v>1.3639999999999999E-2</v>
      </c>
      <c r="AD217">
        <v>-67.099999999999994</v>
      </c>
      <c r="AE217">
        <v>-215.5</v>
      </c>
    </row>
    <row r="218" spans="1:31" x14ac:dyDescent="0.25">
      <c r="A218" s="3">
        <v>630</v>
      </c>
      <c r="B218" s="3">
        <v>110</v>
      </c>
      <c r="C218" s="3">
        <v>1</v>
      </c>
      <c r="D218">
        <v>0</v>
      </c>
      <c r="E218">
        <v>0</v>
      </c>
      <c r="I218" s="3">
        <v>630</v>
      </c>
      <c r="J218" s="3">
        <v>110</v>
      </c>
      <c r="K218" s="3">
        <v>1</v>
      </c>
      <c r="L218">
        <v>0</v>
      </c>
      <c r="M218">
        <v>0</v>
      </c>
      <c r="Q218" s="3">
        <v>630</v>
      </c>
      <c r="R218" s="3">
        <v>110</v>
      </c>
      <c r="S218" s="3">
        <v>1</v>
      </c>
      <c r="T218">
        <v>88.17</v>
      </c>
      <c r="U218">
        <v>1.7919999999999998E-2</v>
      </c>
      <c r="Y218" s="3">
        <v>720</v>
      </c>
      <c r="Z218" s="3">
        <v>8</v>
      </c>
      <c r="AA218" s="3">
        <v>1</v>
      </c>
      <c r="AB218">
        <v>85</v>
      </c>
      <c r="AC218">
        <v>1.4919999999999999E-2</v>
      </c>
      <c r="AD218">
        <v>16.7</v>
      </c>
      <c r="AE218">
        <v>8.1999999999999993</v>
      </c>
    </row>
    <row r="219" spans="1:31" x14ac:dyDescent="0.25">
      <c r="A219" s="3">
        <v>630</v>
      </c>
      <c r="B219" s="3">
        <v>114</v>
      </c>
      <c r="C219" s="3">
        <v>1</v>
      </c>
      <c r="D219">
        <v>0</v>
      </c>
      <c r="E219">
        <v>0</v>
      </c>
      <c r="I219" s="3">
        <v>630</v>
      </c>
      <c r="J219" s="3">
        <v>114</v>
      </c>
      <c r="K219" s="3">
        <v>1</v>
      </c>
      <c r="L219">
        <v>0</v>
      </c>
      <c r="M219">
        <v>0</v>
      </c>
      <c r="Q219" s="3">
        <v>630</v>
      </c>
      <c r="R219" s="3">
        <v>114</v>
      </c>
      <c r="S219" s="3">
        <v>1</v>
      </c>
      <c r="T219">
        <v>90.77</v>
      </c>
      <c r="U219">
        <v>2.0230000000000001E-2</v>
      </c>
      <c r="Y219" s="3">
        <v>720</v>
      </c>
      <c r="Z219" s="3">
        <v>8</v>
      </c>
      <c r="AA219" s="3">
        <v>2</v>
      </c>
      <c r="AB219">
        <v>85</v>
      </c>
      <c r="AC219">
        <v>1.4919999999999999E-2</v>
      </c>
      <c r="AD219">
        <v>-30.8</v>
      </c>
      <c r="AE219">
        <v>-153.6</v>
      </c>
    </row>
    <row r="220" spans="1:31" x14ac:dyDescent="0.25">
      <c r="A220" s="3">
        <v>720</v>
      </c>
      <c r="B220" s="3">
        <v>1</v>
      </c>
      <c r="C220" s="3">
        <v>1</v>
      </c>
      <c r="D220">
        <v>0</v>
      </c>
      <c r="E220">
        <v>0</v>
      </c>
      <c r="F220">
        <v>0</v>
      </c>
      <c r="G220">
        <v>0</v>
      </c>
      <c r="I220" s="3">
        <v>720</v>
      </c>
      <c r="J220" s="3">
        <v>1</v>
      </c>
      <c r="K220" s="3">
        <v>1</v>
      </c>
      <c r="L220">
        <v>0</v>
      </c>
      <c r="M220">
        <v>0</v>
      </c>
      <c r="N220">
        <v>0</v>
      </c>
      <c r="O220">
        <v>0</v>
      </c>
      <c r="Q220" s="3">
        <v>720</v>
      </c>
      <c r="R220" s="3">
        <v>1</v>
      </c>
      <c r="S220" s="3">
        <v>1</v>
      </c>
      <c r="T220">
        <v>89.61</v>
      </c>
      <c r="U220">
        <v>2.018E-2</v>
      </c>
      <c r="V220">
        <v>-0.2</v>
      </c>
      <c r="W220">
        <v>0.4</v>
      </c>
      <c r="Y220" s="3">
        <v>720</v>
      </c>
      <c r="Z220" s="3">
        <v>9</v>
      </c>
      <c r="AA220" s="3">
        <v>1</v>
      </c>
      <c r="AB220">
        <v>80</v>
      </c>
      <c r="AC220">
        <v>1.3639999999999999E-2</v>
      </c>
      <c r="AD220">
        <v>1.4</v>
      </c>
      <c r="AE220">
        <v>-26</v>
      </c>
    </row>
    <row r="221" spans="1:31" x14ac:dyDescent="0.25">
      <c r="A221" s="3">
        <v>720</v>
      </c>
      <c r="B221" s="3">
        <v>2</v>
      </c>
      <c r="C221" s="3">
        <v>1</v>
      </c>
      <c r="D221">
        <v>0</v>
      </c>
      <c r="E221">
        <v>0</v>
      </c>
      <c r="F221">
        <v>0</v>
      </c>
      <c r="G221">
        <v>0</v>
      </c>
      <c r="I221" s="3">
        <v>720</v>
      </c>
      <c r="J221" s="3">
        <v>2</v>
      </c>
      <c r="K221" s="3">
        <v>1</v>
      </c>
      <c r="L221">
        <v>0</v>
      </c>
      <c r="M221">
        <v>0</v>
      </c>
      <c r="N221">
        <v>0</v>
      </c>
      <c r="O221">
        <v>0</v>
      </c>
      <c r="Q221" s="3">
        <v>720</v>
      </c>
      <c r="R221" s="3">
        <v>2</v>
      </c>
      <c r="S221" s="3">
        <v>1</v>
      </c>
      <c r="T221">
        <v>89.22</v>
      </c>
      <c r="U221">
        <v>2.019E-2</v>
      </c>
      <c r="V221">
        <v>-0.2</v>
      </c>
      <c r="W221">
        <v>0.4</v>
      </c>
      <c r="Y221" s="3">
        <v>720</v>
      </c>
      <c r="Z221" s="3">
        <v>9</v>
      </c>
      <c r="AA221" s="3">
        <v>2</v>
      </c>
      <c r="AB221">
        <v>80</v>
      </c>
      <c r="AC221">
        <v>1.3639999999999999E-2</v>
      </c>
      <c r="AD221">
        <v>28.4</v>
      </c>
      <c r="AE221">
        <v>39.4</v>
      </c>
    </row>
    <row r="222" spans="1:31" x14ac:dyDescent="0.25">
      <c r="A222" s="3">
        <v>720</v>
      </c>
      <c r="B222" s="3">
        <v>3</v>
      </c>
      <c r="C222" s="3">
        <v>1</v>
      </c>
      <c r="D222">
        <v>0</v>
      </c>
      <c r="E222">
        <v>0</v>
      </c>
      <c r="F222">
        <v>0</v>
      </c>
      <c r="G222">
        <v>0</v>
      </c>
      <c r="I222" s="3">
        <v>720</v>
      </c>
      <c r="J222" s="3">
        <v>3</v>
      </c>
      <c r="K222" s="3">
        <v>1</v>
      </c>
      <c r="L222">
        <v>0</v>
      </c>
      <c r="M222">
        <v>0</v>
      </c>
      <c r="N222">
        <v>0</v>
      </c>
      <c r="O222">
        <v>0</v>
      </c>
      <c r="Q222" s="3">
        <v>720</v>
      </c>
      <c r="R222" s="3">
        <v>3</v>
      </c>
      <c r="S222" s="3">
        <v>1</v>
      </c>
      <c r="T222">
        <v>88.65</v>
      </c>
      <c r="U222">
        <v>2.0209999999999999E-2</v>
      </c>
      <c r="V222">
        <v>-0.4</v>
      </c>
      <c r="W222">
        <v>0.8</v>
      </c>
      <c r="Y222" s="3">
        <v>720</v>
      </c>
      <c r="Z222" s="3">
        <v>9</v>
      </c>
      <c r="AA222" s="3">
        <v>3</v>
      </c>
      <c r="AB222">
        <v>80</v>
      </c>
      <c r="AC222">
        <v>1.3639999999999999E-2</v>
      </c>
      <c r="AD222">
        <v>25.3</v>
      </c>
      <c r="AE222">
        <v>45.2</v>
      </c>
    </row>
    <row r="223" spans="1:31" x14ac:dyDescent="0.25">
      <c r="A223" s="3">
        <v>720</v>
      </c>
      <c r="B223" s="3">
        <v>3</v>
      </c>
      <c r="C223" s="3">
        <v>2</v>
      </c>
      <c r="D223">
        <v>0</v>
      </c>
      <c r="E223">
        <v>0</v>
      </c>
      <c r="F223">
        <v>0</v>
      </c>
      <c r="G223">
        <v>0</v>
      </c>
      <c r="I223" s="3">
        <v>720</v>
      </c>
      <c r="J223" s="3">
        <v>3</v>
      </c>
      <c r="K223" s="3">
        <v>2</v>
      </c>
      <c r="L223">
        <v>0</v>
      </c>
      <c r="M223">
        <v>0</v>
      </c>
      <c r="N223">
        <v>0</v>
      </c>
      <c r="O223">
        <v>0</v>
      </c>
      <c r="Q223" s="3">
        <v>720</v>
      </c>
      <c r="R223" s="3">
        <v>3</v>
      </c>
      <c r="S223" s="3">
        <v>2</v>
      </c>
      <c r="T223">
        <v>88.35</v>
      </c>
      <c r="U223">
        <v>2.0230000000000001E-2</v>
      </c>
      <c r="V223">
        <v>-0.3</v>
      </c>
      <c r="W223">
        <v>0.7</v>
      </c>
      <c r="Y223" s="3">
        <v>720</v>
      </c>
      <c r="Z223" s="3">
        <v>9</v>
      </c>
      <c r="AA223" s="3">
        <v>4</v>
      </c>
      <c r="AB223">
        <v>80</v>
      </c>
      <c r="AC223">
        <v>1.3639999999999999E-2</v>
      </c>
      <c r="AD223">
        <v>-74.099999999999994</v>
      </c>
      <c r="AE223">
        <v>-115.4</v>
      </c>
    </row>
    <row r="224" spans="1:31" x14ac:dyDescent="0.25">
      <c r="A224" s="3">
        <v>720</v>
      </c>
      <c r="B224" s="3">
        <v>4</v>
      </c>
      <c r="C224" s="3">
        <v>1</v>
      </c>
      <c r="D224">
        <v>0</v>
      </c>
      <c r="E224">
        <v>0</v>
      </c>
      <c r="F224">
        <v>0</v>
      </c>
      <c r="G224">
        <v>0</v>
      </c>
      <c r="I224" s="3">
        <v>720</v>
      </c>
      <c r="J224" s="3">
        <v>4</v>
      </c>
      <c r="K224" s="3">
        <v>1</v>
      </c>
      <c r="L224">
        <v>0</v>
      </c>
      <c r="M224">
        <v>0</v>
      </c>
      <c r="N224">
        <v>0</v>
      </c>
      <c r="O224">
        <v>0</v>
      </c>
      <c r="Q224" s="3">
        <v>720</v>
      </c>
      <c r="R224" s="3">
        <v>4</v>
      </c>
      <c r="S224" s="3">
        <v>1</v>
      </c>
      <c r="T224">
        <v>83.95</v>
      </c>
      <c r="U224">
        <v>1.6590000000000001E-2</v>
      </c>
      <c r="V224">
        <v>-2.2999999999999998</v>
      </c>
      <c r="W224">
        <v>6.1</v>
      </c>
      <c r="Y224" s="3">
        <v>720</v>
      </c>
      <c r="Z224" s="3">
        <v>10</v>
      </c>
      <c r="AA224" s="3">
        <v>1</v>
      </c>
      <c r="AB224">
        <v>85</v>
      </c>
      <c r="AC224">
        <v>1.4919999999999999E-2</v>
      </c>
      <c r="AD224">
        <v>-24</v>
      </c>
      <c r="AE224">
        <v>-123.1</v>
      </c>
    </row>
    <row r="225" spans="1:31" x14ac:dyDescent="0.25">
      <c r="A225" s="3">
        <v>720</v>
      </c>
      <c r="B225" s="3">
        <v>4</v>
      </c>
      <c r="C225" s="3">
        <v>2</v>
      </c>
      <c r="D225">
        <v>0</v>
      </c>
      <c r="E225">
        <v>0</v>
      </c>
      <c r="F225">
        <v>0</v>
      </c>
      <c r="G225">
        <v>0</v>
      </c>
      <c r="I225" s="3">
        <v>720</v>
      </c>
      <c r="J225" s="3">
        <v>4</v>
      </c>
      <c r="K225" s="3">
        <v>2</v>
      </c>
      <c r="L225">
        <v>0</v>
      </c>
      <c r="M225">
        <v>0</v>
      </c>
      <c r="N225">
        <v>0</v>
      </c>
      <c r="O225">
        <v>0</v>
      </c>
      <c r="Q225" s="3">
        <v>720</v>
      </c>
      <c r="R225" s="3">
        <v>4</v>
      </c>
      <c r="S225" s="3">
        <v>2</v>
      </c>
      <c r="T225">
        <v>83.97</v>
      </c>
      <c r="U225">
        <v>1.653E-2</v>
      </c>
      <c r="V225">
        <v>-2.1</v>
      </c>
      <c r="W225">
        <v>6</v>
      </c>
      <c r="Y225" s="3">
        <v>720</v>
      </c>
      <c r="Z225" s="3">
        <v>10</v>
      </c>
      <c r="AA225" s="3">
        <v>2</v>
      </c>
      <c r="AB225">
        <v>85</v>
      </c>
      <c r="AC225">
        <v>1.4919999999999999E-2</v>
      </c>
      <c r="AD225">
        <v>24.7</v>
      </c>
      <c r="AE225">
        <v>23.7</v>
      </c>
    </row>
    <row r="226" spans="1:31" x14ac:dyDescent="0.25">
      <c r="A226" s="3">
        <v>720</v>
      </c>
      <c r="B226" s="3">
        <v>4</v>
      </c>
      <c r="C226" s="3">
        <v>3</v>
      </c>
      <c r="D226">
        <v>0</v>
      </c>
      <c r="E226">
        <v>0</v>
      </c>
      <c r="F226">
        <v>0</v>
      </c>
      <c r="G226">
        <v>0</v>
      </c>
      <c r="I226" s="3">
        <v>720</v>
      </c>
      <c r="J226" s="3">
        <v>4</v>
      </c>
      <c r="K226" s="3">
        <v>3</v>
      </c>
      <c r="L226">
        <v>0</v>
      </c>
      <c r="M226">
        <v>0</v>
      </c>
      <c r="N226">
        <v>0</v>
      </c>
      <c r="O226">
        <v>0</v>
      </c>
      <c r="Q226" s="3">
        <v>720</v>
      </c>
      <c r="R226" s="3">
        <v>4</v>
      </c>
      <c r="S226" s="3">
        <v>3</v>
      </c>
      <c r="T226">
        <v>83.98</v>
      </c>
      <c r="U226">
        <v>1.643E-2</v>
      </c>
      <c r="V226">
        <v>-2</v>
      </c>
      <c r="W226">
        <v>5.8</v>
      </c>
      <c r="Y226" s="3">
        <v>720</v>
      </c>
      <c r="Z226" s="3">
        <v>11</v>
      </c>
      <c r="AA226" s="3">
        <v>1</v>
      </c>
      <c r="AB226">
        <v>80</v>
      </c>
      <c r="AC226">
        <v>1.3639999999999999E-2</v>
      </c>
      <c r="AD226">
        <v>-436.4</v>
      </c>
      <c r="AE226">
        <v>-835.1</v>
      </c>
    </row>
    <row r="227" spans="1:31" x14ac:dyDescent="0.25">
      <c r="A227" s="3">
        <v>720</v>
      </c>
      <c r="B227" s="3">
        <v>5</v>
      </c>
      <c r="C227" s="3">
        <v>1</v>
      </c>
      <c r="D227">
        <v>0</v>
      </c>
      <c r="E227">
        <v>0</v>
      </c>
      <c r="F227">
        <v>0</v>
      </c>
      <c r="G227">
        <v>0</v>
      </c>
      <c r="I227" s="3">
        <v>720</v>
      </c>
      <c r="J227" s="3">
        <v>5</v>
      </c>
      <c r="K227" s="3">
        <v>1</v>
      </c>
      <c r="L227">
        <v>0</v>
      </c>
      <c r="M227">
        <v>0</v>
      </c>
      <c r="N227">
        <v>0</v>
      </c>
      <c r="O227">
        <v>0</v>
      </c>
      <c r="Q227" s="3">
        <v>720</v>
      </c>
      <c r="R227" s="3">
        <v>5</v>
      </c>
      <c r="S227" s="3">
        <v>1</v>
      </c>
      <c r="T227">
        <v>88.11</v>
      </c>
      <c r="U227">
        <v>2.0240000000000001E-2</v>
      </c>
      <c r="V227">
        <v>-0.7</v>
      </c>
      <c r="W227">
        <v>1.1000000000000001</v>
      </c>
      <c r="Y227" s="3">
        <v>720</v>
      </c>
      <c r="Z227" s="3">
        <v>12</v>
      </c>
      <c r="AA227" s="3">
        <v>1</v>
      </c>
      <c r="AB227">
        <v>90.41</v>
      </c>
      <c r="AC227">
        <v>1.821E-2</v>
      </c>
      <c r="AD227">
        <v>300.3</v>
      </c>
      <c r="AE227">
        <v>7.6</v>
      </c>
    </row>
    <row r="228" spans="1:31" x14ac:dyDescent="0.25">
      <c r="A228" s="3">
        <v>720</v>
      </c>
      <c r="B228" s="3">
        <v>5</v>
      </c>
      <c r="C228" s="3">
        <v>2</v>
      </c>
      <c r="D228">
        <v>0</v>
      </c>
      <c r="E228">
        <v>0</v>
      </c>
      <c r="F228">
        <v>0</v>
      </c>
      <c r="G228">
        <v>0</v>
      </c>
      <c r="I228" s="3">
        <v>720</v>
      </c>
      <c r="J228" s="3">
        <v>5</v>
      </c>
      <c r="K228" s="3">
        <v>2</v>
      </c>
      <c r="L228">
        <v>0</v>
      </c>
      <c r="M228">
        <v>0</v>
      </c>
      <c r="N228">
        <v>0</v>
      </c>
      <c r="O228">
        <v>0</v>
      </c>
      <c r="Q228" s="3">
        <v>720</v>
      </c>
      <c r="R228" s="3">
        <v>5</v>
      </c>
      <c r="S228" s="3">
        <v>2</v>
      </c>
      <c r="T228">
        <v>88.12</v>
      </c>
      <c r="U228">
        <v>2.0150000000000001E-2</v>
      </c>
      <c r="V228">
        <v>-0.7</v>
      </c>
      <c r="W228">
        <v>1.1000000000000001</v>
      </c>
      <c r="Y228" s="3">
        <v>720</v>
      </c>
      <c r="Z228" s="3">
        <v>12</v>
      </c>
      <c r="AA228" s="3">
        <v>2</v>
      </c>
      <c r="AB228">
        <v>92.3</v>
      </c>
      <c r="AC228">
        <v>1.9619999999999999E-2</v>
      </c>
      <c r="AD228">
        <v>-2.5</v>
      </c>
      <c r="AE228">
        <v>5.0999999999999996</v>
      </c>
    </row>
    <row r="229" spans="1:31" x14ac:dyDescent="0.25">
      <c r="A229" s="3">
        <v>720</v>
      </c>
      <c r="B229" s="3">
        <v>5</v>
      </c>
      <c r="C229" s="3">
        <v>3</v>
      </c>
      <c r="D229">
        <v>0</v>
      </c>
      <c r="E229">
        <v>0</v>
      </c>
      <c r="F229">
        <v>0</v>
      </c>
      <c r="G229">
        <v>0</v>
      </c>
      <c r="I229" s="3">
        <v>720</v>
      </c>
      <c r="J229" s="3">
        <v>5</v>
      </c>
      <c r="K229" s="3">
        <v>3</v>
      </c>
      <c r="L229">
        <v>0</v>
      </c>
      <c r="M229">
        <v>0</v>
      </c>
      <c r="N229">
        <v>0</v>
      </c>
      <c r="O229">
        <v>0</v>
      </c>
      <c r="Q229" s="3">
        <v>720</v>
      </c>
      <c r="R229" s="3">
        <v>5</v>
      </c>
      <c r="S229" s="3">
        <v>3</v>
      </c>
      <c r="T229">
        <v>87.56</v>
      </c>
      <c r="U229">
        <v>1.9460000000000002E-2</v>
      </c>
      <c r="V229">
        <v>-0.8</v>
      </c>
      <c r="W229">
        <v>1.2</v>
      </c>
      <c r="Y229" s="3">
        <v>720</v>
      </c>
      <c r="Z229" s="3">
        <v>12</v>
      </c>
      <c r="AA229" s="3">
        <v>3</v>
      </c>
      <c r="AB229">
        <v>91.69</v>
      </c>
      <c r="AC229">
        <v>2.01E-2</v>
      </c>
      <c r="AD229">
        <v>-1.8</v>
      </c>
      <c r="AE229">
        <v>4.4000000000000004</v>
      </c>
    </row>
    <row r="230" spans="1:31" x14ac:dyDescent="0.25">
      <c r="A230" s="3">
        <v>720</v>
      </c>
      <c r="B230" s="3">
        <v>6</v>
      </c>
      <c r="C230" s="3">
        <v>1</v>
      </c>
      <c r="D230">
        <v>0</v>
      </c>
      <c r="E230">
        <v>0</v>
      </c>
      <c r="F230">
        <v>0</v>
      </c>
      <c r="G230">
        <v>0</v>
      </c>
      <c r="I230" s="3">
        <v>720</v>
      </c>
      <c r="J230" s="3">
        <v>6</v>
      </c>
      <c r="K230" s="3">
        <v>1</v>
      </c>
      <c r="L230">
        <v>0</v>
      </c>
      <c r="M230">
        <v>0</v>
      </c>
      <c r="N230">
        <v>0</v>
      </c>
      <c r="O230">
        <v>0</v>
      </c>
      <c r="Q230" s="3">
        <v>720</v>
      </c>
      <c r="R230" s="3">
        <v>6</v>
      </c>
      <c r="S230" s="3">
        <v>1</v>
      </c>
      <c r="T230">
        <v>83.09</v>
      </c>
      <c r="U230">
        <v>1.559E-2</v>
      </c>
      <c r="V230">
        <v>-1.9</v>
      </c>
      <c r="W230">
        <v>5.5</v>
      </c>
      <c r="Y230" s="3">
        <v>720</v>
      </c>
      <c r="Z230" s="3">
        <v>13</v>
      </c>
      <c r="AA230" s="3">
        <v>1</v>
      </c>
      <c r="AB230">
        <v>90.28</v>
      </c>
      <c r="AC230">
        <v>2.0230000000000001E-2</v>
      </c>
      <c r="AD230">
        <v>-2.7</v>
      </c>
      <c r="AE230">
        <v>6.4</v>
      </c>
    </row>
    <row r="231" spans="1:31" x14ac:dyDescent="0.25">
      <c r="A231" s="3">
        <v>720</v>
      </c>
      <c r="B231" s="3">
        <v>6</v>
      </c>
      <c r="C231" s="3">
        <v>2</v>
      </c>
      <c r="D231">
        <v>0</v>
      </c>
      <c r="E231">
        <v>0</v>
      </c>
      <c r="F231">
        <v>0</v>
      </c>
      <c r="G231">
        <v>0</v>
      </c>
      <c r="I231" s="3">
        <v>720</v>
      </c>
      <c r="J231" s="3">
        <v>6</v>
      </c>
      <c r="K231" s="3">
        <v>2</v>
      </c>
      <c r="L231">
        <v>0</v>
      </c>
      <c r="M231">
        <v>0</v>
      </c>
      <c r="N231">
        <v>0</v>
      </c>
      <c r="O231">
        <v>0</v>
      </c>
      <c r="Q231" s="3">
        <v>720</v>
      </c>
      <c r="R231" s="3">
        <v>6</v>
      </c>
      <c r="S231" s="3">
        <v>2</v>
      </c>
      <c r="T231">
        <v>83.02</v>
      </c>
      <c r="U231">
        <v>1.55E-2</v>
      </c>
      <c r="V231">
        <v>-2</v>
      </c>
      <c r="W231">
        <v>5.6</v>
      </c>
      <c r="Y231" s="3">
        <v>720</v>
      </c>
      <c r="Z231" s="3">
        <v>13</v>
      </c>
      <c r="AA231" s="3">
        <v>2</v>
      </c>
      <c r="AB231">
        <v>89.99</v>
      </c>
      <c r="AC231">
        <v>2.0209999999999999E-2</v>
      </c>
      <c r="AD231">
        <v>-2.2999999999999998</v>
      </c>
      <c r="AE231">
        <v>6.1</v>
      </c>
    </row>
    <row r="232" spans="1:31" x14ac:dyDescent="0.25">
      <c r="A232" s="3">
        <v>720</v>
      </c>
      <c r="B232" s="3">
        <v>6</v>
      </c>
      <c r="C232" s="3">
        <v>3</v>
      </c>
      <c r="D232">
        <v>0</v>
      </c>
      <c r="E232">
        <v>0</v>
      </c>
      <c r="F232">
        <v>0</v>
      </c>
      <c r="G232">
        <v>0</v>
      </c>
      <c r="I232" s="3">
        <v>720</v>
      </c>
      <c r="J232" s="3">
        <v>6</v>
      </c>
      <c r="K232" s="3">
        <v>3</v>
      </c>
      <c r="L232">
        <v>0</v>
      </c>
      <c r="M232">
        <v>0</v>
      </c>
      <c r="N232">
        <v>0</v>
      </c>
      <c r="O232">
        <v>0</v>
      </c>
      <c r="Q232" s="3">
        <v>720</v>
      </c>
      <c r="R232" s="3">
        <v>6</v>
      </c>
      <c r="S232" s="3">
        <v>3</v>
      </c>
      <c r="T232">
        <v>83.4</v>
      </c>
      <c r="U232">
        <v>1.5650000000000001E-2</v>
      </c>
      <c r="V232">
        <v>-2.2000000000000002</v>
      </c>
      <c r="W232">
        <v>5.8</v>
      </c>
      <c r="Y232" s="3">
        <v>720</v>
      </c>
      <c r="Z232" s="3">
        <v>14</v>
      </c>
      <c r="AA232" s="3">
        <v>1</v>
      </c>
      <c r="AB232">
        <v>89.83</v>
      </c>
      <c r="AC232">
        <v>2.019E-2</v>
      </c>
      <c r="AD232">
        <v>-1.6</v>
      </c>
      <c r="AE232">
        <v>3.9</v>
      </c>
    </row>
    <row r="233" spans="1:31" x14ac:dyDescent="0.25">
      <c r="A233" s="3">
        <v>720</v>
      </c>
      <c r="B233" s="3">
        <v>7</v>
      </c>
      <c r="C233" s="3">
        <v>1</v>
      </c>
      <c r="D233">
        <v>0</v>
      </c>
      <c r="E233">
        <v>0</v>
      </c>
      <c r="F233">
        <v>0</v>
      </c>
      <c r="G233">
        <v>0</v>
      </c>
      <c r="I233" s="3">
        <v>720</v>
      </c>
      <c r="J233" s="3">
        <v>7</v>
      </c>
      <c r="K233" s="3">
        <v>1</v>
      </c>
      <c r="L233">
        <v>0</v>
      </c>
      <c r="M233">
        <v>0</v>
      </c>
      <c r="N233">
        <v>0</v>
      </c>
      <c r="O233">
        <v>0</v>
      </c>
      <c r="Q233" s="3">
        <v>720</v>
      </c>
      <c r="R233" s="3">
        <v>7</v>
      </c>
      <c r="S233" s="3">
        <v>1</v>
      </c>
      <c r="T233">
        <v>80</v>
      </c>
      <c r="U233">
        <v>1.3639999999999999E-2</v>
      </c>
      <c r="V233">
        <v>-67.099999999999994</v>
      </c>
      <c r="W233">
        <v>-215.5</v>
      </c>
      <c r="Y233" s="3">
        <v>720</v>
      </c>
      <c r="Z233" s="3">
        <v>14</v>
      </c>
      <c r="AA233" s="3">
        <v>2</v>
      </c>
      <c r="AB233">
        <v>89.92</v>
      </c>
      <c r="AC233">
        <v>2.018E-2</v>
      </c>
      <c r="AD233">
        <v>-1.6</v>
      </c>
      <c r="AE233">
        <v>3.9</v>
      </c>
    </row>
    <row r="234" spans="1:31" x14ac:dyDescent="0.25">
      <c r="A234" s="3">
        <v>720</v>
      </c>
      <c r="B234" s="3">
        <v>8</v>
      </c>
      <c r="C234" s="3">
        <v>1</v>
      </c>
      <c r="D234">
        <v>0</v>
      </c>
      <c r="E234">
        <v>0</v>
      </c>
      <c r="F234">
        <v>0</v>
      </c>
      <c r="G234">
        <v>0</v>
      </c>
      <c r="I234" s="3">
        <v>720</v>
      </c>
      <c r="J234" s="3">
        <v>8</v>
      </c>
      <c r="K234" s="3">
        <v>1</v>
      </c>
      <c r="L234">
        <v>0</v>
      </c>
      <c r="M234">
        <v>0</v>
      </c>
      <c r="N234">
        <v>0</v>
      </c>
      <c r="O234">
        <v>0</v>
      </c>
      <c r="Q234" s="3">
        <v>720</v>
      </c>
      <c r="R234" s="3">
        <v>8</v>
      </c>
      <c r="S234" s="3">
        <v>1</v>
      </c>
      <c r="T234">
        <v>85</v>
      </c>
      <c r="U234">
        <v>1.4919999999999999E-2</v>
      </c>
      <c r="V234">
        <v>16.7</v>
      </c>
      <c r="W234">
        <v>8.1999999999999993</v>
      </c>
      <c r="Y234" s="3">
        <v>720</v>
      </c>
      <c r="Z234" s="3">
        <v>103</v>
      </c>
      <c r="AA234" s="3">
        <v>1</v>
      </c>
      <c r="AB234">
        <v>87.9</v>
      </c>
      <c r="AC234">
        <v>2.0209999999999999E-2</v>
      </c>
    </row>
    <row r="235" spans="1:31" x14ac:dyDescent="0.25">
      <c r="A235" s="3">
        <v>720</v>
      </c>
      <c r="B235" s="3">
        <v>8</v>
      </c>
      <c r="C235" s="3">
        <v>2</v>
      </c>
      <c r="D235">
        <v>0</v>
      </c>
      <c r="E235">
        <v>0</v>
      </c>
      <c r="F235">
        <v>0</v>
      </c>
      <c r="G235">
        <v>0</v>
      </c>
      <c r="I235" s="3">
        <v>720</v>
      </c>
      <c r="J235" s="3">
        <v>8</v>
      </c>
      <c r="K235" s="3">
        <v>2</v>
      </c>
      <c r="L235">
        <v>0</v>
      </c>
      <c r="M235">
        <v>0</v>
      </c>
      <c r="N235">
        <v>0</v>
      </c>
      <c r="O235">
        <v>0</v>
      </c>
      <c r="Q235" s="3">
        <v>720</v>
      </c>
      <c r="R235" s="3">
        <v>8</v>
      </c>
      <c r="S235" s="3">
        <v>2</v>
      </c>
      <c r="T235">
        <v>85</v>
      </c>
      <c r="U235">
        <v>1.4919999999999999E-2</v>
      </c>
      <c r="V235">
        <v>-30.8</v>
      </c>
      <c r="W235">
        <v>-153.6</v>
      </c>
      <c r="Y235" s="3">
        <v>720</v>
      </c>
      <c r="Z235" s="3">
        <v>104</v>
      </c>
      <c r="AA235" s="3">
        <v>1</v>
      </c>
      <c r="AB235">
        <v>87.92</v>
      </c>
      <c r="AC235">
        <v>1.9130000000000001E-2</v>
      </c>
    </row>
    <row r="236" spans="1:31" x14ac:dyDescent="0.25">
      <c r="A236" s="3">
        <v>720</v>
      </c>
      <c r="B236" s="3">
        <v>9</v>
      </c>
      <c r="C236" s="3">
        <v>1</v>
      </c>
      <c r="D236">
        <v>0</v>
      </c>
      <c r="E236">
        <v>0</v>
      </c>
      <c r="F236">
        <v>0</v>
      </c>
      <c r="G236">
        <v>0</v>
      </c>
      <c r="I236" s="3">
        <v>720</v>
      </c>
      <c r="J236" s="3">
        <v>9</v>
      </c>
      <c r="K236" s="3">
        <v>1</v>
      </c>
      <c r="L236">
        <v>0</v>
      </c>
      <c r="M236">
        <v>0</v>
      </c>
      <c r="N236">
        <v>0</v>
      </c>
      <c r="O236">
        <v>0</v>
      </c>
      <c r="Q236" s="3">
        <v>720</v>
      </c>
      <c r="R236" s="3">
        <v>9</v>
      </c>
      <c r="S236" s="3">
        <v>1</v>
      </c>
      <c r="T236">
        <v>80</v>
      </c>
      <c r="U236">
        <v>1.3639999999999999E-2</v>
      </c>
      <c r="V236">
        <v>1.4</v>
      </c>
      <c r="W236">
        <v>-26</v>
      </c>
      <c r="Y236" s="3">
        <v>720</v>
      </c>
      <c r="Z236" s="3">
        <v>110</v>
      </c>
      <c r="AA236" s="3">
        <v>1</v>
      </c>
      <c r="AB236">
        <v>88.57</v>
      </c>
      <c r="AC236">
        <v>1.8540000000000001E-2</v>
      </c>
    </row>
    <row r="237" spans="1:31" x14ac:dyDescent="0.25">
      <c r="A237" s="3">
        <v>720</v>
      </c>
      <c r="B237" s="3">
        <v>9</v>
      </c>
      <c r="C237" s="3">
        <v>2</v>
      </c>
      <c r="D237">
        <v>0</v>
      </c>
      <c r="E237">
        <v>0</v>
      </c>
      <c r="F237">
        <v>0</v>
      </c>
      <c r="G237">
        <v>0</v>
      </c>
      <c r="I237" s="3">
        <v>720</v>
      </c>
      <c r="J237" s="3">
        <v>9</v>
      </c>
      <c r="K237" s="3">
        <v>2</v>
      </c>
      <c r="L237">
        <v>0</v>
      </c>
      <c r="M237">
        <v>0</v>
      </c>
      <c r="N237">
        <v>0</v>
      </c>
      <c r="O237">
        <v>0</v>
      </c>
      <c r="Q237" s="3">
        <v>720</v>
      </c>
      <c r="R237" s="3">
        <v>9</v>
      </c>
      <c r="S237" s="3">
        <v>2</v>
      </c>
      <c r="T237">
        <v>80</v>
      </c>
      <c r="U237">
        <v>1.3639999999999999E-2</v>
      </c>
      <c r="V237">
        <v>28.4</v>
      </c>
      <c r="W237">
        <v>39.4</v>
      </c>
      <c r="Y237" s="3">
        <v>720</v>
      </c>
      <c r="Z237" s="3">
        <v>114</v>
      </c>
      <c r="AA237" s="3">
        <v>1</v>
      </c>
      <c r="AB237">
        <v>90.32</v>
      </c>
      <c r="AC237">
        <v>2.0199999999999999E-2</v>
      </c>
    </row>
    <row r="238" spans="1:31" x14ac:dyDescent="0.25">
      <c r="A238" s="3">
        <v>720</v>
      </c>
      <c r="B238" s="3">
        <v>9</v>
      </c>
      <c r="C238" s="3">
        <v>3</v>
      </c>
      <c r="D238">
        <v>0</v>
      </c>
      <c r="E238">
        <v>0</v>
      </c>
      <c r="F238">
        <v>0</v>
      </c>
      <c r="G238">
        <v>0</v>
      </c>
      <c r="I238" s="3">
        <v>720</v>
      </c>
      <c r="J238" s="3">
        <v>9</v>
      </c>
      <c r="K238" s="3">
        <v>3</v>
      </c>
      <c r="L238">
        <v>0</v>
      </c>
      <c r="M238">
        <v>0</v>
      </c>
      <c r="N238">
        <v>0</v>
      </c>
      <c r="O238">
        <v>0</v>
      </c>
      <c r="Q238" s="3">
        <v>720</v>
      </c>
      <c r="R238" s="3">
        <v>9</v>
      </c>
      <c r="S238" s="3">
        <v>3</v>
      </c>
      <c r="T238">
        <v>80</v>
      </c>
      <c r="U238">
        <v>1.3639999999999999E-2</v>
      </c>
      <c r="V238">
        <v>25.3</v>
      </c>
      <c r="W238">
        <v>45.2</v>
      </c>
      <c r="Y238" s="3">
        <v>900</v>
      </c>
      <c r="Z238" s="3">
        <v>1</v>
      </c>
      <c r="AA238" s="3">
        <v>1</v>
      </c>
      <c r="AB238">
        <v>89.42</v>
      </c>
      <c r="AC238">
        <v>2.018E-2</v>
      </c>
      <c r="AD238">
        <v>-0.2</v>
      </c>
      <c r="AE238">
        <v>0.4</v>
      </c>
    </row>
    <row r="239" spans="1:31" x14ac:dyDescent="0.25">
      <c r="A239" s="3">
        <v>720</v>
      </c>
      <c r="B239" s="3">
        <v>9</v>
      </c>
      <c r="C239" s="3">
        <v>4</v>
      </c>
      <c r="D239">
        <v>0</v>
      </c>
      <c r="E239">
        <v>0</v>
      </c>
      <c r="F239">
        <v>0</v>
      </c>
      <c r="G239">
        <v>0</v>
      </c>
      <c r="I239" s="3">
        <v>720</v>
      </c>
      <c r="J239" s="3">
        <v>9</v>
      </c>
      <c r="K239" s="3">
        <v>4</v>
      </c>
      <c r="L239">
        <v>0</v>
      </c>
      <c r="M239">
        <v>0</v>
      </c>
      <c r="N239">
        <v>0</v>
      </c>
      <c r="O239">
        <v>0</v>
      </c>
      <c r="Q239" s="3">
        <v>720</v>
      </c>
      <c r="R239" s="3">
        <v>9</v>
      </c>
      <c r="S239" s="3">
        <v>4</v>
      </c>
      <c r="T239">
        <v>80</v>
      </c>
      <c r="U239">
        <v>1.3639999999999999E-2</v>
      </c>
      <c r="V239">
        <v>-74.099999999999994</v>
      </c>
      <c r="W239">
        <v>-115.4</v>
      </c>
      <c r="Y239" s="3">
        <v>900</v>
      </c>
      <c r="Z239" s="3">
        <v>2</v>
      </c>
      <c r="AA239" s="3">
        <v>1</v>
      </c>
      <c r="AB239">
        <v>88.86</v>
      </c>
      <c r="AC239">
        <v>2.018E-2</v>
      </c>
      <c r="AD239">
        <v>-0.2</v>
      </c>
      <c r="AE239">
        <v>0.4</v>
      </c>
    </row>
    <row r="240" spans="1:31" x14ac:dyDescent="0.25">
      <c r="A240" s="3">
        <v>720</v>
      </c>
      <c r="B240" s="3">
        <v>10</v>
      </c>
      <c r="C240" s="3">
        <v>1</v>
      </c>
      <c r="D240">
        <v>0</v>
      </c>
      <c r="E240">
        <v>0</v>
      </c>
      <c r="F240">
        <v>0</v>
      </c>
      <c r="G240">
        <v>0</v>
      </c>
      <c r="I240" s="3">
        <v>720</v>
      </c>
      <c r="J240" s="3">
        <v>10</v>
      </c>
      <c r="K240" s="3">
        <v>1</v>
      </c>
      <c r="L240">
        <v>0</v>
      </c>
      <c r="M240">
        <v>0</v>
      </c>
      <c r="N240">
        <v>0</v>
      </c>
      <c r="O240">
        <v>0</v>
      </c>
      <c r="Q240" s="3">
        <v>720</v>
      </c>
      <c r="R240" s="3">
        <v>10</v>
      </c>
      <c r="S240" s="3">
        <v>1</v>
      </c>
      <c r="T240">
        <v>85</v>
      </c>
      <c r="U240">
        <v>1.4919999999999999E-2</v>
      </c>
      <c r="V240">
        <v>-24</v>
      </c>
      <c r="W240">
        <v>-123.1</v>
      </c>
      <c r="Y240" s="3">
        <v>900</v>
      </c>
      <c r="Z240" s="3">
        <v>3</v>
      </c>
      <c r="AA240" s="3">
        <v>1</v>
      </c>
      <c r="AB240">
        <v>87.96</v>
      </c>
      <c r="AC240">
        <v>2.0199999999999999E-2</v>
      </c>
      <c r="AD240">
        <v>-0.4</v>
      </c>
      <c r="AE240">
        <v>0.7</v>
      </c>
    </row>
    <row r="241" spans="1:31" x14ac:dyDescent="0.25">
      <c r="A241" s="3">
        <v>720</v>
      </c>
      <c r="B241" s="3">
        <v>10</v>
      </c>
      <c r="C241" s="3">
        <v>2</v>
      </c>
      <c r="D241">
        <v>0</v>
      </c>
      <c r="E241">
        <v>0</v>
      </c>
      <c r="F241">
        <v>0</v>
      </c>
      <c r="G241">
        <v>0</v>
      </c>
      <c r="I241" s="3">
        <v>720</v>
      </c>
      <c r="J241" s="3">
        <v>10</v>
      </c>
      <c r="K241" s="3">
        <v>2</v>
      </c>
      <c r="L241">
        <v>0</v>
      </c>
      <c r="M241">
        <v>0</v>
      </c>
      <c r="N241">
        <v>0</v>
      </c>
      <c r="O241">
        <v>0</v>
      </c>
      <c r="Q241" s="3">
        <v>720</v>
      </c>
      <c r="R241" s="3">
        <v>10</v>
      </c>
      <c r="S241" s="3">
        <v>2</v>
      </c>
      <c r="T241">
        <v>85</v>
      </c>
      <c r="U241">
        <v>1.4919999999999999E-2</v>
      </c>
      <c r="V241">
        <v>24.7</v>
      </c>
      <c r="W241">
        <v>23.7</v>
      </c>
      <c r="Y241" s="3">
        <v>900</v>
      </c>
      <c r="Z241" s="3">
        <v>3</v>
      </c>
      <c r="AA241" s="3">
        <v>2</v>
      </c>
      <c r="AB241">
        <v>87.48</v>
      </c>
      <c r="AC241">
        <v>2.0219999999999998E-2</v>
      </c>
      <c r="AD241">
        <v>-0.3</v>
      </c>
      <c r="AE241">
        <v>0.7</v>
      </c>
    </row>
    <row r="242" spans="1:31" x14ac:dyDescent="0.25">
      <c r="A242" s="3">
        <v>720</v>
      </c>
      <c r="B242" s="3">
        <v>11</v>
      </c>
      <c r="C242" s="3">
        <v>1</v>
      </c>
      <c r="D242">
        <v>0</v>
      </c>
      <c r="E242">
        <v>0</v>
      </c>
      <c r="F242">
        <v>0</v>
      </c>
      <c r="G242">
        <v>0</v>
      </c>
      <c r="I242" s="3">
        <v>720</v>
      </c>
      <c r="J242" s="3">
        <v>11</v>
      </c>
      <c r="K242" s="3">
        <v>1</v>
      </c>
      <c r="L242">
        <v>0</v>
      </c>
      <c r="M242">
        <v>0</v>
      </c>
      <c r="N242">
        <v>0</v>
      </c>
      <c r="O242">
        <v>0</v>
      </c>
      <c r="Q242" s="3">
        <v>720</v>
      </c>
      <c r="R242" s="3">
        <v>11</v>
      </c>
      <c r="S242" s="3">
        <v>1</v>
      </c>
      <c r="T242">
        <v>80</v>
      </c>
      <c r="U242">
        <v>1.3639999999999999E-2</v>
      </c>
      <c r="V242">
        <v>-436.4</v>
      </c>
      <c r="W242">
        <v>-835.1</v>
      </c>
      <c r="Y242" s="3">
        <v>900</v>
      </c>
      <c r="Z242" s="3">
        <v>4</v>
      </c>
      <c r="AA242" s="3">
        <v>1</v>
      </c>
      <c r="AB242">
        <v>85.5</v>
      </c>
      <c r="AC242">
        <v>1.7139999999999999E-2</v>
      </c>
      <c r="AD242">
        <v>-2.2000000000000002</v>
      </c>
      <c r="AE242">
        <v>6</v>
      </c>
    </row>
    <row r="243" spans="1:31" x14ac:dyDescent="0.25">
      <c r="A243" s="3">
        <v>720</v>
      </c>
      <c r="B243" s="3">
        <v>12</v>
      </c>
      <c r="C243" s="3">
        <v>1</v>
      </c>
      <c r="D243">
        <v>0</v>
      </c>
      <c r="E243">
        <v>0</v>
      </c>
      <c r="F243">
        <v>0</v>
      </c>
      <c r="G243">
        <v>0</v>
      </c>
      <c r="I243" s="3">
        <v>720</v>
      </c>
      <c r="J243" s="3">
        <v>12</v>
      </c>
      <c r="K243" s="3">
        <v>1</v>
      </c>
      <c r="L243">
        <v>0</v>
      </c>
      <c r="M243">
        <v>0</v>
      </c>
      <c r="N243">
        <v>0</v>
      </c>
      <c r="O243">
        <v>0</v>
      </c>
      <c r="Q243" s="3">
        <v>720</v>
      </c>
      <c r="R243" s="3">
        <v>12</v>
      </c>
      <c r="S243" s="3">
        <v>1</v>
      </c>
      <c r="T243">
        <v>90.41</v>
      </c>
      <c r="U243">
        <v>1.821E-2</v>
      </c>
      <c r="V243">
        <v>300.3</v>
      </c>
      <c r="W243">
        <v>7.6</v>
      </c>
      <c r="Y243" s="3">
        <v>900</v>
      </c>
      <c r="Z243" s="3">
        <v>4</v>
      </c>
      <c r="AA243" s="3">
        <v>2</v>
      </c>
      <c r="AB243">
        <v>85.18</v>
      </c>
      <c r="AC243">
        <v>1.72E-2</v>
      </c>
      <c r="AD243">
        <v>-2</v>
      </c>
      <c r="AE243">
        <v>5.8</v>
      </c>
    </row>
    <row r="244" spans="1:31" x14ac:dyDescent="0.25">
      <c r="A244" s="3">
        <v>720</v>
      </c>
      <c r="B244" s="3">
        <v>12</v>
      </c>
      <c r="C244" s="3">
        <v>2</v>
      </c>
      <c r="D244">
        <v>0</v>
      </c>
      <c r="E244">
        <v>0</v>
      </c>
      <c r="F244">
        <v>0</v>
      </c>
      <c r="G244">
        <v>0</v>
      </c>
      <c r="I244" s="3">
        <v>720</v>
      </c>
      <c r="J244" s="3">
        <v>12</v>
      </c>
      <c r="K244" s="3">
        <v>2</v>
      </c>
      <c r="L244">
        <v>0</v>
      </c>
      <c r="M244">
        <v>0</v>
      </c>
      <c r="N244">
        <v>0</v>
      </c>
      <c r="O244">
        <v>0</v>
      </c>
      <c r="Q244" s="3">
        <v>720</v>
      </c>
      <c r="R244" s="3">
        <v>12</v>
      </c>
      <c r="S244" s="3">
        <v>2</v>
      </c>
      <c r="T244">
        <v>92.3</v>
      </c>
      <c r="U244">
        <v>1.9619999999999999E-2</v>
      </c>
      <c r="V244">
        <v>-2.5</v>
      </c>
      <c r="W244">
        <v>5.0999999999999996</v>
      </c>
      <c r="Y244" s="3">
        <v>900</v>
      </c>
      <c r="Z244" s="3">
        <v>4</v>
      </c>
      <c r="AA244" s="3">
        <v>3</v>
      </c>
      <c r="AB244">
        <v>84.51</v>
      </c>
      <c r="AC244">
        <v>1.6959999999999999E-2</v>
      </c>
      <c r="AD244">
        <v>-1.8</v>
      </c>
      <c r="AE244">
        <v>5.7</v>
      </c>
    </row>
    <row r="245" spans="1:31" x14ac:dyDescent="0.25">
      <c r="A245" s="3">
        <v>720</v>
      </c>
      <c r="B245" s="3">
        <v>12</v>
      </c>
      <c r="C245" s="3">
        <v>3</v>
      </c>
      <c r="D245">
        <v>0</v>
      </c>
      <c r="E245">
        <v>0</v>
      </c>
      <c r="F245">
        <v>0</v>
      </c>
      <c r="G245">
        <v>0</v>
      </c>
      <c r="I245" s="3">
        <v>720</v>
      </c>
      <c r="J245" s="3">
        <v>12</v>
      </c>
      <c r="K245" s="3">
        <v>3</v>
      </c>
      <c r="L245">
        <v>0</v>
      </c>
      <c r="M245">
        <v>0</v>
      </c>
      <c r="N245">
        <v>0</v>
      </c>
      <c r="O245">
        <v>0</v>
      </c>
      <c r="Q245" s="3">
        <v>720</v>
      </c>
      <c r="R245" s="3">
        <v>12</v>
      </c>
      <c r="S245" s="3">
        <v>3</v>
      </c>
      <c r="T245">
        <v>91.69</v>
      </c>
      <c r="U245">
        <v>2.01E-2</v>
      </c>
      <c r="V245">
        <v>-1.8</v>
      </c>
      <c r="W245">
        <v>4.4000000000000004</v>
      </c>
      <c r="Y245" s="3">
        <v>900</v>
      </c>
      <c r="Z245" s="3">
        <v>5</v>
      </c>
      <c r="AA245" s="3">
        <v>1</v>
      </c>
      <c r="AB245">
        <v>87.48</v>
      </c>
      <c r="AC245">
        <v>2.0240000000000001E-2</v>
      </c>
      <c r="AD245">
        <v>-0.7</v>
      </c>
      <c r="AE245">
        <v>1.1000000000000001</v>
      </c>
    </row>
    <row r="246" spans="1:31" x14ac:dyDescent="0.25">
      <c r="A246" s="3">
        <v>720</v>
      </c>
      <c r="B246" s="3">
        <v>13</v>
      </c>
      <c r="C246" s="3">
        <v>1</v>
      </c>
      <c r="D246">
        <v>0</v>
      </c>
      <c r="E246">
        <v>0</v>
      </c>
      <c r="F246">
        <v>0</v>
      </c>
      <c r="G246">
        <v>0</v>
      </c>
      <c r="I246" s="3">
        <v>720</v>
      </c>
      <c r="J246" s="3">
        <v>13</v>
      </c>
      <c r="K246" s="3">
        <v>1</v>
      </c>
      <c r="L246">
        <v>0</v>
      </c>
      <c r="M246">
        <v>0</v>
      </c>
      <c r="N246">
        <v>0</v>
      </c>
      <c r="O246">
        <v>0</v>
      </c>
      <c r="Q246" s="3">
        <v>720</v>
      </c>
      <c r="R246" s="3">
        <v>13</v>
      </c>
      <c r="S246" s="3">
        <v>1</v>
      </c>
      <c r="T246">
        <v>90.28</v>
      </c>
      <c r="U246">
        <v>2.0230000000000001E-2</v>
      </c>
      <c r="V246">
        <v>-2.7</v>
      </c>
      <c r="W246">
        <v>6.4</v>
      </c>
      <c r="Y246" s="3">
        <v>900</v>
      </c>
      <c r="Z246" s="3">
        <v>5</v>
      </c>
      <c r="AA246" s="3">
        <v>2</v>
      </c>
      <c r="AB246">
        <v>87.56</v>
      </c>
      <c r="AC246">
        <v>2.018E-2</v>
      </c>
      <c r="AD246">
        <v>-0.7</v>
      </c>
      <c r="AE246">
        <v>1.1000000000000001</v>
      </c>
    </row>
    <row r="247" spans="1:31" x14ac:dyDescent="0.25">
      <c r="A247" s="3">
        <v>720</v>
      </c>
      <c r="B247" s="3">
        <v>13</v>
      </c>
      <c r="C247" s="3">
        <v>2</v>
      </c>
      <c r="D247">
        <v>0</v>
      </c>
      <c r="E247">
        <v>0</v>
      </c>
      <c r="F247">
        <v>0</v>
      </c>
      <c r="G247">
        <v>0</v>
      </c>
      <c r="I247" s="3">
        <v>720</v>
      </c>
      <c r="J247" s="3">
        <v>13</v>
      </c>
      <c r="K247" s="3">
        <v>2</v>
      </c>
      <c r="L247">
        <v>0</v>
      </c>
      <c r="M247">
        <v>0</v>
      </c>
      <c r="N247">
        <v>0</v>
      </c>
      <c r="O247">
        <v>0</v>
      </c>
      <c r="Q247" s="3">
        <v>720</v>
      </c>
      <c r="R247" s="3">
        <v>13</v>
      </c>
      <c r="S247" s="3">
        <v>2</v>
      </c>
      <c r="T247">
        <v>89.99</v>
      </c>
      <c r="U247">
        <v>2.0209999999999999E-2</v>
      </c>
      <c r="V247">
        <v>-2.2999999999999998</v>
      </c>
      <c r="W247">
        <v>6.1</v>
      </c>
      <c r="Y247" s="3">
        <v>900</v>
      </c>
      <c r="Z247" s="3">
        <v>5</v>
      </c>
      <c r="AA247" s="3">
        <v>3</v>
      </c>
      <c r="AB247">
        <v>86.74</v>
      </c>
      <c r="AC247">
        <v>1.925E-2</v>
      </c>
      <c r="AD247">
        <v>-0.8</v>
      </c>
      <c r="AE247">
        <v>1.2</v>
      </c>
    </row>
    <row r="248" spans="1:31" x14ac:dyDescent="0.25">
      <c r="A248" s="3">
        <v>720</v>
      </c>
      <c r="B248" s="3">
        <v>14</v>
      </c>
      <c r="C248" s="3">
        <v>1</v>
      </c>
      <c r="D248">
        <v>0</v>
      </c>
      <c r="E248">
        <v>0</v>
      </c>
      <c r="F248">
        <v>0</v>
      </c>
      <c r="G248">
        <v>0</v>
      </c>
      <c r="I248" s="3">
        <v>720</v>
      </c>
      <c r="J248" s="3">
        <v>14</v>
      </c>
      <c r="K248" s="3">
        <v>1</v>
      </c>
      <c r="L248">
        <v>0</v>
      </c>
      <c r="M248">
        <v>0</v>
      </c>
      <c r="N248">
        <v>0</v>
      </c>
      <c r="O248">
        <v>0</v>
      </c>
      <c r="Q248" s="3">
        <v>720</v>
      </c>
      <c r="R248" s="3">
        <v>14</v>
      </c>
      <c r="S248" s="3">
        <v>1</v>
      </c>
      <c r="T248">
        <v>89.83</v>
      </c>
      <c r="U248">
        <v>2.019E-2</v>
      </c>
      <c r="V248">
        <v>-1.6</v>
      </c>
      <c r="W248">
        <v>3.9</v>
      </c>
      <c r="Y248" s="3">
        <v>900</v>
      </c>
      <c r="Z248" s="3">
        <v>6</v>
      </c>
      <c r="AA248" s="3">
        <v>1</v>
      </c>
      <c r="AB248">
        <v>83.2</v>
      </c>
      <c r="AC248">
        <v>1.6209999999999999E-2</v>
      </c>
      <c r="AD248">
        <v>-1.7</v>
      </c>
      <c r="AE248">
        <v>5.3</v>
      </c>
    </row>
    <row r="249" spans="1:31" x14ac:dyDescent="0.25">
      <c r="A249" s="3">
        <v>720</v>
      </c>
      <c r="B249" s="3">
        <v>14</v>
      </c>
      <c r="C249" s="3">
        <v>2</v>
      </c>
      <c r="D249">
        <v>0</v>
      </c>
      <c r="E249">
        <v>0</v>
      </c>
      <c r="F249">
        <v>0</v>
      </c>
      <c r="G249">
        <v>0</v>
      </c>
      <c r="I249" s="3">
        <v>720</v>
      </c>
      <c r="J249" s="3">
        <v>14</v>
      </c>
      <c r="K249" s="3">
        <v>2</v>
      </c>
      <c r="L249">
        <v>0</v>
      </c>
      <c r="M249">
        <v>0</v>
      </c>
      <c r="N249">
        <v>0</v>
      </c>
      <c r="O249">
        <v>0</v>
      </c>
      <c r="Q249" s="3">
        <v>720</v>
      </c>
      <c r="R249" s="3">
        <v>14</v>
      </c>
      <c r="S249" s="3">
        <v>2</v>
      </c>
      <c r="T249">
        <v>89.92</v>
      </c>
      <c r="U249">
        <v>2.018E-2</v>
      </c>
      <c r="V249">
        <v>-1.6</v>
      </c>
      <c r="W249">
        <v>3.9</v>
      </c>
      <c r="Y249" s="3">
        <v>900</v>
      </c>
      <c r="Z249" s="3">
        <v>6</v>
      </c>
      <c r="AA249" s="3">
        <v>2</v>
      </c>
      <c r="AB249">
        <v>81.77</v>
      </c>
      <c r="AC249">
        <v>1.5219999999999999E-2</v>
      </c>
      <c r="AD249">
        <v>-1.8</v>
      </c>
      <c r="AE249">
        <v>5.4</v>
      </c>
    </row>
    <row r="250" spans="1:31" x14ac:dyDescent="0.25">
      <c r="A250" s="3">
        <v>720</v>
      </c>
      <c r="B250" s="3">
        <v>103</v>
      </c>
      <c r="C250" s="3">
        <v>1</v>
      </c>
      <c r="D250">
        <v>0</v>
      </c>
      <c r="E250">
        <v>0</v>
      </c>
      <c r="I250" s="3">
        <v>720</v>
      </c>
      <c r="J250" s="3">
        <v>103</v>
      </c>
      <c r="K250" s="3">
        <v>1</v>
      </c>
      <c r="L250">
        <v>0</v>
      </c>
      <c r="M250">
        <v>0</v>
      </c>
      <c r="Q250" s="3">
        <v>720</v>
      </c>
      <c r="R250" s="3">
        <v>103</v>
      </c>
      <c r="S250" s="3">
        <v>1</v>
      </c>
      <c r="T250">
        <v>87.9</v>
      </c>
      <c r="U250">
        <v>2.0209999999999999E-2</v>
      </c>
      <c r="Y250" s="3">
        <v>900</v>
      </c>
      <c r="Z250" s="3">
        <v>6</v>
      </c>
      <c r="AA250" s="3">
        <v>3</v>
      </c>
      <c r="AB250">
        <v>80.25</v>
      </c>
      <c r="AC250">
        <v>1.409E-2</v>
      </c>
      <c r="AD250">
        <v>-1.9</v>
      </c>
      <c r="AE250">
        <v>5.6</v>
      </c>
    </row>
    <row r="251" spans="1:31" x14ac:dyDescent="0.25">
      <c r="A251" s="3">
        <v>720</v>
      </c>
      <c r="B251" s="3">
        <v>104</v>
      </c>
      <c r="C251" s="3">
        <v>1</v>
      </c>
      <c r="D251">
        <v>0</v>
      </c>
      <c r="E251">
        <v>0</v>
      </c>
      <c r="I251" s="3">
        <v>720</v>
      </c>
      <c r="J251" s="3">
        <v>104</v>
      </c>
      <c r="K251" s="3">
        <v>1</v>
      </c>
      <c r="L251">
        <v>0</v>
      </c>
      <c r="M251">
        <v>0</v>
      </c>
      <c r="Q251" s="3">
        <v>720</v>
      </c>
      <c r="R251" s="3">
        <v>104</v>
      </c>
      <c r="S251" s="3">
        <v>1</v>
      </c>
      <c r="T251">
        <v>87.92</v>
      </c>
      <c r="U251">
        <v>1.9130000000000001E-2</v>
      </c>
      <c r="Y251" s="3">
        <v>900</v>
      </c>
      <c r="Z251" s="3">
        <v>7</v>
      </c>
      <c r="AA251" s="3">
        <v>1</v>
      </c>
      <c r="AB251">
        <v>78.81</v>
      </c>
      <c r="AC251">
        <v>1.332E-2</v>
      </c>
      <c r="AD251">
        <v>-80</v>
      </c>
      <c r="AE251">
        <v>-213.6</v>
      </c>
    </row>
    <row r="252" spans="1:31" x14ac:dyDescent="0.25">
      <c r="A252" s="3">
        <v>720</v>
      </c>
      <c r="B252" s="3">
        <v>110</v>
      </c>
      <c r="C252" s="3">
        <v>1</v>
      </c>
      <c r="D252">
        <v>0</v>
      </c>
      <c r="E252">
        <v>0</v>
      </c>
      <c r="I252" s="3">
        <v>720</v>
      </c>
      <c r="J252" s="3">
        <v>110</v>
      </c>
      <c r="K252" s="3">
        <v>1</v>
      </c>
      <c r="L252">
        <v>0</v>
      </c>
      <c r="M252">
        <v>0</v>
      </c>
      <c r="Q252" s="3">
        <v>720</v>
      </c>
      <c r="R252" s="3">
        <v>110</v>
      </c>
      <c r="S252" s="3">
        <v>1</v>
      </c>
      <c r="T252">
        <v>88.57</v>
      </c>
      <c r="U252">
        <v>1.8540000000000001E-2</v>
      </c>
      <c r="Y252" s="3">
        <v>900</v>
      </c>
      <c r="Z252" s="3">
        <v>8</v>
      </c>
      <c r="AA252" s="3">
        <v>1</v>
      </c>
      <c r="AB252">
        <v>85.32</v>
      </c>
      <c r="AC252">
        <v>1.519E-2</v>
      </c>
      <c r="AD252">
        <v>16.7</v>
      </c>
      <c r="AE252">
        <v>8.1999999999999993</v>
      </c>
    </row>
    <row r="253" spans="1:31" x14ac:dyDescent="0.25">
      <c r="A253" s="3">
        <v>720</v>
      </c>
      <c r="B253" s="3">
        <v>114</v>
      </c>
      <c r="C253" s="3">
        <v>1</v>
      </c>
      <c r="D253">
        <v>0</v>
      </c>
      <c r="E253">
        <v>0</v>
      </c>
      <c r="I253" s="3">
        <v>720</v>
      </c>
      <c r="J253" s="3">
        <v>114</v>
      </c>
      <c r="K253" s="3">
        <v>1</v>
      </c>
      <c r="L253">
        <v>0</v>
      </c>
      <c r="M253">
        <v>0</v>
      </c>
      <c r="Q253" s="3">
        <v>720</v>
      </c>
      <c r="R253" s="3">
        <v>114</v>
      </c>
      <c r="S253" s="3">
        <v>1</v>
      </c>
      <c r="T253">
        <v>90.32</v>
      </c>
      <c r="U253">
        <v>2.0199999999999999E-2</v>
      </c>
      <c r="Y253" s="3">
        <v>900</v>
      </c>
      <c r="Z253" s="3">
        <v>8</v>
      </c>
      <c r="AA253" s="3">
        <v>2</v>
      </c>
      <c r="AB253">
        <v>85.2</v>
      </c>
      <c r="AC253">
        <v>1.4970000000000001E-2</v>
      </c>
      <c r="AD253">
        <v>-30.8</v>
      </c>
      <c r="AE253">
        <v>-153.6</v>
      </c>
    </row>
    <row r="254" spans="1:31" x14ac:dyDescent="0.25">
      <c r="A254" s="3">
        <v>900</v>
      </c>
      <c r="B254" s="3">
        <v>1</v>
      </c>
      <c r="C254" s="3">
        <v>1</v>
      </c>
      <c r="D254">
        <v>0</v>
      </c>
      <c r="E254">
        <v>0</v>
      </c>
      <c r="F254">
        <v>0</v>
      </c>
      <c r="G254">
        <v>0</v>
      </c>
      <c r="I254" s="3">
        <v>900</v>
      </c>
      <c r="J254" s="3">
        <v>1</v>
      </c>
      <c r="K254" s="3">
        <v>1</v>
      </c>
      <c r="L254">
        <v>0</v>
      </c>
      <c r="M254">
        <v>0</v>
      </c>
      <c r="N254">
        <v>0</v>
      </c>
      <c r="O254">
        <v>0</v>
      </c>
      <c r="Q254" s="3">
        <v>900</v>
      </c>
      <c r="R254" s="3">
        <v>1</v>
      </c>
      <c r="S254" s="3">
        <v>1</v>
      </c>
      <c r="T254">
        <v>89.42</v>
      </c>
      <c r="U254">
        <v>2.018E-2</v>
      </c>
      <c r="V254">
        <v>-0.2</v>
      </c>
      <c r="W254">
        <v>0.4</v>
      </c>
      <c r="Y254" s="3">
        <v>900</v>
      </c>
      <c r="Z254" s="3">
        <v>9</v>
      </c>
      <c r="AA254" s="3">
        <v>1</v>
      </c>
      <c r="AB254">
        <v>78.3</v>
      </c>
      <c r="AC254">
        <v>1.3440000000000001E-2</v>
      </c>
      <c r="AD254">
        <v>49.1</v>
      </c>
      <c r="AE254">
        <v>-23</v>
      </c>
    </row>
    <row r="255" spans="1:31" x14ac:dyDescent="0.25">
      <c r="A255" s="3">
        <v>900</v>
      </c>
      <c r="B255" s="3">
        <v>2</v>
      </c>
      <c r="C255" s="3">
        <v>1</v>
      </c>
      <c r="D255">
        <v>0</v>
      </c>
      <c r="E255">
        <v>0</v>
      </c>
      <c r="F255">
        <v>0</v>
      </c>
      <c r="G255">
        <v>0</v>
      </c>
      <c r="I255" s="3">
        <v>900</v>
      </c>
      <c r="J255" s="3">
        <v>2</v>
      </c>
      <c r="K255" s="3">
        <v>1</v>
      </c>
      <c r="L255">
        <v>0</v>
      </c>
      <c r="M255">
        <v>0</v>
      </c>
      <c r="N255">
        <v>0</v>
      </c>
      <c r="O255">
        <v>0</v>
      </c>
      <c r="Q255" s="3">
        <v>900</v>
      </c>
      <c r="R255" s="3">
        <v>2</v>
      </c>
      <c r="S255" s="3">
        <v>1</v>
      </c>
      <c r="T255">
        <v>88.86</v>
      </c>
      <c r="U255">
        <v>2.018E-2</v>
      </c>
      <c r="V255">
        <v>-0.2</v>
      </c>
      <c r="W255">
        <v>0.4</v>
      </c>
      <c r="Y255" s="3">
        <v>900</v>
      </c>
      <c r="Z255" s="3">
        <v>9</v>
      </c>
      <c r="AA255" s="3">
        <v>2</v>
      </c>
      <c r="AB255">
        <v>77.91</v>
      </c>
      <c r="AC255">
        <v>1.3259999999999999E-2</v>
      </c>
      <c r="AD255">
        <v>210.6</v>
      </c>
      <c r="AE255">
        <v>43.2</v>
      </c>
    </row>
    <row r="256" spans="1:31" x14ac:dyDescent="0.25">
      <c r="A256" s="3">
        <v>900</v>
      </c>
      <c r="B256" s="3">
        <v>3</v>
      </c>
      <c r="C256" s="3">
        <v>1</v>
      </c>
      <c r="D256">
        <v>0</v>
      </c>
      <c r="E256">
        <v>0</v>
      </c>
      <c r="F256">
        <v>0</v>
      </c>
      <c r="G256">
        <v>0</v>
      </c>
      <c r="I256" s="3">
        <v>900</v>
      </c>
      <c r="J256" s="3">
        <v>3</v>
      </c>
      <c r="K256" s="3">
        <v>1</v>
      </c>
      <c r="L256">
        <v>0</v>
      </c>
      <c r="M256">
        <v>0</v>
      </c>
      <c r="N256">
        <v>0</v>
      </c>
      <c r="O256">
        <v>0</v>
      </c>
      <c r="Q256" s="3">
        <v>900</v>
      </c>
      <c r="R256" s="3">
        <v>3</v>
      </c>
      <c r="S256" s="3">
        <v>1</v>
      </c>
      <c r="T256">
        <v>87.96</v>
      </c>
      <c r="U256">
        <v>2.0199999999999999E-2</v>
      </c>
      <c r="V256">
        <v>-0.4</v>
      </c>
      <c r="W256">
        <v>0.7</v>
      </c>
      <c r="Y256" s="3">
        <v>900</v>
      </c>
      <c r="Z256" s="3">
        <v>9</v>
      </c>
      <c r="AA256" s="3">
        <v>3</v>
      </c>
      <c r="AB256">
        <v>77.709999999999994</v>
      </c>
      <c r="AC256">
        <v>1.303E-2</v>
      </c>
      <c r="AD256">
        <v>206.8</v>
      </c>
      <c r="AE256">
        <v>49</v>
      </c>
    </row>
    <row r="257" spans="1:31" x14ac:dyDescent="0.25">
      <c r="A257" s="3">
        <v>900</v>
      </c>
      <c r="B257" s="3">
        <v>3</v>
      </c>
      <c r="C257" s="3">
        <v>2</v>
      </c>
      <c r="D257">
        <v>0</v>
      </c>
      <c r="E257">
        <v>0</v>
      </c>
      <c r="F257">
        <v>0</v>
      </c>
      <c r="G257">
        <v>0</v>
      </c>
      <c r="I257" s="3">
        <v>900</v>
      </c>
      <c r="J257" s="3">
        <v>3</v>
      </c>
      <c r="K257" s="3">
        <v>2</v>
      </c>
      <c r="L257">
        <v>0</v>
      </c>
      <c r="M257">
        <v>0</v>
      </c>
      <c r="N257">
        <v>0</v>
      </c>
      <c r="O257">
        <v>0</v>
      </c>
      <c r="Q257" s="3">
        <v>900</v>
      </c>
      <c r="R257" s="3">
        <v>3</v>
      </c>
      <c r="S257" s="3">
        <v>2</v>
      </c>
      <c r="T257">
        <v>87.48</v>
      </c>
      <c r="U257">
        <v>2.0219999999999998E-2</v>
      </c>
      <c r="V257">
        <v>-0.3</v>
      </c>
      <c r="W257">
        <v>0.7</v>
      </c>
      <c r="Y257" s="3">
        <v>900</v>
      </c>
      <c r="Z257" s="3">
        <v>9</v>
      </c>
      <c r="AA257" s="3">
        <v>4</v>
      </c>
      <c r="AB257">
        <v>78.44</v>
      </c>
      <c r="AC257">
        <v>1.315E-2</v>
      </c>
      <c r="AD257">
        <v>108.8</v>
      </c>
      <c r="AE257">
        <v>-111.5</v>
      </c>
    </row>
    <row r="258" spans="1:31" x14ac:dyDescent="0.25">
      <c r="A258" s="3">
        <v>900</v>
      </c>
      <c r="B258" s="3">
        <v>4</v>
      </c>
      <c r="C258" s="3">
        <v>1</v>
      </c>
      <c r="D258">
        <v>0</v>
      </c>
      <c r="E258">
        <v>0</v>
      </c>
      <c r="F258">
        <v>0</v>
      </c>
      <c r="G258">
        <v>0</v>
      </c>
      <c r="I258" s="3">
        <v>900</v>
      </c>
      <c r="J258" s="3">
        <v>4</v>
      </c>
      <c r="K258" s="3">
        <v>1</v>
      </c>
      <c r="L258">
        <v>0</v>
      </c>
      <c r="M258">
        <v>0</v>
      </c>
      <c r="N258">
        <v>0</v>
      </c>
      <c r="O258">
        <v>0</v>
      </c>
      <c r="Q258" s="3">
        <v>900</v>
      </c>
      <c r="R258" s="3">
        <v>4</v>
      </c>
      <c r="S258" s="3">
        <v>1</v>
      </c>
      <c r="T258">
        <v>85.5</v>
      </c>
      <c r="U258">
        <v>1.7139999999999999E-2</v>
      </c>
      <c r="V258">
        <v>-2.2000000000000002</v>
      </c>
      <c r="W258">
        <v>6</v>
      </c>
      <c r="Y258" s="3">
        <v>900</v>
      </c>
      <c r="Z258" s="3">
        <v>10</v>
      </c>
      <c r="AA258" s="3">
        <v>1</v>
      </c>
      <c r="AB258">
        <v>84.65</v>
      </c>
      <c r="AC258">
        <v>1.455E-2</v>
      </c>
      <c r="AD258">
        <v>-24</v>
      </c>
      <c r="AE258">
        <v>-123.1</v>
      </c>
    </row>
    <row r="259" spans="1:31" x14ac:dyDescent="0.25">
      <c r="A259" s="3">
        <v>900</v>
      </c>
      <c r="B259" s="3">
        <v>4</v>
      </c>
      <c r="C259" s="3">
        <v>2</v>
      </c>
      <c r="D259">
        <v>0</v>
      </c>
      <c r="E259">
        <v>0</v>
      </c>
      <c r="F259">
        <v>0</v>
      </c>
      <c r="G259">
        <v>0</v>
      </c>
      <c r="I259" s="3">
        <v>900</v>
      </c>
      <c r="J259" s="3">
        <v>4</v>
      </c>
      <c r="K259" s="3">
        <v>2</v>
      </c>
      <c r="L259">
        <v>0</v>
      </c>
      <c r="M259">
        <v>0</v>
      </c>
      <c r="N259">
        <v>0</v>
      </c>
      <c r="O259">
        <v>0</v>
      </c>
      <c r="Q259" s="3">
        <v>900</v>
      </c>
      <c r="R259" s="3">
        <v>4</v>
      </c>
      <c r="S259" s="3">
        <v>2</v>
      </c>
      <c r="T259">
        <v>85.18</v>
      </c>
      <c r="U259">
        <v>1.72E-2</v>
      </c>
      <c r="V259">
        <v>-2</v>
      </c>
      <c r="W259">
        <v>5.8</v>
      </c>
      <c r="Y259" s="3">
        <v>900</v>
      </c>
      <c r="Z259" s="3">
        <v>10</v>
      </c>
      <c r="AA259" s="3">
        <v>2</v>
      </c>
      <c r="AB259">
        <v>84.11</v>
      </c>
      <c r="AC259">
        <v>1.487E-2</v>
      </c>
      <c r="AD259">
        <v>24.7</v>
      </c>
      <c r="AE259">
        <v>23.7</v>
      </c>
    </row>
    <row r="260" spans="1:31" x14ac:dyDescent="0.25">
      <c r="A260" s="3">
        <v>900</v>
      </c>
      <c r="B260" s="3">
        <v>4</v>
      </c>
      <c r="C260" s="3">
        <v>3</v>
      </c>
      <c r="D260">
        <v>0</v>
      </c>
      <c r="E260">
        <v>0</v>
      </c>
      <c r="F260">
        <v>0</v>
      </c>
      <c r="G260">
        <v>0</v>
      </c>
      <c r="I260" s="3">
        <v>900</v>
      </c>
      <c r="J260" s="3">
        <v>4</v>
      </c>
      <c r="K260" s="3">
        <v>3</v>
      </c>
      <c r="L260">
        <v>0</v>
      </c>
      <c r="M260">
        <v>0</v>
      </c>
      <c r="N260">
        <v>0</v>
      </c>
      <c r="O260">
        <v>0</v>
      </c>
      <c r="Q260" s="3">
        <v>900</v>
      </c>
      <c r="R260" s="3">
        <v>4</v>
      </c>
      <c r="S260" s="3">
        <v>3</v>
      </c>
      <c r="T260">
        <v>84.51</v>
      </c>
      <c r="U260">
        <v>1.6959999999999999E-2</v>
      </c>
      <c r="V260">
        <v>-1.8</v>
      </c>
      <c r="W260">
        <v>5.7</v>
      </c>
      <c r="Y260" s="3">
        <v>900</v>
      </c>
      <c r="Z260" s="3">
        <v>11</v>
      </c>
      <c r="AA260" s="3">
        <v>1</v>
      </c>
      <c r="AB260">
        <v>80.52</v>
      </c>
      <c r="AC260">
        <v>1.3860000000000001E-2</v>
      </c>
      <c r="AD260">
        <v>-254.7</v>
      </c>
      <c r="AE260">
        <v>-831.7</v>
      </c>
    </row>
    <row r="261" spans="1:31" x14ac:dyDescent="0.25">
      <c r="A261" s="3">
        <v>900</v>
      </c>
      <c r="B261" s="3">
        <v>5</v>
      </c>
      <c r="C261" s="3">
        <v>1</v>
      </c>
      <c r="D261">
        <v>0</v>
      </c>
      <c r="E261">
        <v>0</v>
      </c>
      <c r="F261">
        <v>0</v>
      </c>
      <c r="G261">
        <v>0</v>
      </c>
      <c r="I261" s="3">
        <v>900</v>
      </c>
      <c r="J261" s="3">
        <v>5</v>
      </c>
      <c r="K261" s="3">
        <v>1</v>
      </c>
      <c r="L261">
        <v>0</v>
      </c>
      <c r="M261">
        <v>0</v>
      </c>
      <c r="N261">
        <v>0</v>
      </c>
      <c r="O261">
        <v>0</v>
      </c>
      <c r="Q261" s="3">
        <v>900</v>
      </c>
      <c r="R261" s="3">
        <v>5</v>
      </c>
      <c r="S261" s="3">
        <v>1</v>
      </c>
      <c r="T261">
        <v>87.48</v>
      </c>
      <c r="U261">
        <v>2.0240000000000001E-2</v>
      </c>
      <c r="V261">
        <v>-0.7</v>
      </c>
      <c r="W261">
        <v>1.1000000000000001</v>
      </c>
      <c r="Y261" s="3">
        <v>900</v>
      </c>
      <c r="Z261" s="3">
        <v>12</v>
      </c>
      <c r="AA261" s="3">
        <v>1</v>
      </c>
      <c r="AB261">
        <v>93.91</v>
      </c>
      <c r="AC261">
        <v>1.881E-2</v>
      </c>
      <c r="AD261">
        <v>300.60000000000002</v>
      </c>
      <c r="AE261">
        <v>7.5</v>
      </c>
    </row>
    <row r="262" spans="1:31" x14ac:dyDescent="0.25">
      <c r="A262" s="3">
        <v>900</v>
      </c>
      <c r="B262" s="3">
        <v>5</v>
      </c>
      <c r="C262" s="3">
        <v>2</v>
      </c>
      <c r="D262">
        <v>0</v>
      </c>
      <c r="E262">
        <v>0</v>
      </c>
      <c r="F262">
        <v>0</v>
      </c>
      <c r="G262">
        <v>0</v>
      </c>
      <c r="I262" s="3">
        <v>900</v>
      </c>
      <c r="J262" s="3">
        <v>5</v>
      </c>
      <c r="K262" s="3">
        <v>2</v>
      </c>
      <c r="L262">
        <v>0</v>
      </c>
      <c r="M262">
        <v>0</v>
      </c>
      <c r="N262">
        <v>0</v>
      </c>
      <c r="O262">
        <v>0</v>
      </c>
      <c r="Q262" s="3">
        <v>900</v>
      </c>
      <c r="R262" s="3">
        <v>5</v>
      </c>
      <c r="S262" s="3">
        <v>2</v>
      </c>
      <c r="T262">
        <v>87.56</v>
      </c>
      <c r="U262">
        <v>2.018E-2</v>
      </c>
      <c r="V262">
        <v>-0.7</v>
      </c>
      <c r="W262">
        <v>1.1000000000000001</v>
      </c>
      <c r="Y262" s="3">
        <v>900</v>
      </c>
      <c r="Z262" s="3">
        <v>12</v>
      </c>
      <c r="AA262" s="3">
        <v>2</v>
      </c>
      <c r="AB262">
        <v>94.15</v>
      </c>
      <c r="AC262">
        <v>1.983E-2</v>
      </c>
      <c r="AD262">
        <v>-2.4</v>
      </c>
      <c r="AE262">
        <v>5.0999999999999996</v>
      </c>
    </row>
    <row r="263" spans="1:31" x14ac:dyDescent="0.25">
      <c r="A263" s="3">
        <v>900</v>
      </c>
      <c r="B263" s="3">
        <v>5</v>
      </c>
      <c r="C263" s="3">
        <v>3</v>
      </c>
      <c r="D263">
        <v>0</v>
      </c>
      <c r="E263">
        <v>0</v>
      </c>
      <c r="F263">
        <v>0</v>
      </c>
      <c r="G263">
        <v>0</v>
      </c>
      <c r="I263" s="3">
        <v>900</v>
      </c>
      <c r="J263" s="3">
        <v>5</v>
      </c>
      <c r="K263" s="3">
        <v>3</v>
      </c>
      <c r="L263">
        <v>0</v>
      </c>
      <c r="M263">
        <v>0</v>
      </c>
      <c r="N263">
        <v>0</v>
      </c>
      <c r="O263">
        <v>0</v>
      </c>
      <c r="Q263" s="3">
        <v>900</v>
      </c>
      <c r="R263" s="3">
        <v>5</v>
      </c>
      <c r="S263" s="3">
        <v>3</v>
      </c>
      <c r="T263">
        <v>86.74</v>
      </c>
      <c r="U263">
        <v>1.925E-2</v>
      </c>
      <c r="V263">
        <v>-0.8</v>
      </c>
      <c r="W263">
        <v>1.2</v>
      </c>
      <c r="Y263" s="3">
        <v>900</v>
      </c>
      <c r="Z263" s="3">
        <v>12</v>
      </c>
      <c r="AA263" s="3">
        <v>3</v>
      </c>
      <c r="AB263">
        <v>92.37</v>
      </c>
      <c r="AC263">
        <v>2.017E-2</v>
      </c>
      <c r="AD263">
        <v>-1.8</v>
      </c>
      <c r="AE263">
        <v>4.4000000000000004</v>
      </c>
    </row>
    <row r="264" spans="1:31" x14ac:dyDescent="0.25">
      <c r="A264" s="3">
        <v>900</v>
      </c>
      <c r="B264" s="3">
        <v>6</v>
      </c>
      <c r="C264" s="3">
        <v>1</v>
      </c>
      <c r="D264">
        <v>0</v>
      </c>
      <c r="E264">
        <v>0</v>
      </c>
      <c r="F264">
        <v>0</v>
      </c>
      <c r="G264">
        <v>0</v>
      </c>
      <c r="I264" s="3">
        <v>900</v>
      </c>
      <c r="J264" s="3">
        <v>6</v>
      </c>
      <c r="K264" s="3">
        <v>1</v>
      </c>
      <c r="L264">
        <v>0</v>
      </c>
      <c r="M264">
        <v>0</v>
      </c>
      <c r="N264">
        <v>0</v>
      </c>
      <c r="O264">
        <v>0</v>
      </c>
      <c r="Q264" s="3">
        <v>900</v>
      </c>
      <c r="R264" s="3">
        <v>6</v>
      </c>
      <c r="S264" s="3">
        <v>1</v>
      </c>
      <c r="T264">
        <v>83.2</v>
      </c>
      <c r="U264">
        <v>1.6209999999999999E-2</v>
      </c>
      <c r="V264">
        <v>-1.7</v>
      </c>
      <c r="W264">
        <v>5.3</v>
      </c>
      <c r="Y264" s="3">
        <v>900</v>
      </c>
      <c r="Z264" s="3">
        <v>13</v>
      </c>
      <c r="AA264" s="3">
        <v>1</v>
      </c>
      <c r="AB264">
        <v>90.66</v>
      </c>
      <c r="AC264">
        <v>2.0230000000000001E-2</v>
      </c>
      <c r="AD264">
        <v>-2.7</v>
      </c>
      <c r="AE264">
        <v>6.4</v>
      </c>
    </row>
    <row r="265" spans="1:31" x14ac:dyDescent="0.25">
      <c r="A265" s="3">
        <v>900</v>
      </c>
      <c r="B265" s="3">
        <v>6</v>
      </c>
      <c r="C265" s="3">
        <v>2</v>
      </c>
      <c r="D265">
        <v>0</v>
      </c>
      <c r="E265">
        <v>0</v>
      </c>
      <c r="F265">
        <v>0</v>
      </c>
      <c r="G265">
        <v>0</v>
      </c>
      <c r="I265" s="3">
        <v>900</v>
      </c>
      <c r="J265" s="3">
        <v>6</v>
      </c>
      <c r="K265" s="3">
        <v>2</v>
      </c>
      <c r="L265">
        <v>0</v>
      </c>
      <c r="M265">
        <v>0</v>
      </c>
      <c r="N265">
        <v>0</v>
      </c>
      <c r="O265">
        <v>0</v>
      </c>
      <c r="Q265" s="3">
        <v>900</v>
      </c>
      <c r="R265" s="3">
        <v>6</v>
      </c>
      <c r="S265" s="3">
        <v>2</v>
      </c>
      <c r="T265">
        <v>81.77</v>
      </c>
      <c r="U265">
        <v>1.5219999999999999E-2</v>
      </c>
      <c r="V265">
        <v>-1.8</v>
      </c>
      <c r="W265">
        <v>5.4</v>
      </c>
      <c r="Y265" s="3">
        <v>900</v>
      </c>
      <c r="Z265" s="3">
        <v>13</v>
      </c>
      <c r="AA265" s="3">
        <v>2</v>
      </c>
      <c r="AB265">
        <v>89.95</v>
      </c>
      <c r="AC265">
        <v>2.0209999999999999E-2</v>
      </c>
      <c r="AD265">
        <v>-2.2999999999999998</v>
      </c>
      <c r="AE265">
        <v>6.1</v>
      </c>
    </row>
    <row r="266" spans="1:31" x14ac:dyDescent="0.25">
      <c r="A266" s="3">
        <v>900</v>
      </c>
      <c r="B266" s="3">
        <v>6</v>
      </c>
      <c r="C266" s="3">
        <v>3</v>
      </c>
      <c r="D266">
        <v>0</v>
      </c>
      <c r="E266">
        <v>0</v>
      </c>
      <c r="F266">
        <v>0</v>
      </c>
      <c r="G266">
        <v>0</v>
      </c>
      <c r="I266" s="3">
        <v>900</v>
      </c>
      <c r="J266" s="3">
        <v>6</v>
      </c>
      <c r="K266" s="3">
        <v>3</v>
      </c>
      <c r="L266">
        <v>0</v>
      </c>
      <c r="M266">
        <v>0</v>
      </c>
      <c r="N266">
        <v>0</v>
      </c>
      <c r="O266">
        <v>0</v>
      </c>
      <c r="Q266" s="3">
        <v>900</v>
      </c>
      <c r="R266" s="3">
        <v>6</v>
      </c>
      <c r="S266" s="3">
        <v>3</v>
      </c>
      <c r="T266">
        <v>80.25</v>
      </c>
      <c r="U266">
        <v>1.409E-2</v>
      </c>
      <c r="V266">
        <v>-1.9</v>
      </c>
      <c r="W266">
        <v>5.6</v>
      </c>
      <c r="Y266" s="3">
        <v>900</v>
      </c>
      <c r="Z266" s="3">
        <v>14</v>
      </c>
      <c r="AA266" s="3">
        <v>1</v>
      </c>
      <c r="AB266">
        <v>89.79</v>
      </c>
      <c r="AC266">
        <v>2.019E-2</v>
      </c>
      <c r="AD266">
        <v>-1.6</v>
      </c>
      <c r="AE266">
        <v>3.9</v>
      </c>
    </row>
    <row r="267" spans="1:31" x14ac:dyDescent="0.25">
      <c r="A267" s="3">
        <v>900</v>
      </c>
      <c r="B267" s="3">
        <v>7</v>
      </c>
      <c r="C267" s="3">
        <v>1</v>
      </c>
      <c r="D267">
        <v>0</v>
      </c>
      <c r="E267">
        <v>0</v>
      </c>
      <c r="F267">
        <v>0</v>
      </c>
      <c r="G267">
        <v>0</v>
      </c>
      <c r="I267" s="3">
        <v>900</v>
      </c>
      <c r="J267" s="3">
        <v>7</v>
      </c>
      <c r="K267" s="3">
        <v>1</v>
      </c>
      <c r="L267">
        <v>0</v>
      </c>
      <c r="M267">
        <v>0</v>
      </c>
      <c r="N267">
        <v>0</v>
      </c>
      <c r="O267">
        <v>0</v>
      </c>
      <c r="Q267" s="3">
        <v>900</v>
      </c>
      <c r="R267" s="3">
        <v>7</v>
      </c>
      <c r="S267" s="3">
        <v>1</v>
      </c>
      <c r="T267">
        <v>78.81</v>
      </c>
      <c r="U267">
        <v>1.332E-2</v>
      </c>
      <c r="V267">
        <v>-80</v>
      </c>
      <c r="W267">
        <v>-213.6</v>
      </c>
      <c r="Y267" s="3">
        <v>900</v>
      </c>
      <c r="Z267" s="3">
        <v>14</v>
      </c>
      <c r="AA267" s="3">
        <v>2</v>
      </c>
      <c r="AB267">
        <v>89.74</v>
      </c>
      <c r="AC267">
        <v>2.018E-2</v>
      </c>
      <c r="AD267">
        <v>-1.6</v>
      </c>
      <c r="AE267">
        <v>3.9</v>
      </c>
    </row>
    <row r="268" spans="1:31" x14ac:dyDescent="0.25">
      <c r="A268" s="3">
        <v>900</v>
      </c>
      <c r="B268" s="3">
        <v>8</v>
      </c>
      <c r="C268" s="3">
        <v>1</v>
      </c>
      <c r="D268">
        <v>0</v>
      </c>
      <c r="E268">
        <v>0</v>
      </c>
      <c r="F268">
        <v>0</v>
      </c>
      <c r="G268">
        <v>0</v>
      </c>
      <c r="I268" s="3">
        <v>900</v>
      </c>
      <c r="J268" s="3">
        <v>8</v>
      </c>
      <c r="K268" s="3">
        <v>1</v>
      </c>
      <c r="L268">
        <v>0</v>
      </c>
      <c r="M268">
        <v>0</v>
      </c>
      <c r="N268">
        <v>0</v>
      </c>
      <c r="O268">
        <v>0</v>
      </c>
      <c r="Q268" s="3">
        <v>900</v>
      </c>
      <c r="R268" s="3">
        <v>8</v>
      </c>
      <c r="S268" s="3">
        <v>1</v>
      </c>
      <c r="T268">
        <v>85.32</v>
      </c>
      <c r="U268">
        <v>1.519E-2</v>
      </c>
      <c r="V268">
        <v>16.7</v>
      </c>
      <c r="W268">
        <v>8.1999999999999993</v>
      </c>
      <c r="Y268" s="3">
        <v>900</v>
      </c>
      <c r="Z268" s="3">
        <v>103</v>
      </c>
      <c r="AA268" s="3">
        <v>1</v>
      </c>
      <c r="AB268">
        <v>87.64</v>
      </c>
      <c r="AC268">
        <v>2.0209999999999999E-2</v>
      </c>
    </row>
    <row r="269" spans="1:31" x14ac:dyDescent="0.25">
      <c r="A269" s="3">
        <v>900</v>
      </c>
      <c r="B269" s="3">
        <v>8</v>
      </c>
      <c r="C269" s="3">
        <v>2</v>
      </c>
      <c r="D269">
        <v>0</v>
      </c>
      <c r="E269">
        <v>0</v>
      </c>
      <c r="F269">
        <v>0</v>
      </c>
      <c r="G269">
        <v>0</v>
      </c>
      <c r="I269" s="3">
        <v>900</v>
      </c>
      <c r="J269" s="3">
        <v>8</v>
      </c>
      <c r="K269" s="3">
        <v>2</v>
      </c>
      <c r="L269">
        <v>0</v>
      </c>
      <c r="M269">
        <v>0</v>
      </c>
      <c r="N269">
        <v>0</v>
      </c>
      <c r="O269">
        <v>0</v>
      </c>
      <c r="Q269" s="3">
        <v>900</v>
      </c>
      <c r="R269" s="3">
        <v>8</v>
      </c>
      <c r="S269" s="3">
        <v>2</v>
      </c>
      <c r="T269">
        <v>85.2</v>
      </c>
      <c r="U269">
        <v>1.4970000000000001E-2</v>
      </c>
      <c r="V269">
        <v>-30.8</v>
      </c>
      <c r="W269">
        <v>-153.6</v>
      </c>
      <c r="Y269" s="3">
        <v>900</v>
      </c>
      <c r="Z269" s="3">
        <v>104</v>
      </c>
      <c r="AA269" s="3">
        <v>1</v>
      </c>
      <c r="AB269">
        <v>89.24</v>
      </c>
      <c r="AC269">
        <v>1.9900000000000001E-2</v>
      </c>
    </row>
    <row r="270" spans="1:31" x14ac:dyDescent="0.25">
      <c r="A270" s="3">
        <v>900</v>
      </c>
      <c r="B270" s="3">
        <v>9</v>
      </c>
      <c r="C270" s="3">
        <v>1</v>
      </c>
      <c r="D270">
        <v>0</v>
      </c>
      <c r="E270">
        <v>0</v>
      </c>
      <c r="F270">
        <v>0</v>
      </c>
      <c r="G270">
        <v>0</v>
      </c>
      <c r="I270" s="3">
        <v>900</v>
      </c>
      <c r="J270" s="3">
        <v>9</v>
      </c>
      <c r="K270" s="3">
        <v>1</v>
      </c>
      <c r="L270">
        <v>0</v>
      </c>
      <c r="M270">
        <v>0</v>
      </c>
      <c r="N270">
        <v>0</v>
      </c>
      <c r="O270">
        <v>0</v>
      </c>
      <c r="Q270" s="3">
        <v>900</v>
      </c>
      <c r="R270" s="3">
        <v>9</v>
      </c>
      <c r="S270" s="3">
        <v>1</v>
      </c>
      <c r="T270">
        <v>78.3</v>
      </c>
      <c r="U270">
        <v>1.3440000000000001E-2</v>
      </c>
      <c r="V270">
        <v>49.1</v>
      </c>
      <c r="W270">
        <v>-23</v>
      </c>
      <c r="Y270" s="3">
        <v>900</v>
      </c>
      <c r="Z270" s="3">
        <v>110</v>
      </c>
      <c r="AA270" s="3">
        <v>1</v>
      </c>
      <c r="AB270">
        <v>87.51</v>
      </c>
      <c r="AC270">
        <v>1.7500000000000002E-2</v>
      </c>
    </row>
    <row r="271" spans="1:31" x14ac:dyDescent="0.25">
      <c r="A271" s="3">
        <v>900</v>
      </c>
      <c r="B271" s="3">
        <v>9</v>
      </c>
      <c r="C271" s="3">
        <v>2</v>
      </c>
      <c r="D271">
        <v>0</v>
      </c>
      <c r="E271">
        <v>0</v>
      </c>
      <c r="F271">
        <v>0</v>
      </c>
      <c r="G271">
        <v>0</v>
      </c>
      <c r="I271" s="3">
        <v>900</v>
      </c>
      <c r="J271" s="3">
        <v>9</v>
      </c>
      <c r="K271" s="3">
        <v>2</v>
      </c>
      <c r="L271">
        <v>0</v>
      </c>
      <c r="M271">
        <v>0</v>
      </c>
      <c r="N271">
        <v>0</v>
      </c>
      <c r="O271">
        <v>0</v>
      </c>
      <c r="Q271" s="3">
        <v>900</v>
      </c>
      <c r="R271" s="3">
        <v>9</v>
      </c>
      <c r="S271" s="3">
        <v>2</v>
      </c>
      <c r="T271">
        <v>77.91</v>
      </c>
      <c r="U271">
        <v>1.3259999999999999E-2</v>
      </c>
      <c r="V271">
        <v>210.6</v>
      </c>
      <c r="W271">
        <v>43.2</v>
      </c>
      <c r="Y271" s="3">
        <v>900</v>
      </c>
      <c r="Z271" s="3">
        <v>114</v>
      </c>
      <c r="AA271" s="3">
        <v>1</v>
      </c>
      <c r="AB271">
        <v>90.79</v>
      </c>
      <c r="AC271">
        <v>2.0230000000000001E-2</v>
      </c>
    </row>
    <row r="272" spans="1:31" x14ac:dyDescent="0.25">
      <c r="A272" s="3">
        <v>900</v>
      </c>
      <c r="B272" s="3">
        <v>9</v>
      </c>
      <c r="C272" s="3">
        <v>3</v>
      </c>
      <c r="D272">
        <v>0</v>
      </c>
      <c r="E272">
        <v>0</v>
      </c>
      <c r="F272">
        <v>0</v>
      </c>
      <c r="G272">
        <v>0</v>
      </c>
      <c r="I272" s="3">
        <v>900</v>
      </c>
      <c r="J272" s="3">
        <v>9</v>
      </c>
      <c r="K272" s="3">
        <v>3</v>
      </c>
      <c r="L272">
        <v>0</v>
      </c>
      <c r="M272">
        <v>0</v>
      </c>
      <c r="N272">
        <v>0</v>
      </c>
      <c r="O272">
        <v>0</v>
      </c>
      <c r="Q272" s="3">
        <v>900</v>
      </c>
      <c r="R272" s="3">
        <v>9</v>
      </c>
      <c r="S272" s="3">
        <v>3</v>
      </c>
      <c r="T272">
        <v>77.709999999999994</v>
      </c>
      <c r="U272">
        <v>1.303E-2</v>
      </c>
      <c r="V272">
        <v>206.8</v>
      </c>
      <c r="W272">
        <v>49</v>
      </c>
      <c r="Y272" s="3">
        <v>910</v>
      </c>
      <c r="Z272" s="3">
        <v>1</v>
      </c>
      <c r="AA272" s="3">
        <v>1</v>
      </c>
      <c r="AB272">
        <v>89.4</v>
      </c>
      <c r="AC272">
        <v>2.0199999999999999E-2</v>
      </c>
    </row>
    <row r="273" spans="1:29" x14ac:dyDescent="0.25">
      <c r="A273" s="3">
        <v>900</v>
      </c>
      <c r="B273" s="3">
        <v>9</v>
      </c>
      <c r="C273" s="3">
        <v>4</v>
      </c>
      <c r="D273">
        <v>0</v>
      </c>
      <c r="E273">
        <v>0</v>
      </c>
      <c r="F273">
        <v>0</v>
      </c>
      <c r="G273">
        <v>0</v>
      </c>
      <c r="I273" s="3">
        <v>900</v>
      </c>
      <c r="J273" s="3">
        <v>9</v>
      </c>
      <c r="K273" s="3">
        <v>4</v>
      </c>
      <c r="L273">
        <v>0</v>
      </c>
      <c r="M273">
        <v>0</v>
      </c>
      <c r="N273">
        <v>0</v>
      </c>
      <c r="O273">
        <v>0</v>
      </c>
      <c r="Q273" s="3">
        <v>900</v>
      </c>
      <c r="R273" s="3">
        <v>9</v>
      </c>
      <c r="S273" s="3">
        <v>4</v>
      </c>
      <c r="T273">
        <v>78.44</v>
      </c>
      <c r="U273">
        <v>1.315E-2</v>
      </c>
      <c r="V273">
        <v>108.8</v>
      </c>
      <c r="W273">
        <v>-111.5</v>
      </c>
      <c r="Y273" s="3">
        <v>910</v>
      </c>
      <c r="Z273" s="3">
        <v>2</v>
      </c>
      <c r="AA273" s="3">
        <v>1</v>
      </c>
      <c r="AB273">
        <v>88.8</v>
      </c>
      <c r="AC273">
        <v>2.0199999999999999E-2</v>
      </c>
    </row>
    <row r="274" spans="1:29" x14ac:dyDescent="0.25">
      <c r="A274" s="3">
        <v>900</v>
      </c>
      <c r="B274" s="3">
        <v>10</v>
      </c>
      <c r="C274" s="3">
        <v>1</v>
      </c>
      <c r="D274">
        <v>0</v>
      </c>
      <c r="E274">
        <v>0</v>
      </c>
      <c r="F274">
        <v>0</v>
      </c>
      <c r="G274">
        <v>0</v>
      </c>
      <c r="I274" s="3">
        <v>900</v>
      </c>
      <c r="J274" s="3">
        <v>10</v>
      </c>
      <c r="K274" s="3">
        <v>1</v>
      </c>
      <c r="L274">
        <v>0</v>
      </c>
      <c r="M274">
        <v>0</v>
      </c>
      <c r="N274">
        <v>0</v>
      </c>
      <c r="O274">
        <v>0</v>
      </c>
      <c r="Q274" s="3">
        <v>900</v>
      </c>
      <c r="R274" s="3">
        <v>10</v>
      </c>
      <c r="S274" s="3">
        <v>1</v>
      </c>
      <c r="T274">
        <v>84.65</v>
      </c>
      <c r="U274">
        <v>1.455E-2</v>
      </c>
      <c r="V274">
        <v>-24</v>
      </c>
      <c r="W274">
        <v>-123.1</v>
      </c>
      <c r="Y274" s="3">
        <v>910</v>
      </c>
      <c r="Z274" s="3">
        <v>3</v>
      </c>
      <c r="AA274" s="3">
        <v>1</v>
      </c>
      <c r="AB274">
        <v>87.9</v>
      </c>
      <c r="AC274">
        <v>2.0199999999999999E-2</v>
      </c>
    </row>
    <row r="275" spans="1:29" x14ac:dyDescent="0.25">
      <c r="A275" s="3">
        <v>900</v>
      </c>
      <c r="B275" s="3">
        <v>10</v>
      </c>
      <c r="C275" s="3">
        <v>2</v>
      </c>
      <c r="D275">
        <v>0</v>
      </c>
      <c r="E275">
        <v>0</v>
      </c>
      <c r="F275">
        <v>0</v>
      </c>
      <c r="G275">
        <v>0</v>
      </c>
      <c r="I275" s="3">
        <v>900</v>
      </c>
      <c r="J275" s="3">
        <v>10</v>
      </c>
      <c r="K275" s="3">
        <v>2</v>
      </c>
      <c r="L275">
        <v>0</v>
      </c>
      <c r="M275">
        <v>0</v>
      </c>
      <c r="N275">
        <v>0</v>
      </c>
      <c r="O275">
        <v>0</v>
      </c>
      <c r="Q275" s="3">
        <v>900</v>
      </c>
      <c r="R275" s="3">
        <v>10</v>
      </c>
      <c r="S275" s="3">
        <v>2</v>
      </c>
      <c r="T275">
        <v>84.11</v>
      </c>
      <c r="U275">
        <v>1.487E-2</v>
      </c>
      <c r="V275">
        <v>24.7</v>
      </c>
      <c r="W275">
        <v>23.7</v>
      </c>
      <c r="Y275" s="3">
        <v>910</v>
      </c>
      <c r="Z275" s="3">
        <v>4</v>
      </c>
      <c r="AA275" s="3">
        <v>1</v>
      </c>
      <c r="AB275">
        <v>84.3</v>
      </c>
      <c r="AC275">
        <v>1.7100000000000001E-2</v>
      </c>
    </row>
    <row r="276" spans="1:29" x14ac:dyDescent="0.25">
      <c r="A276" s="3">
        <v>900</v>
      </c>
      <c r="B276" s="3">
        <v>11</v>
      </c>
      <c r="C276" s="3">
        <v>1</v>
      </c>
      <c r="D276">
        <v>0</v>
      </c>
      <c r="E276">
        <v>0</v>
      </c>
      <c r="F276">
        <v>0</v>
      </c>
      <c r="G276">
        <v>0</v>
      </c>
      <c r="I276" s="3">
        <v>900</v>
      </c>
      <c r="J276" s="3">
        <v>11</v>
      </c>
      <c r="K276" s="3">
        <v>1</v>
      </c>
      <c r="L276">
        <v>0</v>
      </c>
      <c r="M276">
        <v>0</v>
      </c>
      <c r="N276">
        <v>0</v>
      </c>
      <c r="O276">
        <v>0</v>
      </c>
      <c r="Q276" s="3">
        <v>900</v>
      </c>
      <c r="R276" s="3">
        <v>11</v>
      </c>
      <c r="S276" s="3">
        <v>1</v>
      </c>
      <c r="T276">
        <v>80.52</v>
      </c>
      <c r="U276">
        <v>1.3860000000000001E-2</v>
      </c>
      <c r="V276">
        <v>-254.7</v>
      </c>
      <c r="W276">
        <v>-831.7</v>
      </c>
      <c r="Y276" s="3">
        <v>910</v>
      </c>
      <c r="Z276" s="3">
        <v>5</v>
      </c>
      <c r="AA276" s="3">
        <v>1</v>
      </c>
      <c r="AB276">
        <v>87.3</v>
      </c>
      <c r="AC276">
        <v>2.0199999999999999E-2</v>
      </c>
    </row>
    <row r="277" spans="1:29" x14ac:dyDescent="0.25">
      <c r="A277" s="3">
        <v>900</v>
      </c>
      <c r="B277" s="3">
        <v>12</v>
      </c>
      <c r="C277" s="3">
        <v>1</v>
      </c>
      <c r="D277">
        <v>0</v>
      </c>
      <c r="E277">
        <v>0</v>
      </c>
      <c r="F277">
        <v>0</v>
      </c>
      <c r="G277">
        <v>0</v>
      </c>
      <c r="I277" s="3">
        <v>900</v>
      </c>
      <c r="J277" s="3">
        <v>12</v>
      </c>
      <c r="K277" s="3">
        <v>1</v>
      </c>
      <c r="L277">
        <v>0</v>
      </c>
      <c r="M277">
        <v>0</v>
      </c>
      <c r="N277">
        <v>0</v>
      </c>
      <c r="O277">
        <v>0</v>
      </c>
      <c r="Q277" s="3">
        <v>900</v>
      </c>
      <c r="R277" s="3">
        <v>12</v>
      </c>
      <c r="S277" s="3">
        <v>1</v>
      </c>
      <c r="T277">
        <v>93.91</v>
      </c>
      <c r="U277">
        <v>1.881E-2</v>
      </c>
      <c r="V277">
        <v>300.60000000000002</v>
      </c>
      <c r="W277">
        <v>7.5</v>
      </c>
      <c r="Y277" s="3">
        <v>910</v>
      </c>
      <c r="Z277" s="3">
        <v>6</v>
      </c>
      <c r="AA277" s="3">
        <v>1</v>
      </c>
      <c r="AB277">
        <v>81.400000000000006</v>
      </c>
      <c r="AC277">
        <v>1.5299999999999999E-2</v>
      </c>
    </row>
    <row r="278" spans="1:29" x14ac:dyDescent="0.25">
      <c r="A278" s="3">
        <v>900</v>
      </c>
      <c r="B278" s="3">
        <v>12</v>
      </c>
      <c r="C278" s="3">
        <v>2</v>
      </c>
      <c r="D278">
        <v>0</v>
      </c>
      <c r="E278">
        <v>0</v>
      </c>
      <c r="F278">
        <v>0</v>
      </c>
      <c r="G278">
        <v>0</v>
      </c>
      <c r="I278" s="3">
        <v>900</v>
      </c>
      <c r="J278" s="3">
        <v>12</v>
      </c>
      <c r="K278" s="3">
        <v>2</v>
      </c>
      <c r="L278">
        <v>0</v>
      </c>
      <c r="M278">
        <v>0</v>
      </c>
      <c r="N278">
        <v>0</v>
      </c>
      <c r="O278">
        <v>0</v>
      </c>
      <c r="Q278" s="3">
        <v>900</v>
      </c>
      <c r="R278" s="3">
        <v>12</v>
      </c>
      <c r="S278" s="3">
        <v>2</v>
      </c>
      <c r="T278">
        <v>94.15</v>
      </c>
      <c r="U278">
        <v>1.983E-2</v>
      </c>
      <c r="V278">
        <v>-2.4</v>
      </c>
      <c r="W278">
        <v>5.0999999999999996</v>
      </c>
      <c r="Y278" s="3">
        <v>910</v>
      </c>
      <c r="Z278" s="3">
        <v>7</v>
      </c>
      <c r="AA278" s="3">
        <v>1</v>
      </c>
      <c r="AB278">
        <v>79</v>
      </c>
      <c r="AC278">
        <v>1.32E-2</v>
      </c>
    </row>
    <row r="279" spans="1:29" x14ac:dyDescent="0.25">
      <c r="A279" s="3">
        <v>900</v>
      </c>
      <c r="B279" s="3">
        <v>12</v>
      </c>
      <c r="C279" s="3">
        <v>3</v>
      </c>
      <c r="D279">
        <v>0</v>
      </c>
      <c r="E279">
        <v>0</v>
      </c>
      <c r="F279">
        <v>0</v>
      </c>
      <c r="G279">
        <v>0</v>
      </c>
      <c r="I279" s="3">
        <v>900</v>
      </c>
      <c r="J279" s="3">
        <v>12</v>
      </c>
      <c r="K279" s="3">
        <v>3</v>
      </c>
      <c r="L279">
        <v>0</v>
      </c>
      <c r="M279">
        <v>0</v>
      </c>
      <c r="N279">
        <v>0</v>
      </c>
      <c r="O279">
        <v>0</v>
      </c>
      <c r="Q279" s="3">
        <v>900</v>
      </c>
      <c r="R279" s="3">
        <v>12</v>
      </c>
      <c r="S279" s="3">
        <v>3</v>
      </c>
      <c r="T279">
        <v>92.37</v>
      </c>
      <c r="U279">
        <v>2.017E-2</v>
      </c>
      <c r="V279">
        <v>-1.8</v>
      </c>
      <c r="W279">
        <v>4.4000000000000004</v>
      </c>
      <c r="Y279" s="3">
        <v>910</v>
      </c>
      <c r="Z279" s="3">
        <v>8</v>
      </c>
      <c r="AA279" s="3">
        <v>1</v>
      </c>
      <c r="AB279">
        <v>85.5</v>
      </c>
      <c r="AC279">
        <v>1.52E-2</v>
      </c>
    </row>
    <row r="280" spans="1:29" x14ac:dyDescent="0.25">
      <c r="A280" s="3">
        <v>900</v>
      </c>
      <c r="B280" s="3">
        <v>13</v>
      </c>
      <c r="C280" s="3">
        <v>1</v>
      </c>
      <c r="D280">
        <v>0</v>
      </c>
      <c r="E280">
        <v>0</v>
      </c>
      <c r="F280">
        <v>0</v>
      </c>
      <c r="G280">
        <v>0</v>
      </c>
      <c r="I280" s="3">
        <v>900</v>
      </c>
      <c r="J280" s="3">
        <v>13</v>
      </c>
      <c r="K280" s="3">
        <v>1</v>
      </c>
      <c r="L280">
        <v>0</v>
      </c>
      <c r="M280">
        <v>0</v>
      </c>
      <c r="N280">
        <v>0</v>
      </c>
      <c r="O280">
        <v>0</v>
      </c>
      <c r="Q280" s="3">
        <v>900</v>
      </c>
      <c r="R280" s="3">
        <v>13</v>
      </c>
      <c r="S280" s="3">
        <v>1</v>
      </c>
      <c r="T280">
        <v>90.66</v>
      </c>
      <c r="U280">
        <v>2.0230000000000001E-2</v>
      </c>
      <c r="V280">
        <v>-2.7</v>
      </c>
      <c r="W280">
        <v>6.4</v>
      </c>
      <c r="Y280" s="3">
        <v>910</v>
      </c>
      <c r="Z280" s="3">
        <v>9</v>
      </c>
      <c r="AA280" s="3">
        <v>1</v>
      </c>
      <c r="AB280">
        <v>79.3</v>
      </c>
      <c r="AC280">
        <v>1.3299999999999999E-2</v>
      </c>
    </row>
    <row r="281" spans="1:29" x14ac:dyDescent="0.25">
      <c r="A281" s="3">
        <v>900</v>
      </c>
      <c r="B281" s="3">
        <v>13</v>
      </c>
      <c r="C281" s="3">
        <v>2</v>
      </c>
      <c r="D281">
        <v>0</v>
      </c>
      <c r="E281">
        <v>0</v>
      </c>
      <c r="F281">
        <v>0</v>
      </c>
      <c r="G281">
        <v>0</v>
      </c>
      <c r="I281" s="3">
        <v>900</v>
      </c>
      <c r="J281" s="3">
        <v>13</v>
      </c>
      <c r="K281" s="3">
        <v>2</v>
      </c>
      <c r="L281">
        <v>0</v>
      </c>
      <c r="M281">
        <v>0</v>
      </c>
      <c r="N281">
        <v>0</v>
      </c>
      <c r="O281">
        <v>0</v>
      </c>
      <c r="Q281" s="3">
        <v>900</v>
      </c>
      <c r="R281" s="3">
        <v>13</v>
      </c>
      <c r="S281" s="3">
        <v>2</v>
      </c>
      <c r="T281">
        <v>89.95</v>
      </c>
      <c r="U281">
        <v>2.0209999999999999E-2</v>
      </c>
      <c r="V281">
        <v>-2.2999999999999998</v>
      </c>
      <c r="W281">
        <v>6.1</v>
      </c>
      <c r="Y281" s="3">
        <v>910</v>
      </c>
      <c r="Z281" s="3">
        <v>10</v>
      </c>
      <c r="AA281" s="3">
        <v>1</v>
      </c>
      <c r="AB281">
        <v>84.5</v>
      </c>
      <c r="AC281">
        <v>1.44E-2</v>
      </c>
    </row>
    <row r="282" spans="1:29" x14ac:dyDescent="0.25">
      <c r="A282" s="3">
        <v>900</v>
      </c>
      <c r="B282" s="3">
        <v>14</v>
      </c>
      <c r="C282" s="3">
        <v>1</v>
      </c>
      <c r="D282">
        <v>0</v>
      </c>
      <c r="E282">
        <v>0</v>
      </c>
      <c r="F282">
        <v>0</v>
      </c>
      <c r="G282">
        <v>0</v>
      </c>
      <c r="I282" s="3">
        <v>900</v>
      </c>
      <c r="J282" s="3">
        <v>14</v>
      </c>
      <c r="K282" s="3">
        <v>1</v>
      </c>
      <c r="L282">
        <v>0</v>
      </c>
      <c r="M282">
        <v>0</v>
      </c>
      <c r="N282">
        <v>0</v>
      </c>
      <c r="O282">
        <v>0</v>
      </c>
      <c r="Q282" s="3">
        <v>900</v>
      </c>
      <c r="R282" s="3">
        <v>14</v>
      </c>
      <c r="S282" s="3">
        <v>1</v>
      </c>
      <c r="T282">
        <v>89.79</v>
      </c>
      <c r="U282">
        <v>2.019E-2</v>
      </c>
      <c r="V282">
        <v>-1.6</v>
      </c>
      <c r="W282">
        <v>3.9</v>
      </c>
      <c r="Y282" s="3">
        <v>910</v>
      </c>
      <c r="Z282" s="3">
        <v>11</v>
      </c>
      <c r="AA282" s="3">
        <v>1</v>
      </c>
      <c r="AB282">
        <v>87.5</v>
      </c>
      <c r="AC282">
        <v>1.6199999999999999E-2</v>
      </c>
    </row>
    <row r="283" spans="1:29" x14ac:dyDescent="0.25">
      <c r="A283" s="3">
        <v>900</v>
      </c>
      <c r="B283" s="3">
        <v>14</v>
      </c>
      <c r="C283" s="3">
        <v>2</v>
      </c>
      <c r="D283">
        <v>0</v>
      </c>
      <c r="E283">
        <v>0</v>
      </c>
      <c r="F283">
        <v>0</v>
      </c>
      <c r="G283">
        <v>0</v>
      </c>
      <c r="I283" s="3">
        <v>900</v>
      </c>
      <c r="J283" s="3">
        <v>14</v>
      </c>
      <c r="K283" s="3">
        <v>2</v>
      </c>
      <c r="L283">
        <v>0</v>
      </c>
      <c r="M283">
        <v>0</v>
      </c>
      <c r="N283">
        <v>0</v>
      </c>
      <c r="O283">
        <v>0</v>
      </c>
      <c r="Q283" s="3">
        <v>900</v>
      </c>
      <c r="R283" s="3">
        <v>14</v>
      </c>
      <c r="S283" s="3">
        <v>2</v>
      </c>
      <c r="T283">
        <v>89.74</v>
      </c>
      <c r="U283">
        <v>2.018E-2</v>
      </c>
      <c r="V283">
        <v>-1.6</v>
      </c>
      <c r="W283">
        <v>3.9</v>
      </c>
      <c r="Y283" s="3">
        <v>910</v>
      </c>
      <c r="Z283" s="3">
        <v>12</v>
      </c>
      <c r="AA283" s="3">
        <v>1</v>
      </c>
      <c r="AB283">
        <v>94.3</v>
      </c>
      <c r="AC283">
        <v>1.95E-2</v>
      </c>
    </row>
    <row r="284" spans="1:29" x14ac:dyDescent="0.25">
      <c r="A284" s="3">
        <v>900</v>
      </c>
      <c r="B284" s="3">
        <v>103</v>
      </c>
      <c r="C284" s="3">
        <v>1</v>
      </c>
      <c r="D284">
        <v>0</v>
      </c>
      <c r="E284">
        <v>0</v>
      </c>
      <c r="I284" s="3">
        <v>900</v>
      </c>
      <c r="J284" s="3">
        <v>103</v>
      </c>
      <c r="K284" s="3">
        <v>1</v>
      </c>
      <c r="L284">
        <v>0</v>
      </c>
      <c r="M284">
        <v>0</v>
      </c>
      <c r="Q284" s="3">
        <v>900</v>
      </c>
      <c r="R284" s="3">
        <v>103</v>
      </c>
      <c r="S284" s="3">
        <v>1</v>
      </c>
      <c r="T284">
        <v>87.64</v>
      </c>
      <c r="U284">
        <v>2.0209999999999999E-2</v>
      </c>
      <c r="Y284" s="3">
        <v>910</v>
      </c>
      <c r="Z284" s="3">
        <v>13</v>
      </c>
      <c r="AA284" s="3">
        <v>1</v>
      </c>
      <c r="AB284">
        <v>89.7</v>
      </c>
      <c r="AC284">
        <v>2.0199999999999999E-2</v>
      </c>
    </row>
    <row r="285" spans="1:29" x14ac:dyDescent="0.25">
      <c r="A285" s="3">
        <v>900</v>
      </c>
      <c r="B285" s="3">
        <v>104</v>
      </c>
      <c r="C285" s="3">
        <v>1</v>
      </c>
      <c r="D285">
        <v>0</v>
      </c>
      <c r="E285">
        <v>0</v>
      </c>
      <c r="I285" s="3">
        <v>900</v>
      </c>
      <c r="J285" s="3">
        <v>104</v>
      </c>
      <c r="K285" s="3">
        <v>1</v>
      </c>
      <c r="L285">
        <v>0</v>
      </c>
      <c r="M285">
        <v>0</v>
      </c>
      <c r="Q285" s="3">
        <v>900</v>
      </c>
      <c r="R285" s="3">
        <v>104</v>
      </c>
      <c r="S285" s="3">
        <v>1</v>
      </c>
      <c r="T285">
        <v>89.24</v>
      </c>
      <c r="U285">
        <v>1.9900000000000001E-2</v>
      </c>
      <c r="Y285" s="3">
        <v>910</v>
      </c>
      <c r="Z285" s="3">
        <v>14</v>
      </c>
      <c r="AA285" s="3">
        <v>1</v>
      </c>
      <c r="AB285">
        <v>89.4</v>
      </c>
      <c r="AC285">
        <v>2.0199999999999999E-2</v>
      </c>
    </row>
    <row r="286" spans="1:29" x14ac:dyDescent="0.25">
      <c r="A286" s="3">
        <v>900</v>
      </c>
      <c r="B286" s="3">
        <v>110</v>
      </c>
      <c r="C286" s="3">
        <v>1</v>
      </c>
      <c r="D286">
        <v>0</v>
      </c>
      <c r="E286">
        <v>0</v>
      </c>
      <c r="I286" s="3">
        <v>900</v>
      </c>
      <c r="J286" s="3">
        <v>110</v>
      </c>
      <c r="K286" s="3">
        <v>1</v>
      </c>
      <c r="L286">
        <v>0</v>
      </c>
      <c r="M286">
        <v>0</v>
      </c>
      <c r="Q286" s="3">
        <v>900</v>
      </c>
      <c r="R286" s="3">
        <v>110</v>
      </c>
      <c r="S286" s="3">
        <v>1</v>
      </c>
      <c r="T286">
        <v>87.51</v>
      </c>
      <c r="U286">
        <v>1.7500000000000002E-2</v>
      </c>
      <c r="Y286" s="3">
        <v>910</v>
      </c>
      <c r="Z286" s="3">
        <v>103</v>
      </c>
      <c r="AA286" s="3">
        <v>1</v>
      </c>
      <c r="AB286">
        <v>87.3</v>
      </c>
      <c r="AC286">
        <v>2.0199999999999999E-2</v>
      </c>
    </row>
    <row r="287" spans="1:29" x14ac:dyDescent="0.25">
      <c r="A287" s="3">
        <v>900</v>
      </c>
      <c r="B287" s="3">
        <v>114</v>
      </c>
      <c r="C287" s="3">
        <v>1</v>
      </c>
      <c r="D287">
        <v>0</v>
      </c>
      <c r="E287">
        <v>0</v>
      </c>
      <c r="I287" s="3">
        <v>900</v>
      </c>
      <c r="J287" s="3">
        <v>114</v>
      </c>
      <c r="K287" s="3">
        <v>1</v>
      </c>
      <c r="L287">
        <v>0</v>
      </c>
      <c r="M287">
        <v>0</v>
      </c>
      <c r="Q287" s="3">
        <v>900</v>
      </c>
      <c r="R287" s="3">
        <v>114</v>
      </c>
      <c r="S287" s="3">
        <v>1</v>
      </c>
      <c r="T287">
        <v>90.79</v>
      </c>
      <c r="U287">
        <v>2.0230000000000001E-2</v>
      </c>
      <c r="Y287" s="3">
        <v>910</v>
      </c>
      <c r="Z287" s="3">
        <v>104</v>
      </c>
      <c r="AA287" s="3">
        <v>1</v>
      </c>
      <c r="AB287">
        <v>89.4</v>
      </c>
      <c r="AC287">
        <v>0.02</v>
      </c>
    </row>
    <row r="288" spans="1:29" x14ac:dyDescent="0.25">
      <c r="A288" s="3">
        <v>910</v>
      </c>
      <c r="B288" s="3">
        <v>1</v>
      </c>
      <c r="C288" s="3">
        <v>1</v>
      </c>
      <c r="D288">
        <v>4.4742729306494693E-2</v>
      </c>
      <c r="E288">
        <v>9.9009900990094976E-2</v>
      </c>
      <c r="I288" s="3">
        <v>910</v>
      </c>
      <c r="J288" s="3">
        <v>1</v>
      </c>
      <c r="K288" s="3">
        <v>1</v>
      </c>
      <c r="L288">
        <v>-4.0000000000006253E-2</v>
      </c>
      <c r="M288">
        <v>-1.9999999999999188E-5</v>
      </c>
      <c r="Q288" s="3">
        <v>910</v>
      </c>
      <c r="R288" s="3">
        <v>1</v>
      </c>
      <c r="S288" s="3">
        <v>1</v>
      </c>
      <c r="T288">
        <v>89.36</v>
      </c>
      <c r="U288">
        <v>2.018E-2</v>
      </c>
      <c r="V288">
        <v>-0.2</v>
      </c>
      <c r="W288">
        <v>0.4</v>
      </c>
      <c r="Y288" s="3">
        <v>910</v>
      </c>
      <c r="Z288" s="3">
        <v>110</v>
      </c>
      <c r="AA288" s="3">
        <v>1</v>
      </c>
      <c r="AB288">
        <v>90</v>
      </c>
      <c r="AC288">
        <v>2.0199999999999999E-2</v>
      </c>
    </row>
    <row r="289" spans="1:29" x14ac:dyDescent="0.25">
      <c r="A289" s="3">
        <v>910</v>
      </c>
      <c r="B289" s="3">
        <v>2</v>
      </c>
      <c r="C289" s="3">
        <v>1</v>
      </c>
      <c r="D289">
        <v>0</v>
      </c>
      <c r="E289">
        <v>9.9009900990094976E-2</v>
      </c>
      <c r="I289" s="3">
        <v>910</v>
      </c>
      <c r="J289" s="3">
        <v>2</v>
      </c>
      <c r="K289" s="3">
        <v>1</v>
      </c>
      <c r="L289">
        <v>0</v>
      </c>
      <c r="M289">
        <v>-1.9999999999999188E-5</v>
      </c>
      <c r="Q289" s="3">
        <v>910</v>
      </c>
      <c r="R289" s="3">
        <v>2</v>
      </c>
      <c r="S289" s="3">
        <v>1</v>
      </c>
      <c r="T289">
        <v>88.8</v>
      </c>
      <c r="U289">
        <v>2.018E-2</v>
      </c>
      <c r="V289">
        <v>-0.2</v>
      </c>
      <c r="W289">
        <v>0.4</v>
      </c>
      <c r="Y289" s="3">
        <v>910</v>
      </c>
      <c r="Z289" s="3">
        <v>114</v>
      </c>
      <c r="AA289" s="3">
        <v>1</v>
      </c>
      <c r="AB289">
        <v>89.8</v>
      </c>
      <c r="AC289">
        <v>2.0199999999999999E-2</v>
      </c>
    </row>
    <row r="290" spans="1:29" x14ac:dyDescent="0.25">
      <c r="A290" s="3">
        <v>910</v>
      </c>
      <c r="B290" s="3">
        <v>3</v>
      </c>
      <c r="C290" s="3">
        <v>1</v>
      </c>
      <c r="D290">
        <v>1.1376564277577821E-2</v>
      </c>
      <c r="E290">
        <v>0</v>
      </c>
      <c r="I290" s="3">
        <v>910</v>
      </c>
      <c r="J290" s="3">
        <v>3</v>
      </c>
      <c r="K290" s="3">
        <v>1</v>
      </c>
      <c r="L290">
        <v>9.9999999999909051E-3</v>
      </c>
      <c r="M290">
        <v>0</v>
      </c>
      <c r="Q290" s="3">
        <v>910</v>
      </c>
      <c r="R290" s="3">
        <v>3</v>
      </c>
      <c r="S290" s="3">
        <v>1</v>
      </c>
      <c r="T290">
        <v>87.91</v>
      </c>
      <c r="U290">
        <v>2.0199999999999999E-2</v>
      </c>
      <c r="V290">
        <v>-0.2</v>
      </c>
      <c r="W290">
        <v>0.6</v>
      </c>
      <c r="Y290" s="3">
        <v>920</v>
      </c>
      <c r="Z290" s="3">
        <v>1</v>
      </c>
      <c r="AA290" s="3">
        <v>1</v>
      </c>
      <c r="AB290">
        <v>89.3</v>
      </c>
      <c r="AC290">
        <v>2.0199999999999999E-2</v>
      </c>
    </row>
    <row r="291" spans="1:29" x14ac:dyDescent="0.25">
      <c r="A291" s="3">
        <v>910</v>
      </c>
      <c r="B291" s="3">
        <v>3</v>
      </c>
      <c r="C291" s="3">
        <v>2</v>
      </c>
      <c r="I291" s="3">
        <v>910</v>
      </c>
      <c r="J291" s="3">
        <v>3</v>
      </c>
      <c r="K291" s="3">
        <v>2</v>
      </c>
      <c r="Q291" s="3">
        <v>910</v>
      </c>
      <c r="R291" s="3">
        <v>3</v>
      </c>
      <c r="S291" s="3">
        <v>2</v>
      </c>
      <c r="T291">
        <v>87.4</v>
      </c>
      <c r="U291">
        <v>2.0219999999999998E-2</v>
      </c>
      <c r="V291">
        <v>-0.2</v>
      </c>
      <c r="W291">
        <v>0.6</v>
      </c>
      <c r="Y291" s="3">
        <v>920</v>
      </c>
      <c r="Z291" s="3">
        <v>2</v>
      </c>
      <c r="AA291" s="3">
        <v>1</v>
      </c>
      <c r="AB291">
        <v>88.8</v>
      </c>
      <c r="AC291">
        <v>2.0199999999999999E-2</v>
      </c>
    </row>
    <row r="292" spans="1:29" x14ac:dyDescent="0.25">
      <c r="A292" s="3">
        <v>910</v>
      </c>
      <c r="B292" s="3">
        <v>4</v>
      </c>
      <c r="C292" s="3">
        <v>1</v>
      </c>
      <c r="D292">
        <v>0</v>
      </c>
      <c r="E292">
        <v>0.29239766081872182</v>
      </c>
      <c r="I292" s="3">
        <v>910</v>
      </c>
      <c r="J292" s="3">
        <v>4</v>
      </c>
      <c r="K292" s="3">
        <v>1</v>
      </c>
      <c r="L292">
        <v>0</v>
      </c>
      <c r="M292">
        <v>-5.0000000000001432E-5</v>
      </c>
      <c r="Q292" s="3">
        <v>910</v>
      </c>
      <c r="R292" s="3">
        <v>4</v>
      </c>
      <c r="S292" s="3">
        <v>1</v>
      </c>
      <c r="T292">
        <v>84.3</v>
      </c>
      <c r="U292">
        <v>1.7049999999999999E-2</v>
      </c>
      <c r="V292">
        <v>-1.4</v>
      </c>
      <c r="W292">
        <v>4.7</v>
      </c>
      <c r="Y292" s="3">
        <v>920</v>
      </c>
      <c r="Z292" s="3">
        <v>3</v>
      </c>
      <c r="AA292" s="3">
        <v>1</v>
      </c>
      <c r="AB292">
        <v>87.9</v>
      </c>
      <c r="AC292">
        <v>2.0199999999999999E-2</v>
      </c>
    </row>
    <row r="293" spans="1:29" x14ac:dyDescent="0.25">
      <c r="A293" s="3">
        <v>910</v>
      </c>
      <c r="B293" s="3">
        <v>4</v>
      </c>
      <c r="C293" s="3">
        <v>2</v>
      </c>
      <c r="I293" s="3">
        <v>910</v>
      </c>
      <c r="J293" s="3">
        <v>4</v>
      </c>
      <c r="K293" s="3">
        <v>2</v>
      </c>
      <c r="Q293" s="3">
        <v>910</v>
      </c>
      <c r="R293" s="3">
        <v>4</v>
      </c>
      <c r="S293" s="3">
        <v>2</v>
      </c>
      <c r="T293">
        <v>83.78</v>
      </c>
      <c r="U293">
        <v>1.6830000000000001E-2</v>
      </c>
      <c r="V293">
        <v>-1.4</v>
      </c>
      <c r="W293">
        <v>4.5999999999999996</v>
      </c>
      <c r="Y293" s="3">
        <v>920</v>
      </c>
      <c r="Z293" s="3">
        <v>4</v>
      </c>
      <c r="AA293" s="3">
        <v>1</v>
      </c>
      <c r="AB293">
        <v>83.5</v>
      </c>
      <c r="AC293">
        <v>1.6899999999999998E-2</v>
      </c>
    </row>
    <row r="294" spans="1:29" x14ac:dyDescent="0.25">
      <c r="A294" s="3">
        <v>910</v>
      </c>
      <c r="B294" s="3">
        <v>4</v>
      </c>
      <c r="C294" s="3">
        <v>3</v>
      </c>
      <c r="I294" s="3">
        <v>910</v>
      </c>
      <c r="J294" s="3">
        <v>4</v>
      </c>
      <c r="K294" s="3">
        <v>3</v>
      </c>
      <c r="Q294" s="3">
        <v>910</v>
      </c>
      <c r="R294" s="3">
        <v>4</v>
      </c>
      <c r="S294" s="3">
        <v>3</v>
      </c>
      <c r="T294">
        <v>83.21</v>
      </c>
      <c r="U294">
        <v>1.6459999999999999E-2</v>
      </c>
      <c r="V294">
        <v>-1.4</v>
      </c>
      <c r="W294">
        <v>4.5999999999999996</v>
      </c>
      <c r="Y294" s="3">
        <v>920</v>
      </c>
      <c r="Z294" s="3">
        <v>5</v>
      </c>
      <c r="AA294" s="3">
        <v>1</v>
      </c>
      <c r="AB294">
        <v>87.2</v>
      </c>
      <c r="AC294">
        <v>2.0199999999999999E-2</v>
      </c>
    </row>
    <row r="295" spans="1:29" x14ac:dyDescent="0.25">
      <c r="A295" s="3">
        <v>910</v>
      </c>
      <c r="B295" s="3">
        <v>5</v>
      </c>
      <c r="C295" s="3">
        <v>1</v>
      </c>
      <c r="D295">
        <v>1.145475372278454E-2</v>
      </c>
      <c r="E295">
        <v>9.9009900990094976E-2</v>
      </c>
      <c r="I295" s="3">
        <v>910</v>
      </c>
      <c r="J295" s="3">
        <v>5</v>
      </c>
      <c r="K295" s="3">
        <v>1</v>
      </c>
      <c r="L295">
        <v>-9.9999999999909051E-3</v>
      </c>
      <c r="M295">
        <v>1.9999999999999188E-5</v>
      </c>
      <c r="Q295" s="3">
        <v>910</v>
      </c>
      <c r="R295" s="3">
        <v>5</v>
      </c>
      <c r="S295" s="3">
        <v>1</v>
      </c>
      <c r="T295">
        <v>87.29</v>
      </c>
      <c r="U295">
        <v>2.0219999999999998E-2</v>
      </c>
      <c r="V295">
        <v>-0.2</v>
      </c>
      <c r="W295">
        <v>0.5</v>
      </c>
      <c r="Y295" s="3">
        <v>920</v>
      </c>
      <c r="Z295" s="3">
        <v>6</v>
      </c>
      <c r="AA295" s="3">
        <v>1</v>
      </c>
      <c r="AB295">
        <v>80.599999999999994</v>
      </c>
      <c r="AC295">
        <v>1.4800000000000001E-2</v>
      </c>
    </row>
    <row r="296" spans="1:29" x14ac:dyDescent="0.25">
      <c r="A296" s="3">
        <v>910</v>
      </c>
      <c r="B296" s="3">
        <v>5</v>
      </c>
      <c r="C296" s="3">
        <v>2</v>
      </c>
      <c r="I296" s="3">
        <v>910</v>
      </c>
      <c r="J296" s="3">
        <v>5</v>
      </c>
      <c r="K296" s="3">
        <v>2</v>
      </c>
      <c r="Q296" s="3">
        <v>910</v>
      </c>
      <c r="R296" s="3">
        <v>5</v>
      </c>
      <c r="S296" s="3">
        <v>2</v>
      </c>
      <c r="T296">
        <v>87.14</v>
      </c>
      <c r="U296">
        <v>1.9949999999999999E-2</v>
      </c>
      <c r="V296">
        <v>-0.2</v>
      </c>
      <c r="W296">
        <v>0.5</v>
      </c>
      <c r="Y296" s="3">
        <v>920</v>
      </c>
      <c r="Z296" s="3">
        <v>7</v>
      </c>
      <c r="AA296" s="3">
        <v>1</v>
      </c>
      <c r="AB296">
        <v>78.5</v>
      </c>
      <c r="AC296">
        <v>1.2999999999999999E-2</v>
      </c>
    </row>
    <row r="297" spans="1:29" x14ac:dyDescent="0.25">
      <c r="A297" s="3">
        <v>910</v>
      </c>
      <c r="B297" s="3">
        <v>5</v>
      </c>
      <c r="C297" s="3">
        <v>3</v>
      </c>
      <c r="I297" s="3">
        <v>910</v>
      </c>
      <c r="J297" s="3">
        <v>5</v>
      </c>
      <c r="K297" s="3">
        <v>3</v>
      </c>
      <c r="Q297" s="3">
        <v>910</v>
      </c>
      <c r="R297" s="3">
        <v>5</v>
      </c>
      <c r="S297" s="3">
        <v>3</v>
      </c>
      <c r="T297">
        <v>85.31</v>
      </c>
      <c r="U297">
        <v>1.8280000000000001E-2</v>
      </c>
      <c r="V297">
        <v>-0.1</v>
      </c>
      <c r="W297">
        <v>0.5</v>
      </c>
      <c r="Y297" s="3">
        <v>920</v>
      </c>
      <c r="Z297" s="3">
        <v>8</v>
      </c>
      <c r="AA297" s="3">
        <v>1</v>
      </c>
      <c r="AB297">
        <v>85.7</v>
      </c>
      <c r="AC297">
        <v>1.52E-2</v>
      </c>
    </row>
    <row r="298" spans="1:29" x14ac:dyDescent="0.25">
      <c r="A298" s="3">
        <v>910</v>
      </c>
      <c r="B298" s="3">
        <v>6</v>
      </c>
      <c r="C298" s="3">
        <v>1</v>
      </c>
      <c r="D298">
        <v>4.914004914003936E-2</v>
      </c>
      <c r="E298">
        <v>0.26143790849673271</v>
      </c>
      <c r="I298" s="3">
        <v>910</v>
      </c>
      <c r="J298" s="3">
        <v>6</v>
      </c>
      <c r="K298" s="3">
        <v>1</v>
      </c>
      <c r="L298">
        <v>3.9999999999992042E-2</v>
      </c>
      <c r="M298">
        <v>-4.0000000000000098E-5</v>
      </c>
      <c r="Q298" s="3">
        <v>910</v>
      </c>
      <c r="R298" s="3">
        <v>6</v>
      </c>
      <c r="S298" s="3">
        <v>1</v>
      </c>
      <c r="T298">
        <v>81.44</v>
      </c>
      <c r="U298">
        <v>1.5259999999999999E-2</v>
      </c>
      <c r="V298">
        <v>-0.9</v>
      </c>
      <c r="W298">
        <v>3.8</v>
      </c>
      <c r="Y298" s="3">
        <v>920</v>
      </c>
      <c r="Z298" s="3">
        <v>9</v>
      </c>
      <c r="AA298" s="3">
        <v>1</v>
      </c>
      <c r="AB298">
        <v>79.099999999999994</v>
      </c>
      <c r="AC298">
        <v>1.3299999999999999E-2</v>
      </c>
    </row>
    <row r="299" spans="1:29" x14ac:dyDescent="0.25">
      <c r="A299" s="3">
        <v>910</v>
      </c>
      <c r="B299" s="3">
        <v>6</v>
      </c>
      <c r="C299" s="3">
        <v>2</v>
      </c>
      <c r="I299" s="3">
        <v>910</v>
      </c>
      <c r="J299" s="3">
        <v>6</v>
      </c>
      <c r="K299" s="3">
        <v>2</v>
      </c>
      <c r="Q299" s="3">
        <v>910</v>
      </c>
      <c r="R299" s="3">
        <v>6</v>
      </c>
      <c r="S299" s="3">
        <v>2</v>
      </c>
      <c r="T299">
        <v>80.209999999999994</v>
      </c>
      <c r="U299">
        <v>1.4319999999999999E-2</v>
      </c>
      <c r="V299">
        <v>-1.1000000000000001</v>
      </c>
      <c r="W299">
        <v>3.9</v>
      </c>
      <c r="Y299" s="3">
        <v>920</v>
      </c>
      <c r="Z299" s="3">
        <v>10</v>
      </c>
      <c r="AA299" s="3">
        <v>1</v>
      </c>
      <c r="AB299">
        <v>85.7</v>
      </c>
      <c r="AC299">
        <v>1.5599999999999999E-2</v>
      </c>
    </row>
    <row r="300" spans="1:29" x14ac:dyDescent="0.25">
      <c r="A300" s="3">
        <v>910</v>
      </c>
      <c r="B300" s="3">
        <v>6</v>
      </c>
      <c r="C300" s="3">
        <v>3</v>
      </c>
      <c r="I300" s="3">
        <v>910</v>
      </c>
      <c r="J300" s="3">
        <v>6</v>
      </c>
      <c r="K300" s="3">
        <v>3</v>
      </c>
      <c r="Q300" s="3">
        <v>910</v>
      </c>
      <c r="R300" s="3">
        <v>6</v>
      </c>
      <c r="S300" s="3">
        <v>3</v>
      </c>
      <c r="T300">
        <v>79.239999999999995</v>
      </c>
      <c r="U300">
        <v>1.358E-2</v>
      </c>
      <c r="V300">
        <v>-1.2</v>
      </c>
      <c r="W300">
        <v>4</v>
      </c>
      <c r="Y300" s="3">
        <v>920</v>
      </c>
      <c r="Z300" s="3">
        <v>11</v>
      </c>
      <c r="AA300" s="3">
        <v>1</v>
      </c>
      <c r="AB300">
        <v>86.9</v>
      </c>
      <c r="AC300">
        <v>1.6199999999999999E-2</v>
      </c>
    </row>
    <row r="301" spans="1:29" x14ac:dyDescent="0.25">
      <c r="A301" s="3">
        <v>910</v>
      </c>
      <c r="B301" s="3">
        <v>7</v>
      </c>
      <c r="C301" s="3">
        <v>1</v>
      </c>
      <c r="D301">
        <v>1.265822784810774E-2</v>
      </c>
      <c r="E301">
        <v>0.30303030303030382</v>
      </c>
      <c r="I301" s="3">
        <v>910</v>
      </c>
      <c r="J301" s="3">
        <v>7</v>
      </c>
      <c r="K301" s="3">
        <v>1</v>
      </c>
      <c r="L301">
        <v>-1.0000000000005119E-2</v>
      </c>
      <c r="M301">
        <v>4.0000000000000098E-5</v>
      </c>
      <c r="Q301" s="3">
        <v>910</v>
      </c>
      <c r="R301" s="3">
        <v>7</v>
      </c>
      <c r="S301" s="3">
        <v>1</v>
      </c>
      <c r="T301">
        <v>78.989999999999995</v>
      </c>
      <c r="U301">
        <v>1.324E-2</v>
      </c>
      <c r="V301">
        <v>-115.3</v>
      </c>
      <c r="W301">
        <v>-216.7</v>
      </c>
      <c r="Y301" s="3">
        <v>920</v>
      </c>
      <c r="Z301" s="3">
        <v>12</v>
      </c>
      <c r="AA301" s="3">
        <v>1</v>
      </c>
      <c r="AB301">
        <v>94.3</v>
      </c>
      <c r="AC301">
        <v>1.9699999999999999E-2</v>
      </c>
    </row>
    <row r="302" spans="1:29" x14ac:dyDescent="0.25">
      <c r="A302" s="3">
        <v>910</v>
      </c>
      <c r="B302" s="3">
        <v>8</v>
      </c>
      <c r="C302" s="3">
        <v>1</v>
      </c>
      <c r="D302">
        <v>3.5087719298246937E-2</v>
      </c>
      <c r="E302">
        <v>6.5789473684207844E-2</v>
      </c>
      <c r="I302" s="3">
        <v>910</v>
      </c>
      <c r="J302" s="3">
        <v>8</v>
      </c>
      <c r="K302" s="3">
        <v>1</v>
      </c>
      <c r="L302">
        <v>-3.000000000000114E-2</v>
      </c>
      <c r="M302">
        <v>-9.9999999999995925E-6</v>
      </c>
      <c r="Q302" s="3">
        <v>910</v>
      </c>
      <c r="R302" s="3">
        <v>8</v>
      </c>
      <c r="S302" s="3">
        <v>1</v>
      </c>
      <c r="T302">
        <v>85.47</v>
      </c>
      <c r="U302">
        <v>1.519E-2</v>
      </c>
      <c r="V302">
        <v>16.7</v>
      </c>
      <c r="W302">
        <v>8.1999999999999993</v>
      </c>
      <c r="Y302" s="3">
        <v>920</v>
      </c>
      <c r="Z302" s="3">
        <v>13</v>
      </c>
      <c r="AA302" s="3">
        <v>1</v>
      </c>
      <c r="AB302">
        <v>90.1</v>
      </c>
      <c r="AC302">
        <v>2.0199999999999999E-2</v>
      </c>
    </row>
    <row r="303" spans="1:29" x14ac:dyDescent="0.25">
      <c r="A303" s="3">
        <v>910</v>
      </c>
      <c r="B303" s="3">
        <v>8</v>
      </c>
      <c r="C303" s="3">
        <v>2</v>
      </c>
      <c r="I303" s="3">
        <v>910</v>
      </c>
      <c r="J303" s="3">
        <v>8</v>
      </c>
      <c r="K303" s="3">
        <v>2</v>
      </c>
      <c r="Q303" s="3">
        <v>910</v>
      </c>
      <c r="R303" s="3">
        <v>8</v>
      </c>
      <c r="S303" s="3">
        <v>2</v>
      </c>
      <c r="T303">
        <v>85.57</v>
      </c>
      <c r="U303">
        <v>1.538E-2</v>
      </c>
      <c r="V303">
        <v>-30.8</v>
      </c>
      <c r="W303">
        <v>-153.6</v>
      </c>
      <c r="Y303" s="3">
        <v>920</v>
      </c>
      <c r="Z303" s="3">
        <v>14</v>
      </c>
      <c r="AA303" s="3">
        <v>1</v>
      </c>
      <c r="AB303">
        <v>89.3</v>
      </c>
      <c r="AC303">
        <v>2.0199999999999999E-2</v>
      </c>
    </row>
    <row r="304" spans="1:29" x14ac:dyDescent="0.25">
      <c r="A304" s="3">
        <v>910</v>
      </c>
      <c r="B304" s="3">
        <v>9</v>
      </c>
      <c r="C304" s="3">
        <v>1</v>
      </c>
      <c r="D304">
        <v>1.261034047918147E-2</v>
      </c>
      <c r="E304">
        <v>0</v>
      </c>
      <c r="I304" s="3">
        <v>910</v>
      </c>
      <c r="J304" s="3">
        <v>9</v>
      </c>
      <c r="K304" s="3">
        <v>1</v>
      </c>
      <c r="L304">
        <v>-9.9999999999909051E-3</v>
      </c>
      <c r="M304">
        <v>0</v>
      </c>
      <c r="Q304" s="3">
        <v>910</v>
      </c>
      <c r="R304" s="3">
        <v>9</v>
      </c>
      <c r="S304" s="3">
        <v>1</v>
      </c>
      <c r="T304">
        <v>79.290000000000006</v>
      </c>
      <c r="U304">
        <v>1.3299999999999999E-2</v>
      </c>
      <c r="V304">
        <v>-52.1</v>
      </c>
      <c r="W304">
        <v>-27.9</v>
      </c>
      <c r="Y304" s="3">
        <v>920</v>
      </c>
      <c r="Z304" s="3">
        <v>103</v>
      </c>
      <c r="AA304" s="3">
        <v>1</v>
      </c>
      <c r="AB304">
        <v>87.4</v>
      </c>
      <c r="AC304">
        <v>2.0199999999999999E-2</v>
      </c>
    </row>
    <row r="305" spans="1:29" x14ac:dyDescent="0.25">
      <c r="A305" s="3">
        <v>910</v>
      </c>
      <c r="B305" s="3">
        <v>9</v>
      </c>
      <c r="C305" s="3">
        <v>2</v>
      </c>
      <c r="I305" s="3">
        <v>910</v>
      </c>
      <c r="J305" s="3">
        <v>9</v>
      </c>
      <c r="K305" s="3">
        <v>2</v>
      </c>
      <c r="Q305" s="3">
        <v>910</v>
      </c>
      <c r="R305" s="3">
        <v>9</v>
      </c>
      <c r="S305" s="3">
        <v>2</v>
      </c>
      <c r="T305">
        <v>80.13</v>
      </c>
      <c r="U305">
        <v>1.3339999999999999E-2</v>
      </c>
      <c r="V305">
        <v>-30.1</v>
      </c>
      <c r="W305">
        <v>37.5</v>
      </c>
      <c r="Y305" s="3">
        <v>920</v>
      </c>
      <c r="Z305" s="3">
        <v>104</v>
      </c>
      <c r="AA305" s="3">
        <v>1</v>
      </c>
      <c r="AB305">
        <v>89.6</v>
      </c>
      <c r="AC305">
        <v>2.01E-2</v>
      </c>
    </row>
    <row r="306" spans="1:29" x14ac:dyDescent="0.25">
      <c r="A306" s="3">
        <v>910</v>
      </c>
      <c r="B306" s="3">
        <v>9</v>
      </c>
      <c r="C306" s="3">
        <v>3</v>
      </c>
      <c r="I306" s="3">
        <v>910</v>
      </c>
      <c r="J306" s="3">
        <v>9</v>
      </c>
      <c r="K306" s="3">
        <v>3</v>
      </c>
      <c r="Q306" s="3">
        <v>910</v>
      </c>
      <c r="R306" s="3">
        <v>9</v>
      </c>
      <c r="S306" s="3">
        <v>3</v>
      </c>
      <c r="T306">
        <v>81.209999999999994</v>
      </c>
      <c r="U306">
        <v>1.357E-2</v>
      </c>
      <c r="V306">
        <v>153.9</v>
      </c>
      <c r="W306">
        <v>51.6</v>
      </c>
      <c r="Y306" s="3">
        <v>920</v>
      </c>
      <c r="Z306" s="3">
        <v>110</v>
      </c>
      <c r="AA306" s="3">
        <v>1</v>
      </c>
      <c r="AB306">
        <v>90</v>
      </c>
      <c r="AC306">
        <v>2.0199999999999999E-2</v>
      </c>
    </row>
    <row r="307" spans="1:29" x14ac:dyDescent="0.25">
      <c r="A307" s="3">
        <v>910</v>
      </c>
      <c r="B307" s="3">
        <v>9</v>
      </c>
      <c r="C307" s="3">
        <v>4</v>
      </c>
      <c r="I307" s="3">
        <v>910</v>
      </c>
      <c r="J307" s="3">
        <v>9</v>
      </c>
      <c r="K307" s="3">
        <v>4</v>
      </c>
      <c r="Q307" s="3">
        <v>910</v>
      </c>
      <c r="R307" s="3">
        <v>9</v>
      </c>
      <c r="S307" s="3">
        <v>4</v>
      </c>
      <c r="T307">
        <v>83.25</v>
      </c>
      <c r="U307">
        <v>1.436E-2</v>
      </c>
      <c r="V307">
        <v>63.6</v>
      </c>
      <c r="W307">
        <v>-108.4</v>
      </c>
      <c r="Y307" s="3">
        <v>920</v>
      </c>
      <c r="Z307" s="3">
        <v>114</v>
      </c>
      <c r="AA307" s="3">
        <v>1</v>
      </c>
      <c r="AB307">
        <v>89.5</v>
      </c>
      <c r="AC307">
        <v>2.0199999999999999E-2</v>
      </c>
    </row>
    <row r="308" spans="1:29" x14ac:dyDescent="0.25">
      <c r="A308" s="3">
        <v>910</v>
      </c>
      <c r="B308" s="3">
        <v>10</v>
      </c>
      <c r="C308" s="3">
        <v>1</v>
      </c>
      <c r="D308">
        <v>2.3668639053249729E-2</v>
      </c>
      <c r="E308">
        <v>0.27777777777777851</v>
      </c>
      <c r="I308" s="3">
        <v>910</v>
      </c>
      <c r="J308" s="3">
        <v>10</v>
      </c>
      <c r="K308" s="3">
        <v>1</v>
      </c>
      <c r="L308">
        <v>-1.9999999999996021E-2</v>
      </c>
      <c r="M308">
        <v>-4.0000000000000098E-5</v>
      </c>
      <c r="Q308" s="3">
        <v>910</v>
      </c>
      <c r="R308" s="3">
        <v>10</v>
      </c>
      <c r="S308" s="3">
        <v>1</v>
      </c>
      <c r="T308">
        <v>84.48</v>
      </c>
      <c r="U308">
        <v>1.436E-2</v>
      </c>
      <c r="V308">
        <v>-24</v>
      </c>
      <c r="W308">
        <v>-123.1</v>
      </c>
      <c r="Y308" s="3">
        <v>930</v>
      </c>
      <c r="Z308" s="3">
        <v>1</v>
      </c>
      <c r="AA308" s="3">
        <v>1</v>
      </c>
      <c r="AB308">
        <v>90.9</v>
      </c>
      <c r="AC308">
        <v>2.0199999999999999E-2</v>
      </c>
    </row>
    <row r="309" spans="1:29" x14ac:dyDescent="0.25">
      <c r="A309" s="3">
        <v>910</v>
      </c>
      <c r="B309" s="3">
        <v>10</v>
      </c>
      <c r="C309" s="3">
        <v>2</v>
      </c>
      <c r="I309" s="3">
        <v>910</v>
      </c>
      <c r="J309" s="3">
        <v>10</v>
      </c>
      <c r="K309" s="3">
        <v>2</v>
      </c>
      <c r="Q309" s="3">
        <v>910</v>
      </c>
      <c r="R309" s="3">
        <v>10</v>
      </c>
      <c r="S309" s="3">
        <v>2</v>
      </c>
      <c r="T309">
        <v>84.47</v>
      </c>
      <c r="U309">
        <v>1.494E-2</v>
      </c>
      <c r="V309">
        <v>24.7</v>
      </c>
      <c r="W309">
        <v>23.7</v>
      </c>
      <c r="Y309" s="3">
        <v>930</v>
      </c>
      <c r="Z309" s="3">
        <v>2</v>
      </c>
      <c r="AA309" s="3">
        <v>1</v>
      </c>
      <c r="AB309">
        <v>90.3</v>
      </c>
      <c r="AC309">
        <v>2.0199999999999999E-2</v>
      </c>
    </row>
    <row r="310" spans="1:29" x14ac:dyDescent="0.25">
      <c r="A310" s="3">
        <v>910</v>
      </c>
      <c r="B310" s="3">
        <v>11</v>
      </c>
      <c r="C310" s="3">
        <v>1</v>
      </c>
      <c r="D310">
        <v>2.2857142857138309E-2</v>
      </c>
      <c r="E310">
        <v>0.18518518518519911</v>
      </c>
      <c r="I310" s="3">
        <v>910</v>
      </c>
      <c r="J310" s="3">
        <v>11</v>
      </c>
      <c r="K310" s="3">
        <v>1</v>
      </c>
      <c r="L310">
        <v>1.9999999999996021E-2</v>
      </c>
      <c r="M310">
        <v>3.000000000000225E-5</v>
      </c>
      <c r="Q310" s="3">
        <v>910</v>
      </c>
      <c r="R310" s="3">
        <v>11</v>
      </c>
      <c r="S310" s="3">
        <v>1</v>
      </c>
      <c r="T310">
        <v>87.52</v>
      </c>
      <c r="U310">
        <v>1.6230000000000001E-2</v>
      </c>
      <c r="V310">
        <v>-295.7</v>
      </c>
      <c r="W310">
        <v>-827.7</v>
      </c>
      <c r="Y310" s="3">
        <v>930</v>
      </c>
      <c r="Z310" s="3">
        <v>3</v>
      </c>
      <c r="AA310" s="3">
        <v>1</v>
      </c>
      <c r="AB310">
        <v>88.9</v>
      </c>
      <c r="AC310">
        <v>2.0199999999999999E-2</v>
      </c>
    </row>
    <row r="311" spans="1:29" x14ac:dyDescent="0.25">
      <c r="A311" s="3">
        <v>910</v>
      </c>
      <c r="B311" s="3">
        <v>12</v>
      </c>
      <c r="C311" s="3">
        <v>1</v>
      </c>
      <c r="D311">
        <v>1.060445387063109E-2</v>
      </c>
      <c r="E311">
        <v>0.15384615384614761</v>
      </c>
      <c r="I311" s="3">
        <v>910</v>
      </c>
      <c r="J311" s="3">
        <v>12</v>
      </c>
      <c r="K311" s="3">
        <v>1</v>
      </c>
      <c r="L311">
        <v>1.0000000000005119E-2</v>
      </c>
      <c r="M311">
        <v>2.9999999999998781E-5</v>
      </c>
      <c r="Q311" s="3">
        <v>910</v>
      </c>
      <c r="R311" s="3">
        <v>12</v>
      </c>
      <c r="S311" s="3">
        <v>1</v>
      </c>
      <c r="T311">
        <v>94.31</v>
      </c>
      <c r="U311">
        <v>1.9529999999999999E-2</v>
      </c>
      <c r="V311">
        <v>387.8</v>
      </c>
      <c r="W311">
        <v>19.899999999999999</v>
      </c>
      <c r="Y311" s="3">
        <v>930</v>
      </c>
      <c r="Z311" s="3">
        <v>4</v>
      </c>
      <c r="AA311" s="3">
        <v>1</v>
      </c>
      <c r="AB311">
        <v>83.1</v>
      </c>
      <c r="AC311">
        <v>1.6799999999999999E-2</v>
      </c>
    </row>
    <row r="312" spans="1:29" x14ac:dyDescent="0.25">
      <c r="A312" s="3">
        <v>910</v>
      </c>
      <c r="B312" s="3">
        <v>12</v>
      </c>
      <c r="C312" s="3">
        <v>2</v>
      </c>
      <c r="I312" s="3">
        <v>910</v>
      </c>
      <c r="J312" s="3">
        <v>12</v>
      </c>
      <c r="K312" s="3">
        <v>2</v>
      </c>
      <c r="Q312" s="3">
        <v>910</v>
      </c>
      <c r="R312" s="3">
        <v>12</v>
      </c>
      <c r="S312" s="3">
        <v>2</v>
      </c>
      <c r="T312">
        <v>92.79</v>
      </c>
      <c r="U312">
        <v>0.02</v>
      </c>
      <c r="V312">
        <v>227.4</v>
      </c>
      <c r="W312">
        <v>11.8</v>
      </c>
      <c r="Y312" s="3">
        <v>930</v>
      </c>
      <c r="Z312" s="3">
        <v>5</v>
      </c>
      <c r="AA312" s="3">
        <v>1</v>
      </c>
      <c r="AB312">
        <v>86.9</v>
      </c>
      <c r="AC312">
        <v>2.0199999999999999E-2</v>
      </c>
    </row>
    <row r="313" spans="1:29" x14ac:dyDescent="0.25">
      <c r="A313" s="3">
        <v>910</v>
      </c>
      <c r="B313" s="3">
        <v>12</v>
      </c>
      <c r="C313" s="3">
        <v>3</v>
      </c>
      <c r="I313" s="3">
        <v>910</v>
      </c>
      <c r="J313" s="3">
        <v>12</v>
      </c>
      <c r="K313" s="3">
        <v>3</v>
      </c>
      <c r="Q313" s="3">
        <v>910</v>
      </c>
      <c r="R313" s="3">
        <v>12</v>
      </c>
      <c r="S313" s="3">
        <v>3</v>
      </c>
      <c r="T313">
        <v>91</v>
      </c>
      <c r="U313">
        <v>2.0199999999999999E-2</v>
      </c>
      <c r="V313">
        <v>0.5</v>
      </c>
      <c r="W313">
        <v>1.9</v>
      </c>
      <c r="Y313" s="3">
        <v>930</v>
      </c>
      <c r="Z313" s="3">
        <v>6</v>
      </c>
      <c r="AA313" s="3">
        <v>1</v>
      </c>
      <c r="AB313">
        <v>80.400000000000006</v>
      </c>
      <c r="AC313">
        <v>1.46E-2</v>
      </c>
    </row>
    <row r="314" spans="1:29" x14ac:dyDescent="0.25">
      <c r="A314" s="3">
        <v>910</v>
      </c>
      <c r="B314" s="3">
        <v>13</v>
      </c>
      <c r="C314" s="3">
        <v>1</v>
      </c>
      <c r="D314">
        <v>4.459308807135591E-2</v>
      </c>
      <c r="E314">
        <v>9.9009900990094976E-2</v>
      </c>
      <c r="I314" s="3">
        <v>910</v>
      </c>
      <c r="J314" s="3">
        <v>13</v>
      </c>
      <c r="K314" s="3">
        <v>1</v>
      </c>
      <c r="L314">
        <v>-4.0000000000006253E-2</v>
      </c>
      <c r="M314">
        <v>1.9999999999999188E-5</v>
      </c>
      <c r="Q314" s="3">
        <v>910</v>
      </c>
      <c r="R314" s="3">
        <v>13</v>
      </c>
      <c r="S314" s="3">
        <v>1</v>
      </c>
      <c r="T314">
        <v>89.66</v>
      </c>
      <c r="U314">
        <v>2.0219999999999998E-2</v>
      </c>
      <c r="V314">
        <v>-0.8</v>
      </c>
      <c r="W314">
        <v>3.8</v>
      </c>
      <c r="Y314" s="3">
        <v>930</v>
      </c>
      <c r="Z314" s="3">
        <v>7</v>
      </c>
      <c r="AA314" s="3">
        <v>1</v>
      </c>
      <c r="AB314">
        <v>78.2</v>
      </c>
      <c r="AC314">
        <v>1.3100000000000001E-2</v>
      </c>
    </row>
    <row r="315" spans="1:29" x14ac:dyDescent="0.25">
      <c r="A315" s="3">
        <v>910</v>
      </c>
      <c r="B315" s="3">
        <v>13</v>
      </c>
      <c r="C315" s="3">
        <v>2</v>
      </c>
      <c r="I315" s="3">
        <v>910</v>
      </c>
      <c r="J315" s="3">
        <v>13</v>
      </c>
      <c r="K315" s="3">
        <v>2</v>
      </c>
      <c r="Q315" s="3">
        <v>910</v>
      </c>
      <c r="R315" s="3">
        <v>13</v>
      </c>
      <c r="S315" s="3">
        <v>2</v>
      </c>
      <c r="T315">
        <v>89.34</v>
      </c>
      <c r="U315">
        <v>2.0199999999999999E-2</v>
      </c>
      <c r="V315">
        <v>-0.7</v>
      </c>
      <c r="W315">
        <v>3.8</v>
      </c>
      <c r="Y315" s="3">
        <v>930</v>
      </c>
      <c r="Z315" s="3">
        <v>8</v>
      </c>
      <c r="AA315" s="3">
        <v>1</v>
      </c>
      <c r="AB315">
        <v>85.9</v>
      </c>
      <c r="AC315">
        <v>1.5299999999999999E-2</v>
      </c>
    </row>
    <row r="316" spans="1:29" x14ac:dyDescent="0.25">
      <c r="A316" s="3">
        <v>910</v>
      </c>
      <c r="B316" s="3">
        <v>14</v>
      </c>
      <c r="C316" s="3">
        <v>1</v>
      </c>
      <c r="D316">
        <v>4.4742729306478789E-2</v>
      </c>
      <c r="E316">
        <v>4.9504950495047488E-2</v>
      </c>
      <c r="I316" s="3">
        <v>910</v>
      </c>
      <c r="J316" s="3">
        <v>14</v>
      </c>
      <c r="K316" s="3">
        <v>1</v>
      </c>
      <c r="L316">
        <v>3.9999999999992042E-2</v>
      </c>
      <c r="M316">
        <v>-9.9999999999995925E-6</v>
      </c>
      <c r="Q316" s="3">
        <v>910</v>
      </c>
      <c r="R316" s="3">
        <v>14</v>
      </c>
      <c r="S316" s="3">
        <v>1</v>
      </c>
      <c r="T316">
        <v>89.44</v>
      </c>
      <c r="U316">
        <v>2.019E-2</v>
      </c>
      <c r="V316">
        <v>-0.3</v>
      </c>
      <c r="W316">
        <v>2.5</v>
      </c>
      <c r="Y316" s="3">
        <v>930</v>
      </c>
      <c r="Z316" s="3">
        <v>9</v>
      </c>
      <c r="AA316" s="3">
        <v>1</v>
      </c>
      <c r="AB316">
        <v>78.8</v>
      </c>
      <c r="AC316">
        <v>1.3299999999999999E-2</v>
      </c>
    </row>
    <row r="317" spans="1:29" x14ac:dyDescent="0.25">
      <c r="A317" s="3">
        <v>910</v>
      </c>
      <c r="B317" s="3">
        <v>14</v>
      </c>
      <c r="C317" s="3">
        <v>2</v>
      </c>
      <c r="I317" s="3">
        <v>910</v>
      </c>
      <c r="J317" s="3">
        <v>14</v>
      </c>
      <c r="K317" s="3">
        <v>2</v>
      </c>
      <c r="Q317" s="3">
        <v>910</v>
      </c>
      <c r="R317" s="3">
        <v>14</v>
      </c>
      <c r="S317" s="3">
        <v>2</v>
      </c>
      <c r="T317">
        <v>89.57</v>
      </c>
      <c r="U317">
        <v>2.018E-2</v>
      </c>
      <c r="V317">
        <v>-0.3</v>
      </c>
      <c r="W317">
        <v>2.5</v>
      </c>
      <c r="Y317" s="3">
        <v>930</v>
      </c>
      <c r="Z317" s="3">
        <v>10</v>
      </c>
      <c r="AA317" s="3">
        <v>1</v>
      </c>
      <c r="AB317">
        <v>86.3</v>
      </c>
      <c r="AC317">
        <v>1.6199999999999999E-2</v>
      </c>
    </row>
    <row r="318" spans="1:29" x14ac:dyDescent="0.25">
      <c r="A318" s="3">
        <v>910</v>
      </c>
      <c r="B318" s="3">
        <v>103</v>
      </c>
      <c r="C318" s="3">
        <v>1</v>
      </c>
      <c r="D318">
        <v>4.5819014891186997E-2</v>
      </c>
      <c r="E318">
        <v>9.9009900990094976E-2</v>
      </c>
      <c r="I318" s="3">
        <v>910</v>
      </c>
      <c r="J318" s="3">
        <v>103</v>
      </c>
      <c r="K318" s="3">
        <v>1</v>
      </c>
      <c r="L318">
        <v>4.0000000000006253E-2</v>
      </c>
      <c r="M318">
        <v>1.9999999999999188E-5</v>
      </c>
      <c r="Q318" s="3">
        <v>910</v>
      </c>
      <c r="R318" s="3">
        <v>103</v>
      </c>
      <c r="S318" s="3">
        <v>1</v>
      </c>
      <c r="T318">
        <v>87.34</v>
      </c>
      <c r="U318">
        <v>2.0219999999999998E-2</v>
      </c>
      <c r="Y318" s="3">
        <v>930</v>
      </c>
      <c r="Z318" s="3">
        <v>11</v>
      </c>
      <c r="AA318" s="3">
        <v>1</v>
      </c>
      <c r="AB318">
        <v>82.1</v>
      </c>
      <c r="AC318">
        <v>1.43E-2</v>
      </c>
    </row>
    <row r="319" spans="1:29" x14ac:dyDescent="0.25">
      <c r="A319" s="3">
        <v>910</v>
      </c>
      <c r="B319" s="3">
        <v>104</v>
      </c>
      <c r="C319" s="3">
        <v>1</v>
      </c>
      <c r="D319">
        <v>2.2371364653255291E-2</v>
      </c>
      <c r="E319">
        <v>0</v>
      </c>
      <c r="I319" s="3">
        <v>910</v>
      </c>
      <c r="J319" s="3">
        <v>104</v>
      </c>
      <c r="K319" s="3">
        <v>1</v>
      </c>
      <c r="L319">
        <v>-2.0000000000010228E-2</v>
      </c>
      <c r="M319">
        <v>0</v>
      </c>
      <c r="Q319" s="3">
        <v>910</v>
      </c>
      <c r="R319" s="3">
        <v>104</v>
      </c>
      <c r="S319" s="3">
        <v>1</v>
      </c>
      <c r="T319">
        <v>89.38</v>
      </c>
      <c r="U319">
        <v>0.02</v>
      </c>
      <c r="Y319" s="3">
        <v>930</v>
      </c>
      <c r="Z319" s="3">
        <v>12</v>
      </c>
      <c r="AA319" s="3">
        <v>1</v>
      </c>
      <c r="AB319">
        <v>91.7</v>
      </c>
      <c r="AC319">
        <v>1.8599999999999998E-2</v>
      </c>
    </row>
    <row r="320" spans="1:29" x14ac:dyDescent="0.25">
      <c r="A320" s="3">
        <v>910</v>
      </c>
      <c r="B320" s="3">
        <v>110</v>
      </c>
      <c r="C320" s="3">
        <v>1</v>
      </c>
      <c r="D320">
        <v>5.5555555555552402E-2</v>
      </c>
      <c r="E320">
        <v>0.2475247524752375</v>
      </c>
      <c r="I320" s="3">
        <v>910</v>
      </c>
      <c r="J320" s="3">
        <v>110</v>
      </c>
      <c r="K320" s="3">
        <v>1</v>
      </c>
      <c r="L320">
        <v>-4.9999999999997158E-2</v>
      </c>
      <c r="M320">
        <v>-4.9999999999997963E-5</v>
      </c>
      <c r="Q320" s="3">
        <v>910</v>
      </c>
      <c r="R320" s="3">
        <v>110</v>
      </c>
      <c r="S320" s="3">
        <v>1</v>
      </c>
      <c r="T320">
        <v>89.95</v>
      </c>
      <c r="U320">
        <v>2.0150000000000001E-2</v>
      </c>
      <c r="Y320" s="3">
        <v>930</v>
      </c>
      <c r="Z320" s="3">
        <v>13</v>
      </c>
      <c r="AA320" s="3">
        <v>1</v>
      </c>
      <c r="AB320">
        <v>90.6</v>
      </c>
      <c r="AC320">
        <v>2.0199999999999999E-2</v>
      </c>
    </row>
    <row r="321" spans="1:29" x14ac:dyDescent="0.25">
      <c r="A321" s="3">
        <v>910</v>
      </c>
      <c r="B321" s="3">
        <v>114</v>
      </c>
      <c r="C321" s="3">
        <v>1</v>
      </c>
      <c r="D321">
        <v>2.2271714922044571E-2</v>
      </c>
      <c r="E321">
        <v>9.9009900990094976E-2</v>
      </c>
      <c r="I321" s="3">
        <v>910</v>
      </c>
      <c r="J321" s="3">
        <v>114</v>
      </c>
      <c r="K321" s="3">
        <v>1</v>
      </c>
      <c r="L321">
        <v>-1.9999999999996021E-2</v>
      </c>
      <c r="M321">
        <v>1.9999999999999188E-5</v>
      </c>
      <c r="Q321" s="3">
        <v>910</v>
      </c>
      <c r="R321" s="3">
        <v>114</v>
      </c>
      <c r="S321" s="3">
        <v>1</v>
      </c>
      <c r="T321">
        <v>89.78</v>
      </c>
      <c r="U321">
        <v>2.0219999999999998E-2</v>
      </c>
      <c r="Y321" s="3">
        <v>930</v>
      </c>
      <c r="Z321" s="3">
        <v>14</v>
      </c>
      <c r="AA321" s="3">
        <v>1</v>
      </c>
      <c r="AB321">
        <v>90</v>
      </c>
      <c r="AC321">
        <v>2.0199999999999999E-2</v>
      </c>
    </row>
    <row r="322" spans="1:29" x14ac:dyDescent="0.25">
      <c r="A322" s="3">
        <v>920</v>
      </c>
      <c r="B322" s="3">
        <v>1</v>
      </c>
      <c r="C322" s="3">
        <v>1</v>
      </c>
      <c r="D322">
        <v>1.119820828667986E-2</v>
      </c>
      <c r="E322">
        <v>9.9009900990094976E-2</v>
      </c>
      <c r="I322" s="3">
        <v>920</v>
      </c>
      <c r="J322" s="3">
        <v>1</v>
      </c>
      <c r="K322" s="3">
        <v>1</v>
      </c>
      <c r="L322">
        <v>1.0000000000005119E-2</v>
      </c>
      <c r="M322">
        <v>-1.9999999999999188E-5</v>
      </c>
      <c r="Q322" s="3">
        <v>920</v>
      </c>
      <c r="R322" s="3">
        <v>1</v>
      </c>
      <c r="S322" s="3">
        <v>1</v>
      </c>
      <c r="T322">
        <v>89.31</v>
      </c>
      <c r="U322">
        <v>2.018E-2</v>
      </c>
      <c r="V322">
        <v>-0.2</v>
      </c>
      <c r="W322">
        <v>0.4</v>
      </c>
      <c r="Y322" s="3">
        <v>930</v>
      </c>
      <c r="Z322" s="3">
        <v>103</v>
      </c>
      <c r="AA322" s="3">
        <v>1</v>
      </c>
      <c r="AB322">
        <v>87.3</v>
      </c>
      <c r="AC322">
        <v>2.0199999999999999E-2</v>
      </c>
    </row>
    <row r="323" spans="1:29" x14ac:dyDescent="0.25">
      <c r="A323" s="3">
        <v>920</v>
      </c>
      <c r="B323" s="3">
        <v>2</v>
      </c>
      <c r="C323" s="3">
        <v>1</v>
      </c>
      <c r="D323">
        <v>4.5045045045036078E-2</v>
      </c>
      <c r="E323">
        <v>9.9009900990094976E-2</v>
      </c>
      <c r="I323" s="3">
        <v>920</v>
      </c>
      <c r="J323" s="3">
        <v>2</v>
      </c>
      <c r="K323" s="3">
        <v>1</v>
      </c>
      <c r="L323">
        <v>-3.9999999999992042E-2</v>
      </c>
      <c r="M323">
        <v>-1.9999999999999188E-5</v>
      </c>
      <c r="Q323" s="3">
        <v>920</v>
      </c>
      <c r="R323" s="3">
        <v>2</v>
      </c>
      <c r="S323" s="3">
        <v>1</v>
      </c>
      <c r="T323">
        <v>88.76</v>
      </c>
      <c r="U323">
        <v>2.018E-2</v>
      </c>
      <c r="V323">
        <v>-0.2</v>
      </c>
      <c r="W323">
        <v>0.4</v>
      </c>
      <c r="Y323" s="3">
        <v>930</v>
      </c>
      <c r="Z323" s="3">
        <v>104</v>
      </c>
      <c r="AA323" s="3">
        <v>1</v>
      </c>
      <c r="AB323">
        <v>89.6</v>
      </c>
      <c r="AC323">
        <v>2.01E-2</v>
      </c>
    </row>
    <row r="324" spans="1:29" x14ac:dyDescent="0.25">
      <c r="A324" s="3">
        <v>920</v>
      </c>
      <c r="B324" s="3">
        <v>3</v>
      </c>
      <c r="C324" s="3">
        <v>1</v>
      </c>
      <c r="D324">
        <v>4.5506257110359792E-2</v>
      </c>
      <c r="E324">
        <v>0</v>
      </c>
      <c r="I324" s="3">
        <v>920</v>
      </c>
      <c r="J324" s="3">
        <v>3</v>
      </c>
      <c r="K324" s="3">
        <v>1</v>
      </c>
      <c r="L324">
        <v>-4.0000000000006253E-2</v>
      </c>
      <c r="M324">
        <v>0</v>
      </c>
      <c r="Q324" s="3">
        <v>920</v>
      </c>
      <c r="R324" s="3">
        <v>3</v>
      </c>
      <c r="S324" s="3">
        <v>1</v>
      </c>
      <c r="T324">
        <v>87.86</v>
      </c>
      <c r="U324">
        <v>2.0199999999999999E-2</v>
      </c>
      <c r="V324">
        <v>-0.3</v>
      </c>
      <c r="W324">
        <v>0.7</v>
      </c>
      <c r="Y324" s="3">
        <v>930</v>
      </c>
      <c r="Z324" s="3">
        <v>110</v>
      </c>
      <c r="AA324" s="3">
        <v>1</v>
      </c>
      <c r="AB324">
        <v>90</v>
      </c>
      <c r="AC324">
        <v>2.0199999999999999E-2</v>
      </c>
    </row>
    <row r="325" spans="1:29" x14ac:dyDescent="0.25">
      <c r="A325" s="3">
        <v>920</v>
      </c>
      <c r="B325" s="3">
        <v>3</v>
      </c>
      <c r="C325" s="3">
        <v>2</v>
      </c>
      <c r="I325" s="3">
        <v>920</v>
      </c>
      <c r="J325" s="3">
        <v>3</v>
      </c>
      <c r="K325" s="3">
        <v>2</v>
      </c>
      <c r="Q325" s="3">
        <v>920</v>
      </c>
      <c r="R325" s="3">
        <v>3</v>
      </c>
      <c r="S325" s="3">
        <v>2</v>
      </c>
      <c r="T325">
        <v>87.33</v>
      </c>
      <c r="U325">
        <v>2.0219999999999998E-2</v>
      </c>
      <c r="V325">
        <v>-0.3</v>
      </c>
      <c r="W325">
        <v>0.7</v>
      </c>
      <c r="Y325" s="3">
        <v>930</v>
      </c>
      <c r="Z325" s="3">
        <v>114</v>
      </c>
      <c r="AA325" s="3">
        <v>1</v>
      </c>
      <c r="AB325">
        <v>90.9</v>
      </c>
      <c r="AC325">
        <v>2.0199999999999999E-2</v>
      </c>
    </row>
    <row r="326" spans="1:29" x14ac:dyDescent="0.25">
      <c r="A326" s="3">
        <v>920</v>
      </c>
      <c r="B326" s="3">
        <v>4</v>
      </c>
      <c r="C326" s="3">
        <v>1</v>
      </c>
      <c r="D326">
        <v>3.5928143712576209E-2</v>
      </c>
      <c r="E326">
        <v>0.23668639053253479</v>
      </c>
      <c r="I326" s="3">
        <v>920</v>
      </c>
      <c r="J326" s="3">
        <v>4</v>
      </c>
      <c r="K326" s="3">
        <v>1</v>
      </c>
      <c r="L326">
        <v>-3.000000000000114E-2</v>
      </c>
      <c r="M326">
        <v>-3.999999999999837E-5</v>
      </c>
      <c r="Q326" s="3">
        <v>920</v>
      </c>
      <c r="R326" s="3">
        <v>4</v>
      </c>
      <c r="S326" s="3">
        <v>1</v>
      </c>
      <c r="T326">
        <v>83.47</v>
      </c>
      <c r="U326">
        <v>1.686E-2</v>
      </c>
      <c r="V326">
        <v>-0.6</v>
      </c>
      <c r="W326">
        <v>3.3</v>
      </c>
      <c r="Y326" s="3">
        <v>940</v>
      </c>
      <c r="Z326" s="3">
        <v>1</v>
      </c>
      <c r="AA326" s="3">
        <v>1</v>
      </c>
      <c r="AB326">
        <v>89.8</v>
      </c>
      <c r="AC326">
        <v>2.0199999999999999E-2</v>
      </c>
    </row>
    <row r="327" spans="1:29" x14ac:dyDescent="0.25">
      <c r="A327" s="3">
        <v>920</v>
      </c>
      <c r="B327" s="3">
        <v>4</v>
      </c>
      <c r="C327" s="3">
        <v>2</v>
      </c>
      <c r="I327" s="3">
        <v>920</v>
      </c>
      <c r="J327" s="3">
        <v>4</v>
      </c>
      <c r="K327" s="3">
        <v>2</v>
      </c>
      <c r="Q327" s="3">
        <v>920</v>
      </c>
      <c r="R327" s="3">
        <v>4</v>
      </c>
      <c r="S327" s="3">
        <v>2</v>
      </c>
      <c r="T327">
        <v>83.16</v>
      </c>
      <c r="U327">
        <v>1.6639999999999999E-2</v>
      </c>
      <c r="V327">
        <v>-0.6</v>
      </c>
      <c r="W327">
        <v>3.3</v>
      </c>
      <c r="Y327" s="3">
        <v>940</v>
      </c>
      <c r="Z327" s="3">
        <v>2</v>
      </c>
      <c r="AA327" s="3">
        <v>1</v>
      </c>
      <c r="AB327">
        <v>90</v>
      </c>
      <c r="AC327">
        <v>2.0199999999999999E-2</v>
      </c>
    </row>
    <row r="328" spans="1:29" x14ac:dyDescent="0.25">
      <c r="A328" s="3">
        <v>920</v>
      </c>
      <c r="B328" s="3">
        <v>4</v>
      </c>
      <c r="C328" s="3">
        <v>3</v>
      </c>
      <c r="I328" s="3">
        <v>920</v>
      </c>
      <c r="J328" s="3">
        <v>4</v>
      </c>
      <c r="K328" s="3">
        <v>3</v>
      </c>
      <c r="Q328" s="3">
        <v>920</v>
      </c>
      <c r="R328" s="3">
        <v>4</v>
      </c>
      <c r="S328" s="3">
        <v>3</v>
      </c>
      <c r="T328">
        <v>83.38</v>
      </c>
      <c r="U328">
        <v>1.6639999999999999E-2</v>
      </c>
      <c r="V328">
        <v>-0.7</v>
      </c>
      <c r="W328">
        <v>3.4</v>
      </c>
      <c r="Y328" s="3">
        <v>940</v>
      </c>
      <c r="Z328" s="3">
        <v>3</v>
      </c>
      <c r="AA328" s="3">
        <v>1</v>
      </c>
      <c r="AB328">
        <v>91.1</v>
      </c>
      <c r="AC328">
        <v>2.0199999999999999E-2</v>
      </c>
    </row>
    <row r="329" spans="1:29" x14ac:dyDescent="0.25">
      <c r="A329" s="3">
        <v>920</v>
      </c>
      <c r="B329" s="3">
        <v>5</v>
      </c>
      <c r="C329" s="3">
        <v>1</v>
      </c>
      <c r="D329">
        <v>5.7339449541281153E-2</v>
      </c>
      <c r="E329">
        <v>4.9504950495047488E-2</v>
      </c>
      <c r="I329" s="3">
        <v>920</v>
      </c>
      <c r="J329" s="3">
        <v>5</v>
      </c>
      <c r="K329" s="3">
        <v>1</v>
      </c>
      <c r="L329">
        <v>-4.9999999999997158E-2</v>
      </c>
      <c r="M329">
        <v>9.9999999999995925E-6</v>
      </c>
      <c r="Q329" s="3">
        <v>920</v>
      </c>
      <c r="R329" s="3">
        <v>5</v>
      </c>
      <c r="S329" s="3">
        <v>1</v>
      </c>
      <c r="T329">
        <v>87.15</v>
      </c>
      <c r="U329">
        <v>2.0209999999999999E-2</v>
      </c>
      <c r="V329">
        <v>-0.9</v>
      </c>
      <c r="W329">
        <v>1.3</v>
      </c>
      <c r="Y329" s="3">
        <v>940</v>
      </c>
      <c r="Z329" s="3">
        <v>4</v>
      </c>
      <c r="AA329" s="3">
        <v>1</v>
      </c>
      <c r="AB329">
        <v>83</v>
      </c>
      <c r="AC329">
        <v>1.6799999999999999E-2</v>
      </c>
    </row>
    <row r="330" spans="1:29" x14ac:dyDescent="0.25">
      <c r="A330" s="3">
        <v>920</v>
      </c>
      <c r="B330" s="3">
        <v>5</v>
      </c>
      <c r="C330" s="3">
        <v>2</v>
      </c>
      <c r="I330" s="3">
        <v>920</v>
      </c>
      <c r="J330" s="3">
        <v>5</v>
      </c>
      <c r="K330" s="3">
        <v>2</v>
      </c>
      <c r="Q330" s="3">
        <v>920</v>
      </c>
      <c r="R330" s="3">
        <v>5</v>
      </c>
      <c r="S330" s="3">
        <v>2</v>
      </c>
      <c r="T330">
        <v>86.99</v>
      </c>
      <c r="U330">
        <v>1.9959999999999999E-2</v>
      </c>
      <c r="V330">
        <v>-0.9</v>
      </c>
      <c r="W330">
        <v>1.3</v>
      </c>
      <c r="Y330" s="3">
        <v>940</v>
      </c>
      <c r="Z330" s="3">
        <v>5</v>
      </c>
      <c r="AA330" s="3">
        <v>1</v>
      </c>
      <c r="AB330">
        <v>90.5</v>
      </c>
      <c r="AC330">
        <v>2.0199999999999999E-2</v>
      </c>
    </row>
    <row r="331" spans="1:29" x14ac:dyDescent="0.25">
      <c r="A331" s="3">
        <v>920</v>
      </c>
      <c r="B331" s="3">
        <v>5</v>
      </c>
      <c r="C331" s="3">
        <v>3</v>
      </c>
      <c r="I331" s="3">
        <v>920</v>
      </c>
      <c r="J331" s="3">
        <v>5</v>
      </c>
      <c r="K331" s="3">
        <v>3</v>
      </c>
      <c r="Q331" s="3">
        <v>920</v>
      </c>
      <c r="R331" s="3">
        <v>5</v>
      </c>
      <c r="S331" s="3">
        <v>3</v>
      </c>
      <c r="T331">
        <v>85.31</v>
      </c>
      <c r="U331">
        <v>1.8380000000000001E-2</v>
      </c>
      <c r="V331">
        <v>-1</v>
      </c>
      <c r="W331">
        <v>1.4</v>
      </c>
      <c r="Y331" s="3">
        <v>940</v>
      </c>
      <c r="Z331" s="3">
        <v>6</v>
      </c>
      <c r="AA331" s="3">
        <v>1</v>
      </c>
      <c r="AB331">
        <v>80.3</v>
      </c>
      <c r="AC331">
        <v>1.46E-2</v>
      </c>
    </row>
    <row r="332" spans="1:29" x14ac:dyDescent="0.25">
      <c r="A332" s="3">
        <v>920</v>
      </c>
      <c r="B332" s="3">
        <v>6</v>
      </c>
      <c r="C332" s="3">
        <v>1</v>
      </c>
      <c r="D332">
        <v>4.9627791563283202E-2</v>
      </c>
      <c r="E332">
        <v>0.2027027027027061</v>
      </c>
      <c r="I332" s="3">
        <v>920</v>
      </c>
      <c r="J332" s="3">
        <v>6</v>
      </c>
      <c r="K332" s="3">
        <v>1</v>
      </c>
      <c r="L332">
        <v>4.0000000000006253E-2</v>
      </c>
      <c r="M332">
        <v>-3.0000000000000509E-5</v>
      </c>
      <c r="Q332" s="3">
        <v>920</v>
      </c>
      <c r="R332" s="3">
        <v>6</v>
      </c>
      <c r="S332" s="3">
        <v>1</v>
      </c>
      <c r="T332">
        <v>80.64</v>
      </c>
      <c r="U332">
        <v>1.477E-2</v>
      </c>
      <c r="V332">
        <v>0.6</v>
      </c>
      <c r="W332">
        <v>1.9</v>
      </c>
      <c r="Y332" s="3">
        <v>940</v>
      </c>
      <c r="Z332" s="3">
        <v>7</v>
      </c>
      <c r="AA332" s="3">
        <v>1</v>
      </c>
      <c r="AB332">
        <v>79.5</v>
      </c>
      <c r="AC332">
        <v>1.4500000000000001E-2</v>
      </c>
    </row>
    <row r="333" spans="1:29" x14ac:dyDescent="0.25">
      <c r="A333" s="3">
        <v>920</v>
      </c>
      <c r="B333" s="3">
        <v>6</v>
      </c>
      <c r="C333" s="3">
        <v>2</v>
      </c>
      <c r="I333" s="3">
        <v>920</v>
      </c>
      <c r="J333" s="3">
        <v>6</v>
      </c>
      <c r="K333" s="3">
        <v>2</v>
      </c>
      <c r="Q333" s="3">
        <v>920</v>
      </c>
      <c r="R333" s="3">
        <v>6</v>
      </c>
      <c r="S333" s="3">
        <v>2</v>
      </c>
      <c r="T333">
        <v>79.72</v>
      </c>
      <c r="U333">
        <v>1.4E-2</v>
      </c>
      <c r="V333">
        <v>0.5</v>
      </c>
      <c r="W333">
        <v>2</v>
      </c>
      <c r="Y333" s="3">
        <v>940</v>
      </c>
      <c r="Z333" s="3">
        <v>8</v>
      </c>
      <c r="AA333" s="3">
        <v>1</v>
      </c>
      <c r="AB333">
        <v>85.1</v>
      </c>
      <c r="AC333">
        <v>1.5100000000000001E-2</v>
      </c>
    </row>
    <row r="334" spans="1:29" x14ac:dyDescent="0.25">
      <c r="A334" s="3">
        <v>920</v>
      </c>
      <c r="B334" s="3">
        <v>6</v>
      </c>
      <c r="C334" s="3">
        <v>3</v>
      </c>
      <c r="I334" s="3">
        <v>920</v>
      </c>
      <c r="J334" s="3">
        <v>6</v>
      </c>
      <c r="K334" s="3">
        <v>3</v>
      </c>
      <c r="Q334" s="3">
        <v>920</v>
      </c>
      <c r="R334" s="3">
        <v>6</v>
      </c>
      <c r="S334" s="3">
        <v>3</v>
      </c>
      <c r="T334">
        <v>79.63</v>
      </c>
      <c r="U334">
        <v>1.387E-2</v>
      </c>
      <c r="V334">
        <v>0.5</v>
      </c>
      <c r="W334">
        <v>2</v>
      </c>
      <c r="Y334" s="3">
        <v>940</v>
      </c>
      <c r="Z334" s="3">
        <v>9</v>
      </c>
      <c r="AA334" s="3">
        <v>1</v>
      </c>
      <c r="AB334">
        <v>78.400000000000006</v>
      </c>
      <c r="AC334">
        <v>1.3299999999999999E-2</v>
      </c>
    </row>
    <row r="335" spans="1:29" x14ac:dyDescent="0.25">
      <c r="A335" s="3">
        <v>920</v>
      </c>
      <c r="B335" s="3">
        <v>7</v>
      </c>
      <c r="C335" s="3">
        <v>1</v>
      </c>
      <c r="D335">
        <v>1.273885350319123E-2</v>
      </c>
      <c r="E335">
        <v>0.30769230769230849</v>
      </c>
      <c r="I335" s="3">
        <v>920</v>
      </c>
      <c r="J335" s="3">
        <v>7</v>
      </c>
      <c r="K335" s="3">
        <v>1</v>
      </c>
      <c r="L335">
        <v>-1.0000000000005119E-2</v>
      </c>
      <c r="M335">
        <v>-4.0000000000000098E-5</v>
      </c>
      <c r="Q335" s="3">
        <v>920</v>
      </c>
      <c r="R335" s="3">
        <v>7</v>
      </c>
      <c r="S335" s="3">
        <v>1</v>
      </c>
      <c r="T335">
        <v>78.489999999999995</v>
      </c>
      <c r="U335">
        <v>1.2959999999999999E-2</v>
      </c>
      <c r="V335">
        <v>-113.8</v>
      </c>
      <c r="W335">
        <v>-218.5</v>
      </c>
      <c r="Y335" s="3">
        <v>940</v>
      </c>
      <c r="Z335" s="3">
        <v>10</v>
      </c>
      <c r="AA335" s="3">
        <v>1</v>
      </c>
      <c r="AB335">
        <v>86</v>
      </c>
      <c r="AC335">
        <v>1.5900000000000001E-2</v>
      </c>
    </row>
    <row r="336" spans="1:29" x14ac:dyDescent="0.25">
      <c r="A336" s="3">
        <v>920</v>
      </c>
      <c r="B336" s="3">
        <v>8</v>
      </c>
      <c r="C336" s="3">
        <v>1</v>
      </c>
      <c r="D336">
        <v>2.3337222870473771E-2</v>
      </c>
      <c r="E336">
        <v>0.26315789473684281</v>
      </c>
      <c r="I336" s="3">
        <v>920</v>
      </c>
      <c r="J336" s="3">
        <v>8</v>
      </c>
      <c r="K336" s="3">
        <v>1</v>
      </c>
      <c r="L336">
        <v>-1.9999999999996021E-2</v>
      </c>
      <c r="M336">
        <v>4.0000000000000098E-5</v>
      </c>
      <c r="Q336" s="3">
        <v>920</v>
      </c>
      <c r="R336" s="3">
        <v>8</v>
      </c>
      <c r="S336" s="3">
        <v>1</v>
      </c>
      <c r="T336">
        <v>85.68</v>
      </c>
      <c r="U336">
        <v>1.524E-2</v>
      </c>
      <c r="V336">
        <v>16.7</v>
      </c>
      <c r="W336">
        <v>8.1999999999999993</v>
      </c>
      <c r="Y336" s="3">
        <v>940</v>
      </c>
      <c r="Z336" s="3">
        <v>11</v>
      </c>
      <c r="AA336" s="3">
        <v>1</v>
      </c>
      <c r="AB336">
        <v>78</v>
      </c>
      <c r="AC336">
        <v>1.2800000000000001E-2</v>
      </c>
    </row>
    <row r="337" spans="1:29" x14ac:dyDescent="0.25">
      <c r="A337" s="3">
        <v>920</v>
      </c>
      <c r="B337" s="3">
        <v>8</v>
      </c>
      <c r="C337" s="3">
        <v>2</v>
      </c>
      <c r="I337" s="3">
        <v>920</v>
      </c>
      <c r="J337" s="3">
        <v>8</v>
      </c>
      <c r="K337" s="3">
        <v>2</v>
      </c>
      <c r="Q337" s="3">
        <v>920</v>
      </c>
      <c r="R337" s="3">
        <v>8</v>
      </c>
      <c r="S337" s="3">
        <v>2</v>
      </c>
      <c r="T337">
        <v>85.59</v>
      </c>
      <c r="U337">
        <v>1.54E-2</v>
      </c>
      <c r="V337">
        <v>-30.8</v>
      </c>
      <c r="W337">
        <v>-153.6</v>
      </c>
      <c r="Y337" s="3">
        <v>940</v>
      </c>
      <c r="Z337" s="3">
        <v>12</v>
      </c>
      <c r="AA337" s="3">
        <v>1</v>
      </c>
      <c r="AB337">
        <v>89.4</v>
      </c>
      <c r="AC337">
        <v>1.77E-2</v>
      </c>
    </row>
    <row r="338" spans="1:29" x14ac:dyDescent="0.25">
      <c r="A338" s="3">
        <v>920</v>
      </c>
      <c r="B338" s="3">
        <v>9</v>
      </c>
      <c r="C338" s="3">
        <v>1</v>
      </c>
      <c r="D338">
        <v>3.7926675094818132E-2</v>
      </c>
      <c r="E338">
        <v>0.15037593984961789</v>
      </c>
      <c r="I338" s="3">
        <v>920</v>
      </c>
      <c r="J338" s="3">
        <v>9</v>
      </c>
      <c r="K338" s="3">
        <v>1</v>
      </c>
      <c r="L338">
        <v>-3.000000000000114E-2</v>
      </c>
      <c r="M338">
        <v>-1.9999999999999188E-5</v>
      </c>
      <c r="Q338" s="3">
        <v>920</v>
      </c>
      <c r="R338" s="3">
        <v>9</v>
      </c>
      <c r="S338" s="3">
        <v>1</v>
      </c>
      <c r="T338">
        <v>79.069999999999993</v>
      </c>
      <c r="U338">
        <v>1.328E-2</v>
      </c>
      <c r="V338">
        <v>-50.9</v>
      </c>
      <c r="W338">
        <v>-29.5</v>
      </c>
      <c r="Y338" s="3">
        <v>940</v>
      </c>
      <c r="Z338" s="3">
        <v>13</v>
      </c>
      <c r="AA338" s="3">
        <v>1</v>
      </c>
      <c r="AB338">
        <v>90.4</v>
      </c>
      <c r="AC338">
        <v>2.0199999999999999E-2</v>
      </c>
    </row>
    <row r="339" spans="1:29" x14ac:dyDescent="0.25">
      <c r="A339" s="3">
        <v>920</v>
      </c>
      <c r="B339" s="3">
        <v>9</v>
      </c>
      <c r="C339" s="3">
        <v>2</v>
      </c>
      <c r="I339" s="3">
        <v>920</v>
      </c>
      <c r="J339" s="3">
        <v>9</v>
      </c>
      <c r="K339" s="3">
        <v>2</v>
      </c>
      <c r="Q339" s="3">
        <v>920</v>
      </c>
      <c r="R339" s="3">
        <v>9</v>
      </c>
      <c r="S339" s="3">
        <v>2</v>
      </c>
      <c r="T339">
        <v>80.290000000000006</v>
      </c>
      <c r="U339">
        <v>1.355E-2</v>
      </c>
      <c r="V339">
        <v>-29</v>
      </c>
      <c r="W339">
        <v>36</v>
      </c>
      <c r="Y339" s="3">
        <v>940</v>
      </c>
      <c r="Z339" s="3">
        <v>14</v>
      </c>
      <c r="AA339" s="3">
        <v>1</v>
      </c>
      <c r="AB339">
        <v>90</v>
      </c>
      <c r="AC339">
        <v>2.0199999999999999E-2</v>
      </c>
    </row>
    <row r="340" spans="1:29" x14ac:dyDescent="0.25">
      <c r="A340" s="3">
        <v>920</v>
      </c>
      <c r="B340" s="3">
        <v>9</v>
      </c>
      <c r="C340" s="3">
        <v>3</v>
      </c>
      <c r="I340" s="3">
        <v>920</v>
      </c>
      <c r="J340" s="3">
        <v>9</v>
      </c>
      <c r="K340" s="3">
        <v>3</v>
      </c>
      <c r="Q340" s="3">
        <v>920</v>
      </c>
      <c r="R340" s="3">
        <v>9</v>
      </c>
      <c r="S340" s="3">
        <v>3</v>
      </c>
      <c r="T340">
        <v>82.13</v>
      </c>
      <c r="U340">
        <v>1.4120000000000001E-2</v>
      </c>
      <c r="V340">
        <v>-32.9</v>
      </c>
      <c r="W340">
        <v>41.9</v>
      </c>
      <c r="Y340" s="3">
        <v>940</v>
      </c>
      <c r="Z340" s="3">
        <v>103</v>
      </c>
      <c r="AA340" s="3">
        <v>1</v>
      </c>
      <c r="AB340">
        <v>87.5</v>
      </c>
      <c r="AC340">
        <v>2.0199999999999999E-2</v>
      </c>
    </row>
    <row r="341" spans="1:29" x14ac:dyDescent="0.25">
      <c r="A341" s="3">
        <v>920</v>
      </c>
      <c r="B341" s="3">
        <v>9</v>
      </c>
      <c r="C341" s="3">
        <v>4</v>
      </c>
      <c r="I341" s="3">
        <v>920</v>
      </c>
      <c r="J341" s="3">
        <v>9</v>
      </c>
      <c r="K341" s="3">
        <v>4</v>
      </c>
      <c r="Q341" s="3">
        <v>920</v>
      </c>
      <c r="R341" s="3">
        <v>9</v>
      </c>
      <c r="S341" s="3">
        <v>4</v>
      </c>
      <c r="T341">
        <v>84.34</v>
      </c>
      <c r="U341">
        <v>1.5010000000000001E-2</v>
      </c>
      <c r="V341">
        <v>-131</v>
      </c>
      <c r="W341">
        <v>-118.5</v>
      </c>
      <c r="Y341" s="3">
        <v>940</v>
      </c>
      <c r="Z341" s="3">
        <v>104</v>
      </c>
      <c r="AA341" s="3">
        <v>1</v>
      </c>
      <c r="AB341">
        <v>88.2</v>
      </c>
      <c r="AC341">
        <v>1.9300000000000001E-2</v>
      </c>
    </row>
    <row r="342" spans="1:29" x14ac:dyDescent="0.25">
      <c r="A342" s="3">
        <v>920</v>
      </c>
      <c r="B342" s="3">
        <v>10</v>
      </c>
      <c r="C342" s="3">
        <v>1</v>
      </c>
      <c r="D342">
        <v>2.3337222870473771E-2</v>
      </c>
      <c r="E342">
        <v>6.4102564102572618E-2</v>
      </c>
      <c r="I342" s="3">
        <v>920</v>
      </c>
      <c r="J342" s="3">
        <v>10</v>
      </c>
      <c r="K342" s="3">
        <v>1</v>
      </c>
      <c r="L342">
        <v>-1.9999999999996021E-2</v>
      </c>
      <c r="M342">
        <v>1.0000000000001331E-5</v>
      </c>
      <c r="Q342" s="3">
        <v>920</v>
      </c>
      <c r="R342" s="3">
        <v>10</v>
      </c>
      <c r="S342" s="3">
        <v>1</v>
      </c>
      <c r="T342">
        <v>85.68</v>
      </c>
      <c r="U342">
        <v>1.5610000000000001E-2</v>
      </c>
      <c r="V342">
        <v>-24</v>
      </c>
      <c r="W342">
        <v>-123.1</v>
      </c>
      <c r="Y342" s="3">
        <v>940</v>
      </c>
      <c r="Z342" s="3">
        <v>110</v>
      </c>
      <c r="AA342" s="3">
        <v>1</v>
      </c>
      <c r="AB342">
        <v>85.4</v>
      </c>
      <c r="AC342">
        <v>1.5100000000000001E-2</v>
      </c>
    </row>
    <row r="343" spans="1:29" x14ac:dyDescent="0.25">
      <c r="A343" s="3">
        <v>920</v>
      </c>
      <c r="B343" s="3">
        <v>10</v>
      </c>
      <c r="C343" s="3">
        <v>2</v>
      </c>
      <c r="I343" s="3">
        <v>920</v>
      </c>
      <c r="J343" s="3">
        <v>10</v>
      </c>
      <c r="K343" s="3">
        <v>2</v>
      </c>
      <c r="Q343" s="3">
        <v>920</v>
      </c>
      <c r="R343" s="3">
        <v>10</v>
      </c>
      <c r="S343" s="3">
        <v>2</v>
      </c>
      <c r="T343">
        <v>84.91</v>
      </c>
      <c r="U343">
        <v>1.502E-2</v>
      </c>
      <c r="V343">
        <v>24.7</v>
      </c>
      <c r="W343">
        <v>23.7</v>
      </c>
      <c r="Y343" s="3">
        <v>940</v>
      </c>
      <c r="Z343" s="3">
        <v>114</v>
      </c>
      <c r="AA343" s="3">
        <v>1</v>
      </c>
      <c r="AB343">
        <v>91.1</v>
      </c>
      <c r="AC343">
        <v>2.0199999999999999E-2</v>
      </c>
    </row>
    <row r="344" spans="1:29" x14ac:dyDescent="0.25">
      <c r="A344" s="3">
        <v>920</v>
      </c>
      <c r="B344" s="3">
        <v>11</v>
      </c>
      <c r="C344" s="3">
        <v>1</v>
      </c>
      <c r="D344">
        <v>4.6029919447631809E-2</v>
      </c>
      <c r="E344">
        <v>6.172839506172588E-2</v>
      </c>
      <c r="I344" s="3">
        <v>920</v>
      </c>
      <c r="J344" s="3">
        <v>11</v>
      </c>
      <c r="K344" s="3">
        <v>1</v>
      </c>
      <c r="L344">
        <v>3.9999999999992042E-2</v>
      </c>
      <c r="M344">
        <v>9.9999999999995925E-6</v>
      </c>
      <c r="Q344" s="3">
        <v>920</v>
      </c>
      <c r="R344" s="3">
        <v>11</v>
      </c>
      <c r="S344" s="3">
        <v>1</v>
      </c>
      <c r="T344">
        <v>86.94</v>
      </c>
      <c r="U344">
        <v>1.6209999999999999E-2</v>
      </c>
      <c r="V344">
        <v>-490.8</v>
      </c>
      <c r="W344">
        <v>-837.3</v>
      </c>
      <c r="Y344" s="3">
        <v>950</v>
      </c>
      <c r="Z344" s="3">
        <v>1</v>
      </c>
      <c r="AA344" s="3">
        <v>1</v>
      </c>
      <c r="AB344">
        <v>89.5</v>
      </c>
      <c r="AC344">
        <v>2.0199999999999999E-2</v>
      </c>
    </row>
    <row r="345" spans="1:29" x14ac:dyDescent="0.25">
      <c r="A345" s="3">
        <v>920</v>
      </c>
      <c r="B345" s="3">
        <v>12</v>
      </c>
      <c r="C345" s="3">
        <v>1</v>
      </c>
      <c r="D345">
        <v>1.060445387063109E-2</v>
      </c>
      <c r="E345">
        <v>0.15228426395940231</v>
      </c>
      <c r="I345" s="3">
        <v>920</v>
      </c>
      <c r="J345" s="3">
        <v>12</v>
      </c>
      <c r="K345" s="3">
        <v>1</v>
      </c>
      <c r="L345">
        <v>1.0000000000005119E-2</v>
      </c>
      <c r="M345">
        <v>3.000000000000225E-5</v>
      </c>
      <c r="Q345" s="3">
        <v>920</v>
      </c>
      <c r="R345" s="3">
        <v>12</v>
      </c>
      <c r="S345" s="3">
        <v>1</v>
      </c>
      <c r="T345">
        <v>94.31</v>
      </c>
      <c r="U345">
        <v>1.9730000000000001E-2</v>
      </c>
      <c r="V345">
        <v>0.7</v>
      </c>
      <c r="W345">
        <v>1.6</v>
      </c>
      <c r="Y345" s="3">
        <v>950</v>
      </c>
      <c r="Z345" s="3">
        <v>2</v>
      </c>
      <c r="AA345" s="3">
        <v>1</v>
      </c>
      <c r="AB345">
        <v>89.2</v>
      </c>
      <c r="AC345">
        <v>2.0199999999999999E-2</v>
      </c>
    </row>
    <row r="346" spans="1:29" x14ac:dyDescent="0.25">
      <c r="A346" s="3">
        <v>920</v>
      </c>
      <c r="B346" s="3">
        <v>12</v>
      </c>
      <c r="C346" s="3">
        <v>2</v>
      </c>
      <c r="I346" s="3">
        <v>920</v>
      </c>
      <c r="J346" s="3">
        <v>12</v>
      </c>
      <c r="K346" s="3">
        <v>2</v>
      </c>
      <c r="Q346" s="3">
        <v>920</v>
      </c>
      <c r="R346" s="3">
        <v>12</v>
      </c>
      <c r="S346" s="3">
        <v>2</v>
      </c>
      <c r="T346">
        <v>93.48</v>
      </c>
      <c r="U346">
        <v>2.0150000000000001E-2</v>
      </c>
      <c r="V346">
        <v>70.3</v>
      </c>
      <c r="W346">
        <v>5</v>
      </c>
      <c r="Y346" s="3">
        <v>950</v>
      </c>
      <c r="Z346" s="3">
        <v>3</v>
      </c>
      <c r="AA346" s="3">
        <v>1</v>
      </c>
      <c r="AB346">
        <v>89.2</v>
      </c>
      <c r="AC346">
        <v>2.0199999999999999E-2</v>
      </c>
    </row>
    <row r="347" spans="1:29" x14ac:dyDescent="0.25">
      <c r="A347" s="3">
        <v>920</v>
      </c>
      <c r="B347" s="3">
        <v>12</v>
      </c>
      <c r="C347" s="3">
        <v>3</v>
      </c>
      <c r="I347" s="3">
        <v>920</v>
      </c>
      <c r="J347" s="3">
        <v>12</v>
      </c>
      <c r="K347" s="3">
        <v>3</v>
      </c>
      <c r="Q347" s="3">
        <v>920</v>
      </c>
      <c r="R347" s="3">
        <v>12</v>
      </c>
      <c r="S347" s="3">
        <v>3</v>
      </c>
      <c r="T347">
        <v>91.8</v>
      </c>
      <c r="U347">
        <v>2.0230000000000001E-2</v>
      </c>
      <c r="V347">
        <v>299.3</v>
      </c>
      <c r="W347">
        <v>15.5</v>
      </c>
      <c r="Y347" s="3">
        <v>950</v>
      </c>
      <c r="Z347" s="3">
        <v>4</v>
      </c>
      <c r="AA347" s="3">
        <v>1</v>
      </c>
      <c r="AB347">
        <v>82.5</v>
      </c>
      <c r="AC347">
        <v>1.66E-2</v>
      </c>
    </row>
    <row r="348" spans="1:29" x14ac:dyDescent="0.25">
      <c r="A348" s="3">
        <v>920</v>
      </c>
      <c r="B348" s="3">
        <v>13</v>
      </c>
      <c r="C348" s="3">
        <v>1</v>
      </c>
      <c r="D348">
        <v>5.5493895671488762E-2</v>
      </c>
      <c r="E348">
        <v>0.14851485148515961</v>
      </c>
      <c r="I348" s="3">
        <v>920</v>
      </c>
      <c r="J348" s="3">
        <v>13</v>
      </c>
      <c r="K348" s="3">
        <v>1</v>
      </c>
      <c r="L348">
        <v>5.0000000000011369E-2</v>
      </c>
      <c r="M348">
        <v>3.000000000000225E-5</v>
      </c>
      <c r="Q348" s="3">
        <v>920</v>
      </c>
      <c r="R348" s="3">
        <v>13</v>
      </c>
      <c r="S348" s="3">
        <v>1</v>
      </c>
      <c r="T348">
        <v>90.15</v>
      </c>
      <c r="U348">
        <v>2.0230000000000001E-2</v>
      </c>
      <c r="V348">
        <v>357.9</v>
      </c>
      <c r="W348">
        <v>20</v>
      </c>
      <c r="Y348" s="3">
        <v>950</v>
      </c>
      <c r="Z348" s="3">
        <v>5</v>
      </c>
      <c r="AA348" s="3">
        <v>1</v>
      </c>
      <c r="AB348">
        <v>90</v>
      </c>
      <c r="AC348">
        <v>2.0299999999999999E-2</v>
      </c>
    </row>
    <row r="349" spans="1:29" x14ac:dyDescent="0.25">
      <c r="A349" s="3">
        <v>920</v>
      </c>
      <c r="B349" s="3">
        <v>13</v>
      </c>
      <c r="C349" s="3">
        <v>2</v>
      </c>
      <c r="I349" s="3">
        <v>920</v>
      </c>
      <c r="J349" s="3">
        <v>13</v>
      </c>
      <c r="K349" s="3">
        <v>2</v>
      </c>
      <c r="Q349" s="3">
        <v>920</v>
      </c>
      <c r="R349" s="3">
        <v>13</v>
      </c>
      <c r="S349" s="3">
        <v>2</v>
      </c>
      <c r="T349">
        <v>89.31</v>
      </c>
      <c r="U349">
        <v>2.0209999999999999E-2</v>
      </c>
      <c r="V349">
        <v>277.2</v>
      </c>
      <c r="W349">
        <v>15.2</v>
      </c>
      <c r="Y349" s="3">
        <v>950</v>
      </c>
      <c r="Z349" s="3">
        <v>6</v>
      </c>
      <c r="AA349" s="3">
        <v>1</v>
      </c>
      <c r="AB349">
        <v>81</v>
      </c>
      <c r="AC349">
        <v>1.54E-2</v>
      </c>
    </row>
    <row r="350" spans="1:29" x14ac:dyDescent="0.25">
      <c r="A350" s="3">
        <v>920</v>
      </c>
      <c r="B350" s="3">
        <v>14</v>
      </c>
      <c r="C350" s="3">
        <v>1</v>
      </c>
      <c r="D350">
        <v>1.119820828667986E-2</v>
      </c>
      <c r="E350">
        <v>4.9504950495047488E-2</v>
      </c>
      <c r="I350" s="3">
        <v>920</v>
      </c>
      <c r="J350" s="3">
        <v>14</v>
      </c>
      <c r="K350" s="3">
        <v>1</v>
      </c>
      <c r="L350">
        <v>1.0000000000005119E-2</v>
      </c>
      <c r="M350">
        <v>-9.9999999999995925E-6</v>
      </c>
      <c r="Q350" s="3">
        <v>920</v>
      </c>
      <c r="R350" s="3">
        <v>14</v>
      </c>
      <c r="S350" s="3">
        <v>1</v>
      </c>
      <c r="T350">
        <v>89.31</v>
      </c>
      <c r="U350">
        <v>2.019E-2</v>
      </c>
      <c r="V350">
        <v>1</v>
      </c>
      <c r="W350">
        <v>1.1000000000000001</v>
      </c>
      <c r="Y350" s="3">
        <v>950</v>
      </c>
      <c r="Z350" s="3">
        <v>7</v>
      </c>
      <c r="AA350" s="3">
        <v>1</v>
      </c>
      <c r="AB350">
        <v>81.900000000000006</v>
      </c>
      <c r="AC350">
        <v>1.4500000000000001E-2</v>
      </c>
    </row>
    <row r="351" spans="1:29" x14ac:dyDescent="0.25">
      <c r="A351" s="3">
        <v>920</v>
      </c>
      <c r="B351" s="3">
        <v>14</v>
      </c>
      <c r="C351" s="3">
        <v>2</v>
      </c>
      <c r="I351" s="3">
        <v>920</v>
      </c>
      <c r="J351" s="3">
        <v>14</v>
      </c>
      <c r="K351" s="3">
        <v>2</v>
      </c>
      <c r="Q351" s="3">
        <v>920</v>
      </c>
      <c r="R351" s="3">
        <v>14</v>
      </c>
      <c r="S351" s="3">
        <v>2</v>
      </c>
      <c r="T351">
        <v>89.5</v>
      </c>
      <c r="U351">
        <v>2.018E-2</v>
      </c>
      <c r="V351">
        <v>1</v>
      </c>
      <c r="W351">
        <v>1.1000000000000001</v>
      </c>
      <c r="Y351" s="3">
        <v>950</v>
      </c>
      <c r="Z351" s="3">
        <v>8</v>
      </c>
      <c r="AA351" s="3">
        <v>1</v>
      </c>
      <c r="AB351">
        <v>84.7</v>
      </c>
      <c r="AC351">
        <v>1.4999999999999999E-2</v>
      </c>
    </row>
    <row r="352" spans="1:29" x14ac:dyDescent="0.25">
      <c r="A352" s="3">
        <v>920</v>
      </c>
      <c r="B352" s="3">
        <v>103</v>
      </c>
      <c r="C352" s="3">
        <v>1</v>
      </c>
      <c r="D352">
        <v>2.2883295194519711E-2</v>
      </c>
      <c r="E352">
        <v>9.9009900990094976E-2</v>
      </c>
      <c r="I352" s="3">
        <v>920</v>
      </c>
      <c r="J352" s="3">
        <v>103</v>
      </c>
      <c r="K352" s="3">
        <v>1</v>
      </c>
      <c r="L352">
        <v>-2.0000000000010228E-2</v>
      </c>
      <c r="M352">
        <v>1.9999999999999188E-5</v>
      </c>
      <c r="Q352" s="3">
        <v>920</v>
      </c>
      <c r="R352" s="3">
        <v>103</v>
      </c>
      <c r="S352" s="3">
        <v>1</v>
      </c>
      <c r="T352">
        <v>87.38</v>
      </c>
      <c r="U352">
        <v>2.0219999999999998E-2</v>
      </c>
      <c r="Y352" s="3">
        <v>950</v>
      </c>
      <c r="Z352" s="3">
        <v>9</v>
      </c>
      <c r="AA352" s="3">
        <v>1</v>
      </c>
      <c r="AB352">
        <v>80.900000000000006</v>
      </c>
      <c r="AC352">
        <v>1.3599999999999999E-2</v>
      </c>
    </row>
    <row r="353" spans="1:29" x14ac:dyDescent="0.25">
      <c r="A353" s="3">
        <v>920</v>
      </c>
      <c r="B353" s="3">
        <v>104</v>
      </c>
      <c r="C353" s="3">
        <v>1</v>
      </c>
      <c r="D353">
        <v>3.3482142857144133E-2</v>
      </c>
      <c r="E353">
        <v>4.9751243781092497E-2</v>
      </c>
      <c r="I353" s="3">
        <v>920</v>
      </c>
      <c r="J353" s="3">
        <v>104</v>
      </c>
      <c r="K353" s="3">
        <v>1</v>
      </c>
      <c r="L353">
        <v>-3.000000000000114E-2</v>
      </c>
      <c r="M353">
        <v>9.9999999999995925E-6</v>
      </c>
      <c r="Q353" s="3">
        <v>920</v>
      </c>
      <c r="R353" s="3">
        <v>104</v>
      </c>
      <c r="S353" s="3">
        <v>1</v>
      </c>
      <c r="T353">
        <v>89.57</v>
      </c>
      <c r="U353">
        <v>2.0109999999999999E-2</v>
      </c>
      <c r="Y353" s="3">
        <v>950</v>
      </c>
      <c r="Z353" s="3">
        <v>10</v>
      </c>
      <c r="AA353" s="3">
        <v>1</v>
      </c>
      <c r="AB353">
        <v>85.6</v>
      </c>
      <c r="AC353">
        <v>1.55E-2</v>
      </c>
    </row>
    <row r="354" spans="1:29" x14ac:dyDescent="0.25">
      <c r="A354" s="3">
        <v>920</v>
      </c>
      <c r="B354" s="3">
        <v>110</v>
      </c>
      <c r="C354" s="3">
        <v>1</v>
      </c>
      <c r="D354">
        <v>3.3333333333334603E-2</v>
      </c>
      <c r="E354">
        <v>0.14851485148514251</v>
      </c>
      <c r="I354" s="3">
        <v>920</v>
      </c>
      <c r="J354" s="3">
        <v>110</v>
      </c>
      <c r="K354" s="3">
        <v>1</v>
      </c>
      <c r="L354">
        <v>-3.000000000000114E-2</v>
      </c>
      <c r="M354">
        <v>-2.9999999999998781E-5</v>
      </c>
      <c r="Q354" s="3">
        <v>920</v>
      </c>
      <c r="R354" s="3">
        <v>110</v>
      </c>
      <c r="S354" s="3">
        <v>1</v>
      </c>
      <c r="T354">
        <v>89.97</v>
      </c>
      <c r="U354">
        <v>2.017E-2</v>
      </c>
      <c r="Y354" s="3">
        <v>950</v>
      </c>
      <c r="Z354" s="3">
        <v>11</v>
      </c>
      <c r="AA354" s="3">
        <v>1</v>
      </c>
      <c r="AB354">
        <v>75.3</v>
      </c>
      <c r="AC354">
        <v>1.18E-2</v>
      </c>
    </row>
    <row r="355" spans="1:29" x14ac:dyDescent="0.25">
      <c r="A355" s="3">
        <v>920</v>
      </c>
      <c r="B355" s="3">
        <v>114</v>
      </c>
      <c r="C355" s="3">
        <v>1</v>
      </c>
      <c r="D355">
        <v>0</v>
      </c>
      <c r="E355">
        <v>9.9009900990094976E-2</v>
      </c>
      <c r="I355" s="3">
        <v>920</v>
      </c>
      <c r="J355" s="3">
        <v>114</v>
      </c>
      <c r="K355" s="3">
        <v>1</v>
      </c>
      <c r="L355">
        <v>0</v>
      </c>
      <c r="M355">
        <v>1.9999999999999188E-5</v>
      </c>
      <c r="Q355" s="3">
        <v>920</v>
      </c>
      <c r="R355" s="3">
        <v>114</v>
      </c>
      <c r="S355" s="3">
        <v>1</v>
      </c>
      <c r="T355">
        <v>89.5</v>
      </c>
      <c r="U355">
        <v>2.0219999999999998E-2</v>
      </c>
      <c r="Y355" s="3">
        <v>950</v>
      </c>
      <c r="Z355" s="3">
        <v>12</v>
      </c>
      <c r="AA355" s="3">
        <v>1</v>
      </c>
      <c r="AB355">
        <v>86.2</v>
      </c>
      <c r="AC355">
        <v>1.6299999999999999E-2</v>
      </c>
    </row>
    <row r="356" spans="1:29" x14ac:dyDescent="0.25">
      <c r="A356" s="3">
        <v>930</v>
      </c>
      <c r="B356" s="3">
        <v>1</v>
      </c>
      <c r="C356" s="3">
        <v>1</v>
      </c>
      <c r="D356">
        <v>0</v>
      </c>
      <c r="E356">
        <v>0</v>
      </c>
      <c r="I356" s="3">
        <v>930</v>
      </c>
      <c r="J356" s="3">
        <v>1</v>
      </c>
      <c r="K356" s="3">
        <v>1</v>
      </c>
      <c r="L356">
        <v>0</v>
      </c>
      <c r="M356">
        <v>0</v>
      </c>
      <c r="Q356" s="3">
        <v>930</v>
      </c>
      <c r="R356" s="3">
        <v>1</v>
      </c>
      <c r="S356" s="3">
        <v>1</v>
      </c>
      <c r="T356">
        <v>90.9</v>
      </c>
      <c r="U356">
        <v>2.0199999999999999E-2</v>
      </c>
      <c r="V356">
        <v>171.4</v>
      </c>
      <c r="W356">
        <v>4.4000000000000004</v>
      </c>
      <c r="Y356" s="3">
        <v>950</v>
      </c>
      <c r="Z356" s="3">
        <v>13</v>
      </c>
      <c r="AA356" s="3">
        <v>1</v>
      </c>
      <c r="AB356">
        <v>90.3</v>
      </c>
      <c r="AC356">
        <v>2.0199999999999999E-2</v>
      </c>
    </row>
    <row r="357" spans="1:29" x14ac:dyDescent="0.25">
      <c r="A357" s="3">
        <v>930</v>
      </c>
      <c r="B357" s="3">
        <v>2</v>
      </c>
      <c r="C357" s="3">
        <v>1</v>
      </c>
      <c r="D357">
        <v>3.3222591362127497E-2</v>
      </c>
      <c r="E357">
        <v>4.9504950495047488E-2</v>
      </c>
      <c r="I357" s="3">
        <v>930</v>
      </c>
      <c r="J357" s="3">
        <v>2</v>
      </c>
      <c r="K357" s="3">
        <v>1</v>
      </c>
      <c r="L357">
        <v>3.000000000000114E-2</v>
      </c>
      <c r="M357">
        <v>9.9999999999995925E-6</v>
      </c>
      <c r="Q357" s="3">
        <v>930</v>
      </c>
      <c r="R357" s="3">
        <v>2</v>
      </c>
      <c r="S357" s="3">
        <v>1</v>
      </c>
      <c r="T357">
        <v>90.33</v>
      </c>
      <c r="U357">
        <v>2.0209999999999999E-2</v>
      </c>
      <c r="V357">
        <v>171.8</v>
      </c>
      <c r="W357">
        <v>4.3</v>
      </c>
      <c r="Y357" s="3">
        <v>950</v>
      </c>
      <c r="Z357" s="3">
        <v>14</v>
      </c>
      <c r="AA357" s="3">
        <v>1</v>
      </c>
      <c r="AB357">
        <v>89.8</v>
      </c>
      <c r="AC357">
        <v>2.0199999999999999E-2</v>
      </c>
    </row>
    <row r="358" spans="1:29" x14ac:dyDescent="0.25">
      <c r="A358" s="3">
        <v>930</v>
      </c>
      <c r="B358" s="3">
        <v>3</v>
      </c>
      <c r="C358" s="3">
        <v>1</v>
      </c>
      <c r="D358">
        <v>2.249718785151408E-2</v>
      </c>
      <c r="E358">
        <v>4.9504950495047488E-2</v>
      </c>
      <c r="I358" s="3">
        <v>930</v>
      </c>
      <c r="J358" s="3">
        <v>3</v>
      </c>
      <c r="K358" s="3">
        <v>1</v>
      </c>
      <c r="L358">
        <v>1.9999999999996021E-2</v>
      </c>
      <c r="M358">
        <v>9.9999999999995925E-6</v>
      </c>
      <c r="Q358" s="3">
        <v>930</v>
      </c>
      <c r="R358" s="3">
        <v>3</v>
      </c>
      <c r="S358" s="3">
        <v>1</v>
      </c>
      <c r="T358">
        <v>88.92</v>
      </c>
      <c r="U358">
        <v>2.0209999999999999E-2</v>
      </c>
      <c r="V358">
        <v>344.4</v>
      </c>
      <c r="W358">
        <v>8.5</v>
      </c>
      <c r="Y358" s="3">
        <v>950</v>
      </c>
      <c r="Z358" s="3">
        <v>103</v>
      </c>
      <c r="AA358" s="3">
        <v>1</v>
      </c>
      <c r="AB358">
        <v>88.2</v>
      </c>
      <c r="AC358">
        <v>2.0199999999999999E-2</v>
      </c>
    </row>
    <row r="359" spans="1:29" x14ac:dyDescent="0.25">
      <c r="A359" s="3">
        <v>930</v>
      </c>
      <c r="B359" s="3">
        <v>3</v>
      </c>
      <c r="C359" s="3">
        <v>2</v>
      </c>
      <c r="I359" s="3">
        <v>930</v>
      </c>
      <c r="J359" s="3">
        <v>3</v>
      </c>
      <c r="K359" s="3">
        <v>2</v>
      </c>
      <c r="Q359" s="3">
        <v>930</v>
      </c>
      <c r="R359" s="3">
        <v>3</v>
      </c>
      <c r="S359" s="3">
        <v>2</v>
      </c>
      <c r="T359">
        <v>87.16</v>
      </c>
      <c r="U359">
        <v>2.0219999999999998E-2</v>
      </c>
      <c r="V359">
        <v>73</v>
      </c>
      <c r="W359">
        <v>6.3</v>
      </c>
      <c r="Y359" s="3">
        <v>950</v>
      </c>
      <c r="Z359" s="3">
        <v>104</v>
      </c>
      <c r="AA359" s="3">
        <v>1</v>
      </c>
      <c r="AB359">
        <v>84.4</v>
      </c>
      <c r="AC359">
        <v>1.72E-2</v>
      </c>
    </row>
    <row r="360" spans="1:29" x14ac:dyDescent="0.25">
      <c r="A360" s="3">
        <v>930</v>
      </c>
      <c r="B360" s="3">
        <v>4</v>
      </c>
      <c r="C360" s="3">
        <v>1</v>
      </c>
      <c r="D360">
        <v>4.8134777376662163E-2</v>
      </c>
      <c r="E360">
        <v>5.9523809523807099E-2</v>
      </c>
      <c r="I360" s="3">
        <v>930</v>
      </c>
      <c r="J360" s="3">
        <v>4</v>
      </c>
      <c r="K360" s="3">
        <v>1</v>
      </c>
      <c r="L360">
        <v>4.0000000000006253E-2</v>
      </c>
      <c r="M360">
        <v>-9.9999999999995925E-6</v>
      </c>
      <c r="Q360" s="3">
        <v>930</v>
      </c>
      <c r="R360" s="3">
        <v>4</v>
      </c>
      <c r="S360" s="3">
        <v>1</v>
      </c>
      <c r="T360">
        <v>83.14</v>
      </c>
      <c r="U360">
        <v>1.6789999999999999E-2</v>
      </c>
      <c r="V360">
        <v>0</v>
      </c>
      <c r="W360">
        <v>2.6</v>
      </c>
      <c r="Y360" s="3">
        <v>950</v>
      </c>
      <c r="Z360" s="3">
        <v>110</v>
      </c>
      <c r="AA360" s="3">
        <v>1</v>
      </c>
      <c r="AB360">
        <v>89.5</v>
      </c>
      <c r="AC360">
        <v>1.9699999999999999E-2</v>
      </c>
    </row>
    <row r="361" spans="1:29" x14ac:dyDescent="0.25">
      <c r="A361" s="3">
        <v>930</v>
      </c>
      <c r="B361" s="3">
        <v>4</v>
      </c>
      <c r="C361" s="3">
        <v>2</v>
      </c>
      <c r="I361" s="3">
        <v>930</v>
      </c>
      <c r="J361" s="3">
        <v>4</v>
      </c>
      <c r="K361" s="3">
        <v>2</v>
      </c>
      <c r="Q361" s="3">
        <v>930</v>
      </c>
      <c r="R361" s="3">
        <v>4</v>
      </c>
      <c r="S361" s="3">
        <v>2</v>
      </c>
      <c r="T361">
        <v>83.23</v>
      </c>
      <c r="U361">
        <v>1.6760000000000001E-2</v>
      </c>
      <c r="V361">
        <v>0</v>
      </c>
      <c r="W361">
        <v>2.6</v>
      </c>
      <c r="Y361" s="3">
        <v>950</v>
      </c>
      <c r="Z361" s="3">
        <v>114</v>
      </c>
      <c r="AA361" s="3">
        <v>1</v>
      </c>
      <c r="AB361">
        <v>91.2</v>
      </c>
      <c r="AC361">
        <v>2.01E-2</v>
      </c>
    </row>
    <row r="362" spans="1:29" x14ac:dyDescent="0.25">
      <c r="A362" s="3">
        <v>930</v>
      </c>
      <c r="B362" s="3">
        <v>4</v>
      </c>
      <c r="C362" s="3">
        <v>3</v>
      </c>
      <c r="I362" s="3">
        <v>930</v>
      </c>
      <c r="J362" s="3">
        <v>4</v>
      </c>
      <c r="K362" s="3">
        <v>3</v>
      </c>
      <c r="Q362" s="3">
        <v>930</v>
      </c>
      <c r="R362" s="3">
        <v>4</v>
      </c>
      <c r="S362" s="3">
        <v>3</v>
      </c>
      <c r="T362">
        <v>83.86</v>
      </c>
      <c r="U362">
        <v>1.6969999999999999E-2</v>
      </c>
      <c r="V362">
        <v>-0.1</v>
      </c>
      <c r="W362">
        <v>2.7</v>
      </c>
      <c r="Y362" s="3">
        <v>960</v>
      </c>
      <c r="Z362" s="3">
        <v>1</v>
      </c>
      <c r="AA362" s="3">
        <v>1</v>
      </c>
      <c r="AB362">
        <v>89.5</v>
      </c>
      <c r="AC362">
        <v>2.0199999999999999E-2</v>
      </c>
    </row>
    <row r="363" spans="1:29" x14ac:dyDescent="0.25">
      <c r="A363" s="3">
        <v>930</v>
      </c>
      <c r="B363" s="3">
        <v>5</v>
      </c>
      <c r="C363" s="3">
        <v>1</v>
      </c>
      <c r="D363">
        <v>2.301495972383226E-2</v>
      </c>
      <c r="E363">
        <v>9.9009900990094976E-2</v>
      </c>
      <c r="I363" s="3">
        <v>930</v>
      </c>
      <c r="J363" s="3">
        <v>5</v>
      </c>
      <c r="K363" s="3">
        <v>1</v>
      </c>
      <c r="L363">
        <v>-2.0000000000010228E-2</v>
      </c>
      <c r="M363">
        <v>1.9999999999999188E-5</v>
      </c>
      <c r="Q363" s="3">
        <v>930</v>
      </c>
      <c r="R363" s="3">
        <v>5</v>
      </c>
      <c r="S363" s="3">
        <v>1</v>
      </c>
      <c r="T363">
        <v>86.88</v>
      </c>
      <c r="U363">
        <v>2.0219999999999998E-2</v>
      </c>
      <c r="V363">
        <v>-2</v>
      </c>
      <c r="W363">
        <v>2.5</v>
      </c>
      <c r="Y363" s="3">
        <v>960</v>
      </c>
      <c r="Z363" s="3">
        <v>2</v>
      </c>
      <c r="AA363" s="3">
        <v>1</v>
      </c>
      <c r="AB363">
        <v>89</v>
      </c>
      <c r="AC363">
        <v>2.0199999999999999E-2</v>
      </c>
    </row>
    <row r="364" spans="1:29" x14ac:dyDescent="0.25">
      <c r="A364" s="3">
        <v>930</v>
      </c>
      <c r="B364" s="3">
        <v>5</v>
      </c>
      <c r="C364" s="3">
        <v>2</v>
      </c>
      <c r="I364" s="3">
        <v>930</v>
      </c>
      <c r="J364" s="3">
        <v>5</v>
      </c>
      <c r="K364" s="3">
        <v>2</v>
      </c>
      <c r="Q364" s="3">
        <v>930</v>
      </c>
      <c r="R364" s="3">
        <v>5</v>
      </c>
      <c r="S364" s="3">
        <v>2</v>
      </c>
      <c r="T364">
        <v>86.7</v>
      </c>
      <c r="U364">
        <v>2.0049999999999998E-2</v>
      </c>
      <c r="V364">
        <v>-2</v>
      </c>
      <c r="W364">
        <v>2.6</v>
      </c>
      <c r="Y364" s="3">
        <v>960</v>
      </c>
      <c r="Z364" s="3">
        <v>3</v>
      </c>
      <c r="AA364" s="3">
        <v>1</v>
      </c>
      <c r="AB364">
        <v>88.5</v>
      </c>
      <c r="AC364">
        <v>2.0199999999999999E-2</v>
      </c>
    </row>
    <row r="365" spans="1:29" x14ac:dyDescent="0.25">
      <c r="A365" s="3">
        <v>930</v>
      </c>
      <c r="B365" s="3">
        <v>5</v>
      </c>
      <c r="C365" s="3">
        <v>3</v>
      </c>
      <c r="I365" s="3">
        <v>930</v>
      </c>
      <c r="J365" s="3">
        <v>5</v>
      </c>
      <c r="K365" s="3">
        <v>3</v>
      </c>
      <c r="Q365" s="3">
        <v>930</v>
      </c>
      <c r="R365" s="3">
        <v>5</v>
      </c>
      <c r="S365" s="3">
        <v>3</v>
      </c>
      <c r="T365">
        <v>85.61</v>
      </c>
      <c r="U365">
        <v>1.8960000000000001E-2</v>
      </c>
      <c r="V365">
        <v>-2.1</v>
      </c>
      <c r="W365">
        <v>2.7</v>
      </c>
      <c r="Y365" s="3">
        <v>960</v>
      </c>
      <c r="Z365" s="3">
        <v>4</v>
      </c>
      <c r="AA365" s="3">
        <v>1</v>
      </c>
      <c r="AB365">
        <v>81.8</v>
      </c>
      <c r="AC365">
        <v>1.6199999999999999E-2</v>
      </c>
    </row>
    <row r="366" spans="1:29" x14ac:dyDescent="0.25">
      <c r="A366" s="3">
        <v>930</v>
      </c>
      <c r="B366" s="3">
        <v>6</v>
      </c>
      <c r="C366" s="3">
        <v>1</v>
      </c>
      <c r="D366">
        <v>4.9751243781102288E-2</v>
      </c>
      <c r="E366">
        <v>6.8493150684928714E-2</v>
      </c>
      <c r="I366" s="3">
        <v>930</v>
      </c>
      <c r="J366" s="3">
        <v>6</v>
      </c>
      <c r="K366" s="3">
        <v>1</v>
      </c>
      <c r="L366">
        <v>-4.0000000000006253E-2</v>
      </c>
      <c r="M366">
        <v>-9.9999999999995925E-6</v>
      </c>
      <c r="Q366" s="3">
        <v>930</v>
      </c>
      <c r="R366" s="3">
        <v>6</v>
      </c>
      <c r="S366" s="3">
        <v>1</v>
      </c>
      <c r="T366">
        <v>80.36</v>
      </c>
      <c r="U366">
        <v>1.4590000000000001E-2</v>
      </c>
      <c r="V366">
        <v>0.5</v>
      </c>
      <c r="W366">
        <v>2</v>
      </c>
      <c r="Y366" s="3">
        <v>960</v>
      </c>
      <c r="Z366" s="3">
        <v>5</v>
      </c>
      <c r="AA366" s="3">
        <v>1</v>
      </c>
      <c r="AB366">
        <v>88.6</v>
      </c>
      <c r="AC366">
        <v>2.0199999999999999E-2</v>
      </c>
    </row>
    <row r="367" spans="1:29" x14ac:dyDescent="0.25">
      <c r="A367" s="3">
        <v>930</v>
      </c>
      <c r="B367" s="3">
        <v>6</v>
      </c>
      <c r="C367" s="3">
        <v>2</v>
      </c>
      <c r="I367" s="3">
        <v>930</v>
      </c>
      <c r="J367" s="3">
        <v>6</v>
      </c>
      <c r="K367" s="3">
        <v>2</v>
      </c>
      <c r="Q367" s="3">
        <v>930</v>
      </c>
      <c r="R367" s="3">
        <v>6</v>
      </c>
      <c r="S367" s="3">
        <v>2</v>
      </c>
      <c r="T367">
        <v>79.87</v>
      </c>
      <c r="U367">
        <v>1.414E-2</v>
      </c>
      <c r="V367">
        <v>0.5</v>
      </c>
      <c r="W367">
        <v>2</v>
      </c>
      <c r="Y367" s="3">
        <v>960</v>
      </c>
      <c r="Z367" s="3">
        <v>6</v>
      </c>
      <c r="AA367" s="3">
        <v>1</v>
      </c>
      <c r="AB367">
        <v>87</v>
      </c>
      <c r="AC367">
        <v>1.5800000000000002E-2</v>
      </c>
    </row>
    <row r="368" spans="1:29" x14ac:dyDescent="0.25">
      <c r="A368" s="3">
        <v>930</v>
      </c>
      <c r="B368" s="3">
        <v>6</v>
      </c>
      <c r="C368" s="3">
        <v>3</v>
      </c>
      <c r="I368" s="3">
        <v>930</v>
      </c>
      <c r="J368" s="3">
        <v>6</v>
      </c>
      <c r="K368" s="3">
        <v>3</v>
      </c>
      <c r="Q368" s="3">
        <v>930</v>
      </c>
      <c r="R368" s="3">
        <v>6</v>
      </c>
      <c r="S368" s="3">
        <v>3</v>
      </c>
      <c r="T368">
        <v>81.08</v>
      </c>
      <c r="U368">
        <v>1.5100000000000001E-2</v>
      </c>
      <c r="V368">
        <v>0.5</v>
      </c>
      <c r="W368">
        <v>1.9</v>
      </c>
      <c r="Y368" s="3">
        <v>960</v>
      </c>
      <c r="Z368" s="3">
        <v>7</v>
      </c>
      <c r="AA368" s="3">
        <v>1</v>
      </c>
      <c r="AB368">
        <v>83.5</v>
      </c>
      <c r="AC368">
        <v>1.4800000000000001E-2</v>
      </c>
    </row>
    <row r="369" spans="1:29" x14ac:dyDescent="0.25">
      <c r="A369" s="3">
        <v>930</v>
      </c>
      <c r="B369" s="3">
        <v>7</v>
      </c>
      <c r="C369" s="3">
        <v>1</v>
      </c>
      <c r="D369">
        <v>5.1150895140672961E-2</v>
      </c>
      <c r="E369">
        <v>0.38167938931297479</v>
      </c>
      <c r="I369" s="3">
        <v>930</v>
      </c>
      <c r="J369" s="3">
        <v>7</v>
      </c>
      <c r="K369" s="3">
        <v>1</v>
      </c>
      <c r="L369">
        <v>-4.0000000000006253E-2</v>
      </c>
      <c r="M369">
        <v>-4.9999999999999697E-5</v>
      </c>
      <c r="Q369" s="3">
        <v>930</v>
      </c>
      <c r="R369" s="3">
        <v>7</v>
      </c>
      <c r="S369" s="3">
        <v>1</v>
      </c>
      <c r="T369">
        <v>78.16</v>
      </c>
      <c r="U369">
        <v>1.3050000000000001E-2</v>
      </c>
      <c r="V369">
        <v>-114.5</v>
      </c>
      <c r="W369">
        <v>-218.1</v>
      </c>
      <c r="Y369" s="3">
        <v>960</v>
      </c>
      <c r="Z369" s="3">
        <v>8</v>
      </c>
      <c r="AA369" s="3">
        <v>1</v>
      </c>
      <c r="AB369">
        <v>85.1</v>
      </c>
      <c r="AC369">
        <v>1.5100000000000001E-2</v>
      </c>
    </row>
    <row r="370" spans="1:29" x14ac:dyDescent="0.25">
      <c r="A370" s="3">
        <v>930</v>
      </c>
      <c r="B370" s="3">
        <v>8</v>
      </c>
      <c r="C370" s="3">
        <v>1</v>
      </c>
      <c r="D370">
        <v>3.4924330616997817E-2</v>
      </c>
      <c r="E370">
        <v>0.19607843137254111</v>
      </c>
      <c r="I370" s="3">
        <v>930</v>
      </c>
      <c r="J370" s="3">
        <v>8</v>
      </c>
      <c r="K370" s="3">
        <v>1</v>
      </c>
      <c r="L370">
        <v>-3.000000000000114E-2</v>
      </c>
      <c r="M370">
        <v>-2.9999999999998781E-5</v>
      </c>
      <c r="Q370" s="3">
        <v>930</v>
      </c>
      <c r="R370" s="3">
        <v>8</v>
      </c>
      <c r="S370" s="3">
        <v>1</v>
      </c>
      <c r="T370">
        <v>85.87</v>
      </c>
      <c r="U370">
        <v>1.5270000000000001E-2</v>
      </c>
      <c r="V370">
        <v>16.7</v>
      </c>
      <c r="W370">
        <v>8.1999999999999993</v>
      </c>
      <c r="Y370" s="3">
        <v>960</v>
      </c>
      <c r="Z370" s="3">
        <v>9</v>
      </c>
      <c r="AA370" s="3">
        <v>1</v>
      </c>
      <c r="AB370">
        <v>81.8</v>
      </c>
      <c r="AC370">
        <v>1.38E-2</v>
      </c>
    </row>
    <row r="371" spans="1:29" x14ac:dyDescent="0.25">
      <c r="A371" s="3">
        <v>930</v>
      </c>
      <c r="B371" s="3">
        <v>8</v>
      </c>
      <c r="C371" s="3">
        <v>2</v>
      </c>
      <c r="I371" s="3">
        <v>930</v>
      </c>
      <c r="J371" s="3">
        <v>8</v>
      </c>
      <c r="K371" s="3">
        <v>2</v>
      </c>
      <c r="Q371" s="3">
        <v>930</v>
      </c>
      <c r="R371" s="3">
        <v>8</v>
      </c>
      <c r="S371" s="3">
        <v>2</v>
      </c>
      <c r="T371">
        <v>85.45</v>
      </c>
      <c r="U371">
        <v>1.523E-2</v>
      </c>
      <c r="V371">
        <v>-30.8</v>
      </c>
      <c r="W371">
        <v>-153.6</v>
      </c>
      <c r="Y371" s="3">
        <v>960</v>
      </c>
      <c r="Z371" s="3">
        <v>10</v>
      </c>
      <c r="AA371" s="3">
        <v>1</v>
      </c>
      <c r="AB371">
        <v>85.5</v>
      </c>
      <c r="AC371">
        <v>1.5299999999999999E-2</v>
      </c>
    </row>
    <row r="372" spans="1:29" x14ac:dyDescent="0.25">
      <c r="A372" s="3">
        <v>930</v>
      </c>
      <c r="B372" s="3">
        <v>9</v>
      </c>
      <c r="C372" s="3">
        <v>1</v>
      </c>
      <c r="D372">
        <v>2.5380710659893429E-2</v>
      </c>
      <c r="E372">
        <v>0.30075187969924888</v>
      </c>
      <c r="I372" s="3">
        <v>930</v>
      </c>
      <c r="J372" s="3">
        <v>9</v>
      </c>
      <c r="K372" s="3">
        <v>1</v>
      </c>
      <c r="L372">
        <v>-1.9999999999996021E-2</v>
      </c>
      <c r="M372">
        <v>-4.0000000000000098E-5</v>
      </c>
      <c r="Q372" s="3">
        <v>930</v>
      </c>
      <c r="R372" s="3">
        <v>9</v>
      </c>
      <c r="S372" s="3">
        <v>1</v>
      </c>
      <c r="T372">
        <v>78.78</v>
      </c>
      <c r="U372">
        <v>1.3259999999999999E-2</v>
      </c>
      <c r="V372">
        <v>-52</v>
      </c>
      <c r="W372">
        <v>-28.8</v>
      </c>
      <c r="Y372" s="3">
        <v>960</v>
      </c>
      <c r="Z372" s="3">
        <v>11</v>
      </c>
      <c r="AA372" s="3">
        <v>1</v>
      </c>
      <c r="AB372">
        <v>72.2</v>
      </c>
      <c r="AC372">
        <v>1.06E-2</v>
      </c>
    </row>
    <row r="373" spans="1:29" x14ac:dyDescent="0.25">
      <c r="A373" s="3">
        <v>930</v>
      </c>
      <c r="B373" s="3">
        <v>9</v>
      </c>
      <c r="C373" s="3">
        <v>2</v>
      </c>
      <c r="I373" s="3">
        <v>930</v>
      </c>
      <c r="J373" s="3">
        <v>9</v>
      </c>
      <c r="K373" s="3">
        <v>2</v>
      </c>
      <c r="Q373" s="3">
        <v>930</v>
      </c>
      <c r="R373" s="3">
        <v>9</v>
      </c>
      <c r="S373" s="3">
        <v>2</v>
      </c>
      <c r="T373">
        <v>79.84</v>
      </c>
      <c r="U373">
        <v>1.359E-2</v>
      </c>
      <c r="V373">
        <v>-29.8</v>
      </c>
      <c r="W373">
        <v>36.5</v>
      </c>
      <c r="Y373" s="3">
        <v>960</v>
      </c>
      <c r="Z373" s="3">
        <v>12</v>
      </c>
      <c r="AA373" s="3">
        <v>1</v>
      </c>
      <c r="AB373">
        <v>86.1</v>
      </c>
      <c r="AC373">
        <v>1.6400000000000001E-2</v>
      </c>
    </row>
    <row r="374" spans="1:29" x14ac:dyDescent="0.25">
      <c r="A374" s="3">
        <v>930</v>
      </c>
      <c r="B374" s="3">
        <v>9</v>
      </c>
      <c r="C374" s="3">
        <v>3</v>
      </c>
      <c r="I374" s="3">
        <v>930</v>
      </c>
      <c r="J374" s="3">
        <v>9</v>
      </c>
      <c r="K374" s="3">
        <v>3</v>
      </c>
      <c r="Q374" s="3">
        <v>930</v>
      </c>
      <c r="R374" s="3">
        <v>9</v>
      </c>
      <c r="S374" s="3">
        <v>3</v>
      </c>
      <c r="T374">
        <v>81.52</v>
      </c>
      <c r="U374">
        <v>1.414E-2</v>
      </c>
      <c r="V374">
        <v>-33.700000000000003</v>
      </c>
      <c r="W374">
        <v>42.3</v>
      </c>
      <c r="Y374" s="3">
        <v>960</v>
      </c>
      <c r="Z374" s="3">
        <v>13</v>
      </c>
      <c r="AA374" s="3">
        <v>1</v>
      </c>
      <c r="AB374">
        <v>90</v>
      </c>
      <c r="AC374">
        <v>2.0199999999999999E-2</v>
      </c>
    </row>
    <row r="375" spans="1:29" x14ac:dyDescent="0.25">
      <c r="A375" s="3">
        <v>930</v>
      </c>
      <c r="B375" s="3">
        <v>9</v>
      </c>
      <c r="C375" s="3">
        <v>4</v>
      </c>
      <c r="I375" s="3">
        <v>930</v>
      </c>
      <c r="J375" s="3">
        <v>9</v>
      </c>
      <c r="K375" s="3">
        <v>4</v>
      </c>
      <c r="Q375" s="3">
        <v>930</v>
      </c>
      <c r="R375" s="3">
        <v>9</v>
      </c>
      <c r="S375" s="3">
        <v>4</v>
      </c>
      <c r="T375">
        <v>82.77</v>
      </c>
      <c r="U375">
        <v>1.465E-2</v>
      </c>
      <c r="V375">
        <v>-131.6</v>
      </c>
      <c r="W375">
        <v>-118.2</v>
      </c>
      <c r="Y375" s="3">
        <v>960</v>
      </c>
      <c r="Z375" s="3">
        <v>14</v>
      </c>
      <c r="AA375" s="3">
        <v>1</v>
      </c>
      <c r="AB375">
        <v>89.7</v>
      </c>
      <c r="AC375">
        <v>2.0199999999999999E-2</v>
      </c>
    </row>
    <row r="376" spans="1:29" x14ac:dyDescent="0.25">
      <c r="A376" s="3">
        <v>930</v>
      </c>
      <c r="B376" s="3">
        <v>10</v>
      </c>
      <c r="C376" s="3">
        <v>1</v>
      </c>
      <c r="D376">
        <v>4.6349942062563203E-2</v>
      </c>
      <c r="E376">
        <v>0.1234567901234518</v>
      </c>
      <c r="I376" s="3">
        <v>930</v>
      </c>
      <c r="J376" s="3">
        <v>10</v>
      </c>
      <c r="K376" s="3">
        <v>1</v>
      </c>
      <c r="L376">
        <v>-3.9999999999992042E-2</v>
      </c>
      <c r="M376">
        <v>1.9999999999999188E-5</v>
      </c>
      <c r="Q376" s="3">
        <v>930</v>
      </c>
      <c r="R376" s="3">
        <v>10</v>
      </c>
      <c r="S376" s="3">
        <v>1</v>
      </c>
      <c r="T376">
        <v>86.26</v>
      </c>
      <c r="U376">
        <v>1.6219999999999998E-2</v>
      </c>
      <c r="V376">
        <v>-24</v>
      </c>
      <c r="W376">
        <v>-123.1</v>
      </c>
      <c r="Y376" s="3">
        <v>960</v>
      </c>
      <c r="Z376" s="3">
        <v>103</v>
      </c>
      <c r="AA376" s="3">
        <v>1</v>
      </c>
      <c r="AB376">
        <v>88.6</v>
      </c>
      <c r="AC376">
        <v>2.0199999999999999E-2</v>
      </c>
    </row>
    <row r="377" spans="1:29" x14ac:dyDescent="0.25">
      <c r="A377" s="3">
        <v>930</v>
      </c>
      <c r="B377" s="3">
        <v>10</v>
      </c>
      <c r="C377" s="3">
        <v>2</v>
      </c>
      <c r="I377" s="3">
        <v>930</v>
      </c>
      <c r="J377" s="3">
        <v>10</v>
      </c>
      <c r="K377" s="3">
        <v>2</v>
      </c>
      <c r="Q377" s="3">
        <v>930</v>
      </c>
      <c r="R377" s="3">
        <v>10</v>
      </c>
      <c r="S377" s="3">
        <v>2</v>
      </c>
      <c r="T377">
        <v>85.42</v>
      </c>
      <c r="U377">
        <v>1.528E-2</v>
      </c>
      <c r="V377">
        <v>24.7</v>
      </c>
      <c r="W377">
        <v>23.7</v>
      </c>
      <c r="Y377" s="3">
        <v>960</v>
      </c>
      <c r="Z377" s="3">
        <v>104</v>
      </c>
      <c r="AA377" s="3">
        <v>1</v>
      </c>
      <c r="AB377">
        <v>83</v>
      </c>
      <c r="AC377">
        <v>1.61E-2</v>
      </c>
    </row>
    <row r="378" spans="1:29" x14ac:dyDescent="0.25">
      <c r="A378" s="3">
        <v>930</v>
      </c>
      <c r="B378" s="3">
        <v>11</v>
      </c>
      <c r="C378" s="3">
        <v>1</v>
      </c>
      <c r="D378">
        <v>6.09013398294901E-2</v>
      </c>
      <c r="E378">
        <v>0.2097902097902134</v>
      </c>
      <c r="I378" s="3">
        <v>930</v>
      </c>
      <c r="J378" s="3">
        <v>11</v>
      </c>
      <c r="K378" s="3">
        <v>1</v>
      </c>
      <c r="L378">
        <v>5.0000000000011369E-2</v>
      </c>
      <c r="M378">
        <v>3.0000000000000509E-5</v>
      </c>
      <c r="Q378" s="3">
        <v>930</v>
      </c>
      <c r="R378" s="3">
        <v>11</v>
      </c>
      <c r="S378" s="3">
        <v>1</v>
      </c>
      <c r="T378">
        <v>82.15</v>
      </c>
      <c r="U378">
        <v>1.4330000000000001E-2</v>
      </c>
      <c r="V378">
        <v>-490.8</v>
      </c>
      <c r="W378">
        <v>-837.5</v>
      </c>
      <c r="Y378" s="3">
        <v>960</v>
      </c>
      <c r="Z378" s="3">
        <v>110</v>
      </c>
      <c r="AA378" s="3">
        <v>1</v>
      </c>
      <c r="AB378">
        <v>90</v>
      </c>
      <c r="AC378">
        <v>2.0199999999999999E-2</v>
      </c>
    </row>
    <row r="379" spans="1:29" x14ac:dyDescent="0.25">
      <c r="A379" s="3">
        <v>930</v>
      </c>
      <c r="B379" s="3">
        <v>12</v>
      </c>
      <c r="C379" s="3">
        <v>1</v>
      </c>
      <c r="D379">
        <v>4.3620501635775633E-2</v>
      </c>
      <c r="E379">
        <v>5.3763440860231521E-2</v>
      </c>
      <c r="I379" s="3">
        <v>930</v>
      </c>
      <c r="J379" s="3">
        <v>12</v>
      </c>
      <c r="K379" s="3">
        <v>1</v>
      </c>
      <c r="L379">
        <v>-4.0000000000006253E-2</v>
      </c>
      <c r="M379">
        <v>1.000000000000306E-5</v>
      </c>
      <c r="Q379" s="3">
        <v>930</v>
      </c>
      <c r="R379" s="3">
        <v>12</v>
      </c>
      <c r="S379" s="3">
        <v>1</v>
      </c>
      <c r="T379">
        <v>91.66</v>
      </c>
      <c r="U379">
        <v>1.8610000000000002E-2</v>
      </c>
      <c r="V379">
        <v>0.9</v>
      </c>
      <c r="W379">
        <v>1.4</v>
      </c>
      <c r="Y379" s="3">
        <v>960</v>
      </c>
      <c r="Z379" s="3">
        <v>114</v>
      </c>
      <c r="AA379" s="3">
        <v>1</v>
      </c>
      <c r="AB379">
        <v>90.1</v>
      </c>
      <c r="AC379">
        <v>2.0199999999999999E-2</v>
      </c>
    </row>
    <row r="380" spans="1:29" x14ac:dyDescent="0.25">
      <c r="A380" s="3">
        <v>930</v>
      </c>
      <c r="B380" s="3">
        <v>12</v>
      </c>
      <c r="C380" s="3">
        <v>2</v>
      </c>
      <c r="I380" s="3">
        <v>930</v>
      </c>
      <c r="J380" s="3">
        <v>12</v>
      </c>
      <c r="K380" s="3">
        <v>2</v>
      </c>
      <c r="Q380" s="3">
        <v>930</v>
      </c>
      <c r="R380" s="3">
        <v>12</v>
      </c>
      <c r="S380" s="3">
        <v>2</v>
      </c>
      <c r="T380">
        <v>93.12</v>
      </c>
      <c r="U380">
        <v>1.9910000000000001E-2</v>
      </c>
      <c r="V380">
        <v>1</v>
      </c>
      <c r="W380">
        <v>1.4</v>
      </c>
      <c r="Y380" s="3">
        <v>970</v>
      </c>
      <c r="Z380" s="3">
        <v>1</v>
      </c>
      <c r="AA380" s="3">
        <v>1</v>
      </c>
      <c r="AB380">
        <v>89.5</v>
      </c>
      <c r="AC380">
        <v>2.0199999999999999E-2</v>
      </c>
    </row>
    <row r="381" spans="1:29" x14ac:dyDescent="0.25">
      <c r="A381" s="3">
        <v>930</v>
      </c>
      <c r="B381" s="3">
        <v>12</v>
      </c>
      <c r="C381" s="3">
        <v>3</v>
      </c>
      <c r="I381" s="3">
        <v>930</v>
      </c>
      <c r="J381" s="3">
        <v>12</v>
      </c>
      <c r="K381" s="3">
        <v>3</v>
      </c>
      <c r="Q381" s="3">
        <v>930</v>
      </c>
      <c r="R381" s="3">
        <v>12</v>
      </c>
      <c r="S381" s="3">
        <v>3</v>
      </c>
      <c r="T381">
        <v>92.02</v>
      </c>
      <c r="U381">
        <v>2.0199999999999999E-2</v>
      </c>
      <c r="V381">
        <v>1.1000000000000001</v>
      </c>
      <c r="W381">
        <v>1.3</v>
      </c>
      <c r="Y381" s="3">
        <v>970</v>
      </c>
      <c r="Z381" s="3">
        <v>2</v>
      </c>
      <c r="AA381" s="3">
        <v>1</v>
      </c>
      <c r="AB381">
        <v>88.9</v>
      </c>
      <c r="AC381">
        <v>2.0199999999999999E-2</v>
      </c>
    </row>
    <row r="382" spans="1:29" x14ac:dyDescent="0.25">
      <c r="A382" s="3">
        <v>930</v>
      </c>
      <c r="B382" s="3">
        <v>13</v>
      </c>
      <c r="C382" s="3">
        <v>1</v>
      </c>
      <c r="D382">
        <v>3.3112582781458212E-2</v>
      </c>
      <c r="E382">
        <v>0.19801980198020711</v>
      </c>
      <c r="I382" s="3">
        <v>930</v>
      </c>
      <c r="J382" s="3">
        <v>13</v>
      </c>
      <c r="K382" s="3">
        <v>1</v>
      </c>
      <c r="L382">
        <v>-3.000000000000114E-2</v>
      </c>
      <c r="M382">
        <v>4.000000000000184E-5</v>
      </c>
      <c r="Q382" s="3">
        <v>930</v>
      </c>
      <c r="R382" s="3">
        <v>13</v>
      </c>
      <c r="S382" s="3">
        <v>1</v>
      </c>
      <c r="T382">
        <v>90.57</v>
      </c>
      <c r="U382">
        <v>2.0240000000000001E-2</v>
      </c>
      <c r="V382">
        <v>1.8</v>
      </c>
      <c r="W382">
        <v>1</v>
      </c>
      <c r="Y382" s="3">
        <v>970</v>
      </c>
      <c r="Z382" s="3">
        <v>3</v>
      </c>
      <c r="AA382" s="3">
        <v>1</v>
      </c>
      <c r="AB382">
        <v>88.2</v>
      </c>
      <c r="AC382">
        <v>2.0199999999999999E-2</v>
      </c>
    </row>
    <row r="383" spans="1:29" x14ac:dyDescent="0.25">
      <c r="A383" s="3">
        <v>930</v>
      </c>
      <c r="B383" s="3">
        <v>13</v>
      </c>
      <c r="C383" s="3">
        <v>2</v>
      </c>
      <c r="I383" s="3">
        <v>930</v>
      </c>
      <c r="J383" s="3">
        <v>13</v>
      </c>
      <c r="K383" s="3">
        <v>2</v>
      </c>
      <c r="Q383" s="3">
        <v>930</v>
      </c>
      <c r="R383" s="3">
        <v>13</v>
      </c>
      <c r="S383" s="3">
        <v>2</v>
      </c>
      <c r="T383">
        <v>90.32</v>
      </c>
      <c r="U383">
        <v>2.0219999999999998E-2</v>
      </c>
      <c r="V383">
        <v>1.8</v>
      </c>
      <c r="W383">
        <v>1</v>
      </c>
      <c r="Y383" s="3">
        <v>970</v>
      </c>
      <c r="Z383" s="3">
        <v>4</v>
      </c>
      <c r="AA383" s="3">
        <v>1</v>
      </c>
      <c r="AB383">
        <v>86.7</v>
      </c>
      <c r="AC383">
        <v>1.6E-2</v>
      </c>
    </row>
    <row r="384" spans="1:29" x14ac:dyDescent="0.25">
      <c r="A384" s="3">
        <v>930</v>
      </c>
      <c r="B384" s="3">
        <v>14</v>
      </c>
      <c r="C384" s="3">
        <v>1</v>
      </c>
      <c r="D384">
        <v>3.3333333333334603E-2</v>
      </c>
      <c r="E384">
        <v>0</v>
      </c>
      <c r="I384" s="3">
        <v>930</v>
      </c>
      <c r="J384" s="3">
        <v>14</v>
      </c>
      <c r="K384" s="3">
        <v>1</v>
      </c>
      <c r="L384">
        <v>3.000000000000114E-2</v>
      </c>
      <c r="M384">
        <v>0</v>
      </c>
      <c r="Q384" s="3">
        <v>930</v>
      </c>
      <c r="R384" s="3">
        <v>14</v>
      </c>
      <c r="S384" s="3">
        <v>1</v>
      </c>
      <c r="T384">
        <v>90.03</v>
      </c>
      <c r="U384">
        <v>2.0199999999999999E-2</v>
      </c>
      <c r="V384">
        <v>177.7</v>
      </c>
      <c r="W384">
        <v>10.1</v>
      </c>
      <c r="Y384" s="3">
        <v>970</v>
      </c>
      <c r="Z384" s="3">
        <v>5</v>
      </c>
      <c r="AA384" s="3">
        <v>1</v>
      </c>
      <c r="AB384">
        <v>87.9</v>
      </c>
      <c r="AC384">
        <v>2.0199999999999999E-2</v>
      </c>
    </row>
    <row r="385" spans="1:29" x14ac:dyDescent="0.25">
      <c r="A385" s="3">
        <v>930</v>
      </c>
      <c r="B385" s="3">
        <v>14</v>
      </c>
      <c r="C385" s="3">
        <v>2</v>
      </c>
      <c r="I385" s="3">
        <v>930</v>
      </c>
      <c r="J385" s="3">
        <v>14</v>
      </c>
      <c r="K385" s="3">
        <v>2</v>
      </c>
      <c r="Q385" s="3">
        <v>930</v>
      </c>
      <c r="R385" s="3">
        <v>14</v>
      </c>
      <c r="S385" s="3">
        <v>2</v>
      </c>
      <c r="T385">
        <v>90.04</v>
      </c>
      <c r="U385">
        <v>2.018E-2</v>
      </c>
      <c r="V385">
        <v>246.3</v>
      </c>
      <c r="W385">
        <v>13.5</v>
      </c>
      <c r="Y385" s="3">
        <v>970</v>
      </c>
      <c r="Z385" s="3">
        <v>6</v>
      </c>
      <c r="AA385" s="3">
        <v>1</v>
      </c>
      <c r="AB385">
        <v>88.4</v>
      </c>
      <c r="AC385">
        <v>1.7000000000000001E-2</v>
      </c>
    </row>
    <row r="386" spans="1:29" x14ac:dyDescent="0.25">
      <c r="A386" s="3">
        <v>930</v>
      </c>
      <c r="B386" s="3">
        <v>103</v>
      </c>
      <c r="C386" s="3">
        <v>1</v>
      </c>
      <c r="D386">
        <v>3.436426116838618E-2</v>
      </c>
      <c r="E386">
        <v>4.9504950495047488E-2</v>
      </c>
      <c r="I386" s="3">
        <v>930</v>
      </c>
      <c r="J386" s="3">
        <v>103</v>
      </c>
      <c r="K386" s="3">
        <v>1</v>
      </c>
      <c r="L386">
        <v>3.000000000000114E-2</v>
      </c>
      <c r="M386">
        <v>9.9999999999995925E-6</v>
      </c>
      <c r="Q386" s="3">
        <v>930</v>
      </c>
      <c r="R386" s="3">
        <v>103</v>
      </c>
      <c r="S386" s="3">
        <v>1</v>
      </c>
      <c r="T386">
        <v>87.33</v>
      </c>
      <c r="U386">
        <v>2.0209999999999999E-2</v>
      </c>
      <c r="Y386" s="3">
        <v>970</v>
      </c>
      <c r="Z386" s="3">
        <v>7</v>
      </c>
      <c r="AA386" s="3">
        <v>1</v>
      </c>
      <c r="AB386">
        <v>82</v>
      </c>
      <c r="AC386">
        <v>1.41E-2</v>
      </c>
    </row>
    <row r="387" spans="1:29" x14ac:dyDescent="0.25">
      <c r="A387" s="3">
        <v>930</v>
      </c>
      <c r="B387" s="3">
        <v>104</v>
      </c>
      <c r="C387" s="3">
        <v>1</v>
      </c>
      <c r="D387">
        <v>4.4642857142864117E-2</v>
      </c>
      <c r="E387">
        <v>0.24875621890547969</v>
      </c>
      <c r="I387" s="3">
        <v>930</v>
      </c>
      <c r="J387" s="3">
        <v>104</v>
      </c>
      <c r="K387" s="3">
        <v>1</v>
      </c>
      <c r="L387">
        <v>4.0000000000006253E-2</v>
      </c>
      <c r="M387">
        <v>5.0000000000001432E-5</v>
      </c>
      <c r="Q387" s="3">
        <v>930</v>
      </c>
      <c r="R387" s="3">
        <v>104</v>
      </c>
      <c r="S387" s="3">
        <v>1</v>
      </c>
      <c r="T387">
        <v>89.64</v>
      </c>
      <c r="U387">
        <v>2.0150000000000001E-2</v>
      </c>
      <c r="Y387" s="3">
        <v>970</v>
      </c>
      <c r="Z387" s="3">
        <v>8</v>
      </c>
      <c r="AA387" s="3">
        <v>1</v>
      </c>
      <c r="AB387">
        <v>85.4</v>
      </c>
      <c r="AC387">
        <v>1.5299999999999999E-2</v>
      </c>
    </row>
    <row r="388" spans="1:29" x14ac:dyDescent="0.25">
      <c r="A388" s="3">
        <v>930</v>
      </c>
      <c r="B388" s="3">
        <v>110</v>
      </c>
      <c r="C388" s="3">
        <v>1</v>
      </c>
      <c r="D388">
        <v>4.4444444444451392E-2</v>
      </c>
      <c r="E388">
        <v>0.14851485148514251</v>
      </c>
      <c r="I388" s="3">
        <v>930</v>
      </c>
      <c r="J388" s="3">
        <v>110</v>
      </c>
      <c r="K388" s="3">
        <v>1</v>
      </c>
      <c r="L388">
        <v>-4.0000000000006253E-2</v>
      </c>
      <c r="M388">
        <v>-2.9999999999998781E-5</v>
      </c>
      <c r="Q388" s="3">
        <v>930</v>
      </c>
      <c r="R388" s="3">
        <v>110</v>
      </c>
      <c r="S388" s="3">
        <v>1</v>
      </c>
      <c r="T388">
        <v>89.96</v>
      </c>
      <c r="U388">
        <v>2.017E-2</v>
      </c>
      <c r="Y388" s="3">
        <v>970</v>
      </c>
      <c r="Z388" s="3">
        <v>9</v>
      </c>
      <c r="AA388" s="3">
        <v>1</v>
      </c>
      <c r="AB388">
        <v>81</v>
      </c>
      <c r="AC388">
        <v>1.38E-2</v>
      </c>
    </row>
    <row r="389" spans="1:29" x14ac:dyDescent="0.25">
      <c r="A389" s="3">
        <v>930</v>
      </c>
      <c r="B389" s="3">
        <v>114</v>
      </c>
      <c r="C389" s="3">
        <v>1</v>
      </c>
      <c r="D389">
        <v>3.3003300330034249E-2</v>
      </c>
      <c r="E389">
        <v>9.9009900990094976E-2</v>
      </c>
      <c r="I389" s="3">
        <v>930</v>
      </c>
      <c r="J389" s="3">
        <v>114</v>
      </c>
      <c r="K389" s="3">
        <v>1</v>
      </c>
      <c r="L389">
        <v>3.000000000000114E-2</v>
      </c>
      <c r="M389">
        <v>1.9999999999999188E-5</v>
      </c>
      <c r="Q389" s="3">
        <v>930</v>
      </c>
      <c r="R389" s="3">
        <v>114</v>
      </c>
      <c r="S389" s="3">
        <v>1</v>
      </c>
      <c r="T389">
        <v>90.93</v>
      </c>
      <c r="U389">
        <v>2.0219999999999998E-2</v>
      </c>
      <c r="Y389" s="3">
        <v>970</v>
      </c>
      <c r="Z389" s="3">
        <v>10</v>
      </c>
      <c r="AA389" s="3">
        <v>1</v>
      </c>
      <c r="AB389">
        <v>85.3</v>
      </c>
      <c r="AC389">
        <v>1.5100000000000001E-2</v>
      </c>
    </row>
    <row r="390" spans="1:29" x14ac:dyDescent="0.25">
      <c r="A390" s="3">
        <v>940</v>
      </c>
      <c r="B390" s="3">
        <v>1</v>
      </c>
      <c r="C390" s="3">
        <v>1</v>
      </c>
      <c r="D390">
        <v>1.1135857461030199E-2</v>
      </c>
      <c r="E390">
        <v>9.9009900990094976E-2</v>
      </c>
      <c r="I390" s="3">
        <v>940</v>
      </c>
      <c r="J390" s="3">
        <v>1</v>
      </c>
      <c r="K390" s="3">
        <v>1</v>
      </c>
      <c r="L390">
        <v>1.0000000000005119E-2</v>
      </c>
      <c r="M390">
        <v>-1.9999999999999188E-5</v>
      </c>
      <c r="Q390" s="3">
        <v>940</v>
      </c>
      <c r="R390" s="3">
        <v>1</v>
      </c>
      <c r="S390" s="3">
        <v>1</v>
      </c>
      <c r="T390">
        <v>89.81</v>
      </c>
      <c r="U390">
        <v>2.018E-2</v>
      </c>
      <c r="V390">
        <v>-2.2000000000000002</v>
      </c>
      <c r="W390">
        <v>2.8</v>
      </c>
      <c r="Y390" s="3">
        <v>970</v>
      </c>
      <c r="Z390" s="3">
        <v>11</v>
      </c>
      <c r="AA390" s="3">
        <v>1</v>
      </c>
      <c r="AB390">
        <v>73.900000000000006</v>
      </c>
      <c r="AC390">
        <v>1.14E-2</v>
      </c>
    </row>
    <row r="391" spans="1:29" x14ac:dyDescent="0.25">
      <c r="A391" s="3">
        <v>940</v>
      </c>
      <c r="B391" s="3">
        <v>2</v>
      </c>
      <c r="C391" s="3">
        <v>1</v>
      </c>
      <c r="D391">
        <v>2.22222222222178E-2</v>
      </c>
      <c r="E391">
        <v>0</v>
      </c>
      <c r="I391" s="3">
        <v>940</v>
      </c>
      <c r="J391" s="3">
        <v>2</v>
      </c>
      <c r="K391" s="3">
        <v>1</v>
      </c>
      <c r="L391">
        <v>-1.9999999999996021E-2</v>
      </c>
      <c r="M391">
        <v>0</v>
      </c>
      <c r="Q391" s="3">
        <v>940</v>
      </c>
      <c r="R391" s="3">
        <v>2</v>
      </c>
      <c r="S391" s="3">
        <v>1</v>
      </c>
      <c r="T391">
        <v>89.98</v>
      </c>
      <c r="U391">
        <v>2.0199999999999999E-2</v>
      </c>
      <c r="V391">
        <v>-2.2999999999999998</v>
      </c>
      <c r="W391">
        <v>3.2</v>
      </c>
      <c r="Y391" s="3">
        <v>970</v>
      </c>
      <c r="Z391" s="3">
        <v>12</v>
      </c>
      <c r="AA391" s="3">
        <v>1</v>
      </c>
      <c r="AB391">
        <v>87.6</v>
      </c>
      <c r="AC391">
        <v>1.7299999999999999E-2</v>
      </c>
    </row>
    <row r="392" spans="1:29" x14ac:dyDescent="0.25">
      <c r="A392" s="3">
        <v>940</v>
      </c>
      <c r="B392" s="3">
        <v>3</v>
      </c>
      <c r="C392" s="3">
        <v>1</v>
      </c>
      <c r="D392">
        <v>5.4884742041709282E-2</v>
      </c>
      <c r="E392">
        <v>0.14851485148515961</v>
      </c>
      <c r="I392" s="3">
        <v>940</v>
      </c>
      <c r="J392" s="3">
        <v>3</v>
      </c>
      <c r="K392" s="3">
        <v>1</v>
      </c>
      <c r="L392">
        <v>-4.9999999999997158E-2</v>
      </c>
      <c r="M392">
        <v>3.000000000000225E-5</v>
      </c>
      <c r="Q392" s="3">
        <v>940</v>
      </c>
      <c r="R392" s="3">
        <v>3</v>
      </c>
      <c r="S392" s="3">
        <v>1</v>
      </c>
      <c r="T392">
        <v>91.05</v>
      </c>
      <c r="U392">
        <v>2.0230000000000001E-2</v>
      </c>
      <c r="V392">
        <v>-5</v>
      </c>
      <c r="W392">
        <v>7.3</v>
      </c>
      <c r="Y392" s="3">
        <v>970</v>
      </c>
      <c r="Z392" s="3">
        <v>13</v>
      </c>
      <c r="AA392" s="3">
        <v>1</v>
      </c>
      <c r="AB392">
        <v>89.5</v>
      </c>
      <c r="AC392">
        <v>2.0199999999999999E-2</v>
      </c>
    </row>
    <row r="393" spans="1:29" x14ac:dyDescent="0.25">
      <c r="A393" s="3">
        <v>940</v>
      </c>
      <c r="B393" s="3">
        <v>3</v>
      </c>
      <c r="C393" s="3">
        <v>2</v>
      </c>
      <c r="I393" s="3">
        <v>940</v>
      </c>
      <c r="J393" s="3">
        <v>3</v>
      </c>
      <c r="K393" s="3">
        <v>2</v>
      </c>
      <c r="Q393" s="3">
        <v>940</v>
      </c>
      <c r="R393" s="3">
        <v>3</v>
      </c>
      <c r="S393" s="3">
        <v>2</v>
      </c>
      <c r="T393">
        <v>92.23</v>
      </c>
      <c r="U393">
        <v>2.0250000000000001E-2</v>
      </c>
      <c r="V393">
        <v>110</v>
      </c>
      <c r="W393">
        <v>8.5</v>
      </c>
      <c r="Y393" s="3">
        <v>970</v>
      </c>
      <c r="Z393" s="3">
        <v>14</v>
      </c>
      <c r="AA393" s="3">
        <v>1</v>
      </c>
      <c r="AB393">
        <v>89.9</v>
      </c>
      <c r="AC393">
        <v>2.0199999999999999E-2</v>
      </c>
    </row>
    <row r="394" spans="1:29" x14ac:dyDescent="0.25">
      <c r="A394" s="3">
        <v>940</v>
      </c>
      <c r="B394" s="3">
        <v>4</v>
      </c>
      <c r="C394" s="3">
        <v>1</v>
      </c>
      <c r="D394">
        <v>4.8192771084344881E-2</v>
      </c>
      <c r="E394">
        <v>0.1190476190476142</v>
      </c>
      <c r="I394" s="3">
        <v>940</v>
      </c>
      <c r="J394" s="3">
        <v>4</v>
      </c>
      <c r="K394" s="3">
        <v>1</v>
      </c>
      <c r="L394">
        <v>-4.0000000000006253E-2</v>
      </c>
      <c r="M394">
        <v>-1.9999999999999188E-5</v>
      </c>
      <c r="Q394" s="3">
        <v>940</v>
      </c>
      <c r="R394" s="3">
        <v>4</v>
      </c>
      <c r="S394" s="3">
        <v>1</v>
      </c>
      <c r="T394">
        <v>82.96</v>
      </c>
      <c r="U394">
        <v>1.678E-2</v>
      </c>
      <c r="V394">
        <v>-0.3</v>
      </c>
      <c r="W394">
        <v>2.9</v>
      </c>
      <c r="Y394" s="3">
        <v>970</v>
      </c>
      <c r="Z394" s="3">
        <v>103</v>
      </c>
      <c r="AA394" s="3">
        <v>1</v>
      </c>
      <c r="AB394">
        <v>88.8</v>
      </c>
      <c r="AC394">
        <v>2.0199999999999999E-2</v>
      </c>
    </row>
    <row r="395" spans="1:29" x14ac:dyDescent="0.25">
      <c r="A395" s="3">
        <v>940</v>
      </c>
      <c r="B395" s="3">
        <v>4</v>
      </c>
      <c r="C395" s="3">
        <v>2</v>
      </c>
      <c r="I395" s="3">
        <v>940</v>
      </c>
      <c r="J395" s="3">
        <v>4</v>
      </c>
      <c r="K395" s="3">
        <v>2</v>
      </c>
      <c r="Q395" s="3">
        <v>940</v>
      </c>
      <c r="R395" s="3">
        <v>4</v>
      </c>
      <c r="S395" s="3">
        <v>2</v>
      </c>
      <c r="T395">
        <v>82.97</v>
      </c>
      <c r="U395">
        <v>1.6650000000000002E-2</v>
      </c>
      <c r="V395">
        <v>-0.3</v>
      </c>
      <c r="W395">
        <v>3</v>
      </c>
      <c r="Y395" s="3">
        <v>970</v>
      </c>
      <c r="Z395" s="3">
        <v>104</v>
      </c>
      <c r="AA395" s="3">
        <v>1</v>
      </c>
      <c r="AB395">
        <v>88.7</v>
      </c>
      <c r="AC395">
        <v>1.95E-2</v>
      </c>
    </row>
    <row r="396" spans="1:29" x14ac:dyDescent="0.25">
      <c r="A396" s="3">
        <v>940</v>
      </c>
      <c r="B396" s="3">
        <v>4</v>
      </c>
      <c r="C396" s="3">
        <v>3</v>
      </c>
      <c r="I396" s="3">
        <v>940</v>
      </c>
      <c r="J396" s="3">
        <v>4</v>
      </c>
      <c r="K396" s="3">
        <v>3</v>
      </c>
      <c r="Q396" s="3">
        <v>940</v>
      </c>
      <c r="R396" s="3">
        <v>4</v>
      </c>
      <c r="S396" s="3">
        <v>3</v>
      </c>
      <c r="T396">
        <v>82.32</v>
      </c>
      <c r="U396">
        <v>1.6060000000000001E-2</v>
      </c>
      <c r="V396">
        <v>-0.4</v>
      </c>
      <c r="W396">
        <v>3</v>
      </c>
      <c r="Y396" s="3">
        <v>970</v>
      </c>
      <c r="Z396" s="3">
        <v>110</v>
      </c>
      <c r="AA396" s="3">
        <v>1</v>
      </c>
      <c r="AB396">
        <v>89.5</v>
      </c>
      <c r="AC396">
        <v>1.9599999999999999E-2</v>
      </c>
    </row>
    <row r="397" spans="1:29" x14ac:dyDescent="0.25">
      <c r="A397" s="3">
        <v>940</v>
      </c>
      <c r="B397" s="3">
        <v>5</v>
      </c>
      <c r="C397" s="3">
        <v>1</v>
      </c>
      <c r="D397">
        <v>1.104972375691173E-2</v>
      </c>
      <c r="E397">
        <v>0.2475247524752546</v>
      </c>
      <c r="I397" s="3">
        <v>940</v>
      </c>
      <c r="J397" s="3">
        <v>5</v>
      </c>
      <c r="K397" s="3">
        <v>1</v>
      </c>
      <c r="L397">
        <v>-1.0000000000005119E-2</v>
      </c>
      <c r="M397">
        <v>5.0000000000001432E-5</v>
      </c>
      <c r="Q397" s="3">
        <v>940</v>
      </c>
      <c r="R397" s="3">
        <v>5</v>
      </c>
      <c r="S397" s="3">
        <v>1</v>
      </c>
      <c r="T397">
        <v>90.49</v>
      </c>
      <c r="U397">
        <v>2.0250000000000001E-2</v>
      </c>
      <c r="V397">
        <v>329.3</v>
      </c>
      <c r="W397">
        <v>8.9</v>
      </c>
      <c r="Y397" s="3">
        <v>970</v>
      </c>
      <c r="Z397" s="3">
        <v>114</v>
      </c>
      <c r="AA397" s="3">
        <v>1</v>
      </c>
      <c r="AB397">
        <v>89.5</v>
      </c>
      <c r="AC397">
        <v>2.0199999999999999E-2</v>
      </c>
    </row>
    <row r="398" spans="1:29" x14ac:dyDescent="0.25">
      <c r="A398" s="3">
        <v>940</v>
      </c>
      <c r="B398" s="3">
        <v>5</v>
      </c>
      <c r="C398" s="3">
        <v>2</v>
      </c>
      <c r="I398" s="3">
        <v>940</v>
      </c>
      <c r="J398" s="3">
        <v>5</v>
      </c>
      <c r="K398" s="3">
        <v>2</v>
      </c>
      <c r="Q398" s="3">
        <v>940</v>
      </c>
      <c r="R398" s="3">
        <v>5</v>
      </c>
      <c r="S398" s="3">
        <v>2</v>
      </c>
      <c r="T398">
        <v>88.34</v>
      </c>
      <c r="U398">
        <v>2.0129999999999999E-2</v>
      </c>
      <c r="V398">
        <v>329.5</v>
      </c>
      <c r="W398">
        <v>8.8000000000000007</v>
      </c>
      <c r="Y398" s="3">
        <v>980</v>
      </c>
      <c r="Z398" s="3">
        <v>1</v>
      </c>
      <c r="AA398" s="3">
        <v>1</v>
      </c>
      <c r="AB398">
        <v>89.4</v>
      </c>
      <c r="AC398">
        <v>2.0199999999999999E-2</v>
      </c>
    </row>
    <row r="399" spans="1:29" x14ac:dyDescent="0.25">
      <c r="A399" s="3">
        <v>940</v>
      </c>
      <c r="B399" s="3">
        <v>5</v>
      </c>
      <c r="C399" s="3">
        <v>3</v>
      </c>
      <c r="I399" s="3">
        <v>940</v>
      </c>
      <c r="J399" s="3">
        <v>5</v>
      </c>
      <c r="K399" s="3">
        <v>3</v>
      </c>
      <c r="Q399" s="3">
        <v>940</v>
      </c>
      <c r="R399" s="3">
        <v>5</v>
      </c>
      <c r="S399" s="3">
        <v>3</v>
      </c>
      <c r="T399">
        <v>85.92</v>
      </c>
      <c r="U399">
        <v>1.9630000000000002E-2</v>
      </c>
      <c r="V399">
        <v>148.1</v>
      </c>
      <c r="W399">
        <v>6.9</v>
      </c>
      <c r="Y399" s="3">
        <v>980</v>
      </c>
      <c r="Z399" s="3">
        <v>2</v>
      </c>
      <c r="AA399" s="3">
        <v>1</v>
      </c>
      <c r="AB399">
        <v>88.9</v>
      </c>
      <c r="AC399">
        <v>2.0199999999999999E-2</v>
      </c>
    </row>
    <row r="400" spans="1:29" x14ac:dyDescent="0.25">
      <c r="A400" s="3">
        <v>940</v>
      </c>
      <c r="B400" s="3">
        <v>6</v>
      </c>
      <c r="C400" s="3">
        <v>1</v>
      </c>
      <c r="D400">
        <v>3.7359900373600423E-2</v>
      </c>
      <c r="E400">
        <v>0</v>
      </c>
      <c r="I400" s="3">
        <v>940</v>
      </c>
      <c r="J400" s="3">
        <v>6</v>
      </c>
      <c r="K400" s="3">
        <v>1</v>
      </c>
      <c r="L400">
        <v>-3.000000000000114E-2</v>
      </c>
      <c r="M400">
        <v>0</v>
      </c>
      <c r="Q400" s="3">
        <v>940</v>
      </c>
      <c r="R400" s="3">
        <v>6</v>
      </c>
      <c r="S400" s="3">
        <v>1</v>
      </c>
      <c r="T400">
        <v>80.27</v>
      </c>
      <c r="U400">
        <v>1.46E-2</v>
      </c>
      <c r="V400">
        <v>-0.9</v>
      </c>
      <c r="W400">
        <v>3.8</v>
      </c>
      <c r="Y400" s="3">
        <v>980</v>
      </c>
      <c r="Z400" s="3">
        <v>3</v>
      </c>
      <c r="AA400" s="3">
        <v>1</v>
      </c>
      <c r="AB400">
        <v>88</v>
      </c>
      <c r="AC400">
        <v>2.0199999999999999E-2</v>
      </c>
    </row>
    <row r="401" spans="1:29" x14ac:dyDescent="0.25">
      <c r="A401" s="3">
        <v>940</v>
      </c>
      <c r="B401" s="3">
        <v>6</v>
      </c>
      <c r="C401" s="3">
        <v>2</v>
      </c>
      <c r="I401" s="3">
        <v>940</v>
      </c>
      <c r="J401" s="3">
        <v>6</v>
      </c>
      <c r="K401" s="3">
        <v>2</v>
      </c>
      <c r="Q401" s="3">
        <v>940</v>
      </c>
      <c r="R401" s="3">
        <v>6</v>
      </c>
      <c r="S401" s="3">
        <v>2</v>
      </c>
      <c r="T401">
        <v>80.790000000000006</v>
      </c>
      <c r="U401">
        <v>1.506E-2</v>
      </c>
      <c r="V401">
        <v>-0.9</v>
      </c>
      <c r="W401">
        <v>3.7</v>
      </c>
      <c r="Y401" s="3">
        <v>980</v>
      </c>
      <c r="Z401" s="3">
        <v>4</v>
      </c>
      <c r="AA401" s="3">
        <v>1</v>
      </c>
      <c r="AB401">
        <v>86.5</v>
      </c>
      <c r="AC401">
        <v>1.6799999999999999E-2</v>
      </c>
    </row>
    <row r="402" spans="1:29" x14ac:dyDescent="0.25">
      <c r="A402" s="3">
        <v>940</v>
      </c>
      <c r="B402" s="3">
        <v>6</v>
      </c>
      <c r="C402" s="3">
        <v>3</v>
      </c>
      <c r="I402" s="3">
        <v>940</v>
      </c>
      <c r="J402" s="3">
        <v>6</v>
      </c>
      <c r="K402" s="3">
        <v>3</v>
      </c>
      <c r="Q402" s="3">
        <v>940</v>
      </c>
      <c r="R402" s="3">
        <v>6</v>
      </c>
      <c r="S402" s="3">
        <v>3</v>
      </c>
      <c r="T402">
        <v>82.95</v>
      </c>
      <c r="U402">
        <v>1.702E-2</v>
      </c>
      <c r="V402">
        <v>-0.6</v>
      </c>
      <c r="W402">
        <v>3.4</v>
      </c>
      <c r="Y402" s="3">
        <v>980</v>
      </c>
      <c r="Z402" s="3">
        <v>5</v>
      </c>
      <c r="AA402" s="3">
        <v>1</v>
      </c>
      <c r="AB402">
        <v>87.6</v>
      </c>
      <c r="AC402">
        <v>2.0199999999999999E-2</v>
      </c>
    </row>
    <row r="403" spans="1:29" x14ac:dyDescent="0.25">
      <c r="A403" s="3">
        <v>940</v>
      </c>
      <c r="B403" s="3">
        <v>7</v>
      </c>
      <c r="C403" s="3">
        <v>1</v>
      </c>
      <c r="D403">
        <v>1.2578616352207689E-2</v>
      </c>
      <c r="E403">
        <v>6.8965517241376492E-2</v>
      </c>
      <c r="I403" s="3">
        <v>940</v>
      </c>
      <c r="J403" s="3">
        <v>7</v>
      </c>
      <c r="K403" s="3">
        <v>1</v>
      </c>
      <c r="L403">
        <v>-1.0000000000005119E-2</v>
      </c>
      <c r="M403">
        <v>9.9999999999995925E-6</v>
      </c>
      <c r="Q403" s="3">
        <v>940</v>
      </c>
      <c r="R403" s="3">
        <v>7</v>
      </c>
      <c r="S403" s="3">
        <v>1</v>
      </c>
      <c r="T403">
        <v>79.489999999999995</v>
      </c>
      <c r="U403">
        <v>1.451E-2</v>
      </c>
      <c r="V403">
        <v>-83</v>
      </c>
      <c r="W403">
        <v>-215.8</v>
      </c>
      <c r="Y403" s="3">
        <v>980</v>
      </c>
      <c r="Z403" s="3">
        <v>6</v>
      </c>
      <c r="AA403" s="3">
        <v>1</v>
      </c>
      <c r="AB403">
        <v>85.6</v>
      </c>
      <c r="AC403">
        <v>1.7100000000000001E-2</v>
      </c>
    </row>
    <row r="404" spans="1:29" x14ac:dyDescent="0.25">
      <c r="A404" s="3">
        <v>940</v>
      </c>
      <c r="B404" s="3">
        <v>8</v>
      </c>
      <c r="C404" s="3">
        <v>1</v>
      </c>
      <c r="D404">
        <v>1.175088131610472E-2</v>
      </c>
      <c r="E404">
        <v>6.6225165562911206E-2</v>
      </c>
      <c r="I404" s="3">
        <v>940</v>
      </c>
      <c r="J404" s="3">
        <v>8</v>
      </c>
      <c r="K404" s="3">
        <v>1</v>
      </c>
      <c r="L404">
        <v>1.0000000000005119E-2</v>
      </c>
      <c r="M404">
        <v>9.9999999999995925E-6</v>
      </c>
      <c r="Q404" s="3">
        <v>940</v>
      </c>
      <c r="R404" s="3">
        <v>8</v>
      </c>
      <c r="S404" s="3">
        <v>1</v>
      </c>
      <c r="T404">
        <v>85.11</v>
      </c>
      <c r="U404">
        <v>1.511E-2</v>
      </c>
      <c r="V404">
        <v>16.7</v>
      </c>
      <c r="W404">
        <v>8.1999999999999993</v>
      </c>
      <c r="Y404" s="3">
        <v>980</v>
      </c>
      <c r="Z404" s="3">
        <v>7</v>
      </c>
      <c r="AA404" s="3">
        <v>1</v>
      </c>
      <c r="AB404">
        <v>80.400000000000006</v>
      </c>
      <c r="AC404">
        <v>1.3599999999999999E-2</v>
      </c>
    </row>
    <row r="405" spans="1:29" x14ac:dyDescent="0.25">
      <c r="A405" s="3">
        <v>940</v>
      </c>
      <c r="B405" s="3">
        <v>8</v>
      </c>
      <c r="C405" s="3">
        <v>2</v>
      </c>
      <c r="I405" s="3">
        <v>940</v>
      </c>
      <c r="J405" s="3">
        <v>8</v>
      </c>
      <c r="K405" s="3">
        <v>2</v>
      </c>
      <c r="Q405" s="3">
        <v>940</v>
      </c>
      <c r="R405" s="3">
        <v>8</v>
      </c>
      <c r="S405" s="3">
        <v>2</v>
      </c>
      <c r="T405">
        <v>85.08</v>
      </c>
      <c r="U405">
        <v>1.481E-2</v>
      </c>
      <c r="V405">
        <v>-30.8</v>
      </c>
      <c r="W405">
        <v>-153.6</v>
      </c>
      <c r="Y405" s="3">
        <v>980</v>
      </c>
      <c r="Z405" s="3">
        <v>8</v>
      </c>
      <c r="AA405" s="3">
        <v>1</v>
      </c>
      <c r="AB405">
        <v>85.6</v>
      </c>
      <c r="AC405">
        <v>1.5299999999999999E-2</v>
      </c>
    </row>
    <row r="406" spans="1:29" x14ac:dyDescent="0.25">
      <c r="A406" s="3">
        <v>940</v>
      </c>
      <c r="B406" s="3">
        <v>9</v>
      </c>
      <c r="C406" s="3">
        <v>1</v>
      </c>
      <c r="D406">
        <v>3.8265306122450417E-2</v>
      </c>
      <c r="E406">
        <v>0.15037593984963099</v>
      </c>
      <c r="I406" s="3">
        <v>940</v>
      </c>
      <c r="J406" s="3">
        <v>9</v>
      </c>
      <c r="K406" s="3">
        <v>1</v>
      </c>
      <c r="L406">
        <v>-3.000000000000114E-2</v>
      </c>
      <c r="M406">
        <v>2.000000000000092E-5</v>
      </c>
      <c r="Q406" s="3">
        <v>940</v>
      </c>
      <c r="R406" s="3">
        <v>9</v>
      </c>
      <c r="S406" s="3">
        <v>1</v>
      </c>
      <c r="T406">
        <v>78.37</v>
      </c>
      <c r="U406">
        <v>1.332E-2</v>
      </c>
      <c r="V406">
        <v>-16</v>
      </c>
      <c r="W406">
        <v>-26.7</v>
      </c>
      <c r="Y406" s="3">
        <v>980</v>
      </c>
      <c r="Z406" s="3">
        <v>9</v>
      </c>
      <c r="AA406" s="3">
        <v>1</v>
      </c>
      <c r="AB406">
        <v>79.900000000000006</v>
      </c>
      <c r="AC406">
        <v>1.37E-2</v>
      </c>
    </row>
    <row r="407" spans="1:29" x14ac:dyDescent="0.25">
      <c r="A407" s="3">
        <v>940</v>
      </c>
      <c r="B407" s="3">
        <v>9</v>
      </c>
      <c r="C407" s="3">
        <v>2</v>
      </c>
      <c r="I407" s="3">
        <v>940</v>
      </c>
      <c r="J407" s="3">
        <v>9</v>
      </c>
      <c r="K407" s="3">
        <v>2</v>
      </c>
      <c r="Q407" s="3">
        <v>940</v>
      </c>
      <c r="R407" s="3">
        <v>9</v>
      </c>
      <c r="S407" s="3">
        <v>2</v>
      </c>
      <c r="T407">
        <v>79.3</v>
      </c>
      <c r="U407">
        <v>1.359E-2</v>
      </c>
      <c r="V407">
        <v>6.1</v>
      </c>
      <c r="W407">
        <v>38.6</v>
      </c>
      <c r="Y407" s="3">
        <v>980</v>
      </c>
      <c r="Z407" s="3">
        <v>10</v>
      </c>
      <c r="AA407" s="3">
        <v>1</v>
      </c>
      <c r="AB407">
        <v>84.9</v>
      </c>
      <c r="AC407">
        <v>1.4800000000000001E-2</v>
      </c>
    </row>
    <row r="408" spans="1:29" x14ac:dyDescent="0.25">
      <c r="A408" s="3">
        <v>940</v>
      </c>
      <c r="B408" s="3">
        <v>9</v>
      </c>
      <c r="C408" s="3">
        <v>3</v>
      </c>
      <c r="I408" s="3">
        <v>940</v>
      </c>
      <c r="J408" s="3">
        <v>9</v>
      </c>
      <c r="K408" s="3">
        <v>3</v>
      </c>
      <c r="Q408" s="3">
        <v>940</v>
      </c>
      <c r="R408" s="3">
        <v>9</v>
      </c>
      <c r="S408" s="3">
        <v>3</v>
      </c>
      <c r="T408">
        <v>80.78</v>
      </c>
      <c r="U408">
        <v>1.41E-2</v>
      </c>
      <c r="V408">
        <v>2.2999999999999998</v>
      </c>
      <c r="W408">
        <v>44.4</v>
      </c>
      <c r="Y408" s="3">
        <v>980</v>
      </c>
      <c r="Z408" s="3">
        <v>11</v>
      </c>
      <c r="AA408" s="3">
        <v>1</v>
      </c>
      <c r="AB408">
        <v>79.900000000000006</v>
      </c>
      <c r="AC408">
        <v>1.43E-2</v>
      </c>
    </row>
    <row r="409" spans="1:29" x14ac:dyDescent="0.25">
      <c r="A409" s="3">
        <v>940</v>
      </c>
      <c r="B409" s="3">
        <v>9</v>
      </c>
      <c r="C409" s="3">
        <v>4</v>
      </c>
      <c r="I409" s="3">
        <v>940</v>
      </c>
      <c r="J409" s="3">
        <v>9</v>
      </c>
      <c r="K409" s="3">
        <v>4</v>
      </c>
      <c r="Q409" s="3">
        <v>940</v>
      </c>
      <c r="R409" s="3">
        <v>9</v>
      </c>
      <c r="S409" s="3">
        <v>4</v>
      </c>
      <c r="T409">
        <v>81.25</v>
      </c>
      <c r="U409">
        <v>1.431E-2</v>
      </c>
      <c r="V409">
        <v>-95.6</v>
      </c>
      <c r="W409">
        <v>-116.1</v>
      </c>
      <c r="Y409" s="3">
        <v>980</v>
      </c>
      <c r="Z409" s="3">
        <v>12</v>
      </c>
      <c r="AA409" s="3">
        <v>1</v>
      </c>
      <c r="AB409">
        <v>89</v>
      </c>
      <c r="AC409">
        <v>1.8499999999999999E-2</v>
      </c>
    </row>
    <row r="410" spans="1:29" x14ac:dyDescent="0.25">
      <c r="A410" s="3">
        <v>940</v>
      </c>
      <c r="B410" s="3">
        <v>10</v>
      </c>
      <c r="C410" s="3">
        <v>1</v>
      </c>
      <c r="D410">
        <v>5.813953488371762E-2</v>
      </c>
      <c r="E410">
        <v>0.12578616352202929</v>
      </c>
      <c r="I410" s="3">
        <v>940</v>
      </c>
      <c r="J410" s="3">
        <v>10</v>
      </c>
      <c r="K410" s="3">
        <v>1</v>
      </c>
      <c r="L410">
        <v>-4.9999999999997158E-2</v>
      </c>
      <c r="M410">
        <v>-2.0000000000002651E-5</v>
      </c>
      <c r="Q410" s="3">
        <v>940</v>
      </c>
      <c r="R410" s="3">
        <v>10</v>
      </c>
      <c r="S410" s="3">
        <v>1</v>
      </c>
      <c r="T410">
        <v>85.95</v>
      </c>
      <c r="U410">
        <v>1.5879999999999998E-2</v>
      </c>
      <c r="V410">
        <v>-24</v>
      </c>
      <c r="W410">
        <v>-123.1</v>
      </c>
      <c r="Y410" s="3">
        <v>980</v>
      </c>
      <c r="Z410" s="3">
        <v>13</v>
      </c>
      <c r="AA410" s="3">
        <v>1</v>
      </c>
      <c r="AB410">
        <v>92</v>
      </c>
      <c r="AC410">
        <v>2.0199999999999999E-2</v>
      </c>
    </row>
    <row r="411" spans="1:29" x14ac:dyDescent="0.25">
      <c r="A411" s="3">
        <v>940</v>
      </c>
      <c r="B411" s="3">
        <v>10</v>
      </c>
      <c r="C411" s="3">
        <v>2</v>
      </c>
      <c r="I411" s="3">
        <v>940</v>
      </c>
      <c r="J411" s="3">
        <v>10</v>
      </c>
      <c r="K411" s="3">
        <v>2</v>
      </c>
      <c r="Q411" s="3">
        <v>940</v>
      </c>
      <c r="R411" s="3">
        <v>10</v>
      </c>
      <c r="S411" s="3">
        <v>2</v>
      </c>
      <c r="T411">
        <v>85.6</v>
      </c>
      <c r="U411">
        <v>1.533E-2</v>
      </c>
      <c r="V411">
        <v>24.7</v>
      </c>
      <c r="W411">
        <v>23.7</v>
      </c>
      <c r="Y411" s="3">
        <v>980</v>
      </c>
      <c r="Z411" s="3">
        <v>14</v>
      </c>
      <c r="AA411" s="3">
        <v>1</v>
      </c>
      <c r="AB411">
        <v>90.4</v>
      </c>
      <c r="AC411">
        <v>2.0199999999999999E-2</v>
      </c>
    </row>
    <row r="412" spans="1:29" x14ac:dyDescent="0.25">
      <c r="A412" s="3">
        <v>940</v>
      </c>
      <c r="B412" s="3">
        <v>11</v>
      </c>
      <c r="C412" s="3">
        <v>1</v>
      </c>
      <c r="D412">
        <v>2.564102564102054E-2</v>
      </c>
      <c r="E412">
        <v>0.39062500000001121</v>
      </c>
      <c r="I412" s="3">
        <v>940</v>
      </c>
      <c r="J412" s="3">
        <v>11</v>
      </c>
      <c r="K412" s="3">
        <v>1</v>
      </c>
      <c r="L412">
        <v>1.9999999999996021E-2</v>
      </c>
      <c r="M412">
        <v>-5.0000000000001432E-5</v>
      </c>
      <c r="Q412" s="3">
        <v>940</v>
      </c>
      <c r="R412" s="3">
        <v>11</v>
      </c>
      <c r="S412" s="3">
        <v>1</v>
      </c>
      <c r="T412">
        <v>78.02</v>
      </c>
      <c r="U412">
        <v>1.2749999999999999E-2</v>
      </c>
      <c r="V412">
        <v>-465</v>
      </c>
      <c r="W412">
        <v>-836.2</v>
      </c>
      <c r="Y412" s="3">
        <v>980</v>
      </c>
      <c r="Z412" s="3">
        <v>103</v>
      </c>
      <c r="AA412" s="3">
        <v>1</v>
      </c>
      <c r="AB412">
        <v>88.3</v>
      </c>
      <c r="AC412">
        <v>2.0199999999999999E-2</v>
      </c>
    </row>
    <row r="413" spans="1:29" x14ac:dyDescent="0.25">
      <c r="A413" s="3">
        <v>940</v>
      </c>
      <c r="B413" s="3">
        <v>12</v>
      </c>
      <c r="C413" s="3">
        <v>1</v>
      </c>
      <c r="D413">
        <v>4.4742729306494693E-2</v>
      </c>
      <c r="E413">
        <v>0.2259887005649821</v>
      </c>
      <c r="I413" s="3">
        <v>940</v>
      </c>
      <c r="J413" s="3">
        <v>12</v>
      </c>
      <c r="K413" s="3">
        <v>1</v>
      </c>
      <c r="L413">
        <v>-4.0000000000006253E-2</v>
      </c>
      <c r="M413">
        <v>-4.000000000000184E-5</v>
      </c>
      <c r="Q413" s="3">
        <v>940</v>
      </c>
      <c r="R413" s="3">
        <v>12</v>
      </c>
      <c r="S413" s="3">
        <v>1</v>
      </c>
      <c r="T413">
        <v>89.36</v>
      </c>
      <c r="U413">
        <v>1.7659999999999999E-2</v>
      </c>
      <c r="V413">
        <v>0.7</v>
      </c>
      <c r="W413">
        <v>1.6</v>
      </c>
      <c r="Y413" s="3">
        <v>980</v>
      </c>
      <c r="Z413" s="3">
        <v>104</v>
      </c>
      <c r="AA413" s="3">
        <v>1</v>
      </c>
      <c r="AB413">
        <v>89.2</v>
      </c>
      <c r="AC413">
        <v>1.9800000000000002E-2</v>
      </c>
    </row>
    <row r="414" spans="1:29" x14ac:dyDescent="0.25">
      <c r="A414" s="3">
        <v>940</v>
      </c>
      <c r="B414" s="3">
        <v>12</v>
      </c>
      <c r="C414" s="3">
        <v>2</v>
      </c>
      <c r="I414" s="3">
        <v>940</v>
      </c>
      <c r="J414" s="3">
        <v>12</v>
      </c>
      <c r="K414" s="3">
        <v>2</v>
      </c>
      <c r="Q414" s="3">
        <v>940</v>
      </c>
      <c r="R414" s="3">
        <v>12</v>
      </c>
      <c r="S414" s="3">
        <v>2</v>
      </c>
      <c r="T414">
        <v>92.51</v>
      </c>
      <c r="U414">
        <v>1.959E-2</v>
      </c>
      <c r="V414">
        <v>0.7</v>
      </c>
      <c r="W414">
        <v>1.7</v>
      </c>
      <c r="Y414" s="3">
        <v>980</v>
      </c>
      <c r="Z414" s="3">
        <v>110</v>
      </c>
      <c r="AA414" s="3">
        <v>1</v>
      </c>
      <c r="AB414">
        <v>85</v>
      </c>
      <c r="AC414">
        <v>1.49E-2</v>
      </c>
    </row>
    <row r="415" spans="1:29" x14ac:dyDescent="0.25">
      <c r="A415" s="3">
        <v>940</v>
      </c>
      <c r="B415" s="3">
        <v>12</v>
      </c>
      <c r="C415" s="3">
        <v>3</v>
      </c>
      <c r="I415" s="3">
        <v>940</v>
      </c>
      <c r="J415" s="3">
        <v>12</v>
      </c>
      <c r="K415" s="3">
        <v>3</v>
      </c>
      <c r="Q415" s="3">
        <v>940</v>
      </c>
      <c r="R415" s="3">
        <v>12</v>
      </c>
      <c r="S415" s="3">
        <v>3</v>
      </c>
      <c r="T415">
        <v>92.03</v>
      </c>
      <c r="U415">
        <v>2.0119999999999999E-2</v>
      </c>
      <c r="V415">
        <v>0.8</v>
      </c>
      <c r="W415">
        <v>1.6</v>
      </c>
      <c r="Y415" s="3">
        <v>980</v>
      </c>
      <c r="Z415" s="3">
        <v>114</v>
      </c>
      <c r="AA415" s="3">
        <v>1</v>
      </c>
      <c r="AB415">
        <v>90.2</v>
      </c>
      <c r="AC415">
        <v>2.0199999999999999E-2</v>
      </c>
    </row>
    <row r="416" spans="1:29" x14ac:dyDescent="0.25">
      <c r="A416" s="3">
        <v>940</v>
      </c>
      <c r="B416" s="3">
        <v>13</v>
      </c>
      <c r="C416" s="3">
        <v>1</v>
      </c>
      <c r="D416">
        <v>3.3185840707965861E-2</v>
      </c>
      <c r="E416">
        <v>0.19801980198020711</v>
      </c>
      <c r="I416" s="3">
        <v>940</v>
      </c>
      <c r="J416" s="3">
        <v>13</v>
      </c>
      <c r="K416" s="3">
        <v>1</v>
      </c>
      <c r="L416">
        <v>3.000000000000114E-2</v>
      </c>
      <c r="M416">
        <v>4.000000000000184E-5</v>
      </c>
      <c r="Q416" s="3">
        <v>940</v>
      </c>
      <c r="R416" s="3">
        <v>13</v>
      </c>
      <c r="S416" s="3">
        <v>1</v>
      </c>
      <c r="T416">
        <v>90.43</v>
      </c>
      <c r="U416">
        <v>2.0240000000000001E-2</v>
      </c>
      <c r="V416">
        <v>1.9</v>
      </c>
      <c r="W416">
        <v>1</v>
      </c>
      <c r="Y416" s="3">
        <v>990</v>
      </c>
      <c r="Z416" s="3">
        <v>1</v>
      </c>
      <c r="AA416" s="3">
        <v>1</v>
      </c>
      <c r="AB416">
        <v>89.4</v>
      </c>
      <c r="AC416">
        <v>2.0199999999999999E-2</v>
      </c>
    </row>
    <row r="417" spans="1:29" x14ac:dyDescent="0.25">
      <c r="A417" s="3">
        <v>940</v>
      </c>
      <c r="B417" s="3">
        <v>13</v>
      </c>
      <c r="C417" s="3">
        <v>2</v>
      </c>
      <c r="I417" s="3">
        <v>940</v>
      </c>
      <c r="J417" s="3">
        <v>13</v>
      </c>
      <c r="K417" s="3">
        <v>2</v>
      </c>
      <c r="Q417" s="3">
        <v>940</v>
      </c>
      <c r="R417" s="3">
        <v>13</v>
      </c>
      <c r="S417" s="3">
        <v>2</v>
      </c>
      <c r="T417">
        <v>90.18</v>
      </c>
      <c r="U417">
        <v>2.0219999999999998E-2</v>
      </c>
      <c r="V417">
        <v>1.9</v>
      </c>
      <c r="W417">
        <v>1</v>
      </c>
      <c r="Y417" s="3">
        <v>990</v>
      </c>
      <c r="Z417" s="3">
        <v>2</v>
      </c>
      <c r="AA417" s="3">
        <v>1</v>
      </c>
      <c r="AB417">
        <v>88.9</v>
      </c>
      <c r="AC417">
        <v>2.0199999999999999E-2</v>
      </c>
    </row>
    <row r="418" spans="1:29" x14ac:dyDescent="0.25">
      <c r="A418" s="3">
        <v>940</v>
      </c>
      <c r="B418" s="3">
        <v>14</v>
      </c>
      <c r="C418" s="3">
        <v>1</v>
      </c>
      <c r="D418">
        <v>4.4444444444451392E-2</v>
      </c>
      <c r="E418">
        <v>0</v>
      </c>
      <c r="I418" s="3">
        <v>940</v>
      </c>
      <c r="J418" s="3">
        <v>14</v>
      </c>
      <c r="K418" s="3">
        <v>1</v>
      </c>
      <c r="L418">
        <v>-4.0000000000006253E-2</v>
      </c>
      <c r="M418">
        <v>0</v>
      </c>
      <c r="Q418" s="3">
        <v>940</v>
      </c>
      <c r="R418" s="3">
        <v>14</v>
      </c>
      <c r="S418" s="3">
        <v>1</v>
      </c>
      <c r="T418">
        <v>89.96</v>
      </c>
      <c r="U418">
        <v>2.0199999999999999E-2</v>
      </c>
      <c r="V418">
        <v>1</v>
      </c>
      <c r="W418">
        <v>1.2</v>
      </c>
      <c r="Y418" s="3">
        <v>990</v>
      </c>
      <c r="Z418" s="3">
        <v>3</v>
      </c>
      <c r="AA418" s="3">
        <v>1</v>
      </c>
      <c r="AB418">
        <v>88</v>
      </c>
      <c r="AC418">
        <v>2.0199999999999999E-2</v>
      </c>
    </row>
    <row r="419" spans="1:29" x14ac:dyDescent="0.25">
      <c r="A419" s="3">
        <v>940</v>
      </c>
      <c r="B419" s="3">
        <v>14</v>
      </c>
      <c r="C419" s="3">
        <v>2</v>
      </c>
      <c r="I419" s="3">
        <v>940</v>
      </c>
      <c r="J419" s="3">
        <v>14</v>
      </c>
      <c r="K419" s="3">
        <v>2</v>
      </c>
      <c r="Q419" s="3">
        <v>940</v>
      </c>
      <c r="R419" s="3">
        <v>14</v>
      </c>
      <c r="S419" s="3">
        <v>2</v>
      </c>
      <c r="T419">
        <v>90.09</v>
      </c>
      <c r="U419">
        <v>2.019E-2</v>
      </c>
      <c r="V419">
        <v>0.9</v>
      </c>
      <c r="W419">
        <v>1.2</v>
      </c>
      <c r="Y419" s="3">
        <v>990</v>
      </c>
      <c r="Z419" s="3">
        <v>4</v>
      </c>
      <c r="AA419" s="3">
        <v>1</v>
      </c>
      <c r="AB419">
        <v>85.4</v>
      </c>
      <c r="AC419">
        <v>1.7100000000000001E-2</v>
      </c>
    </row>
    <row r="420" spans="1:29" x14ac:dyDescent="0.25">
      <c r="A420" s="3">
        <v>940</v>
      </c>
      <c r="B420" s="3">
        <v>103</v>
      </c>
      <c r="C420" s="3">
        <v>1</v>
      </c>
      <c r="D420">
        <v>4.5714285714292861E-2</v>
      </c>
      <c r="E420">
        <v>9.9009900990094976E-2</v>
      </c>
      <c r="I420" s="3">
        <v>940</v>
      </c>
      <c r="J420" s="3">
        <v>103</v>
      </c>
      <c r="K420" s="3">
        <v>1</v>
      </c>
      <c r="L420">
        <v>-4.0000000000006253E-2</v>
      </c>
      <c r="M420">
        <v>1.9999999999999188E-5</v>
      </c>
      <c r="Q420" s="3">
        <v>940</v>
      </c>
      <c r="R420" s="3">
        <v>103</v>
      </c>
      <c r="S420" s="3">
        <v>1</v>
      </c>
      <c r="T420">
        <v>87.46</v>
      </c>
      <c r="U420">
        <v>2.0219999999999998E-2</v>
      </c>
      <c r="Y420" s="3">
        <v>990</v>
      </c>
      <c r="Z420" s="3">
        <v>5</v>
      </c>
      <c r="AA420" s="3">
        <v>1</v>
      </c>
      <c r="AB420">
        <v>87.5</v>
      </c>
      <c r="AC420">
        <v>2.0199999999999999E-2</v>
      </c>
    </row>
    <row r="421" spans="1:29" x14ac:dyDescent="0.25">
      <c r="A421" s="3">
        <v>940</v>
      </c>
      <c r="B421" s="3">
        <v>104</v>
      </c>
      <c r="C421" s="3">
        <v>1</v>
      </c>
      <c r="D421">
        <v>1.1337868480731419E-2</v>
      </c>
      <c r="E421">
        <v>0.15544041450776569</v>
      </c>
      <c r="I421" s="3">
        <v>940</v>
      </c>
      <c r="J421" s="3">
        <v>104</v>
      </c>
      <c r="K421" s="3">
        <v>1</v>
      </c>
      <c r="L421">
        <v>-1.0000000000005119E-2</v>
      </c>
      <c r="M421">
        <v>2.9999999999998781E-5</v>
      </c>
      <c r="Q421" s="3">
        <v>940</v>
      </c>
      <c r="R421" s="3">
        <v>104</v>
      </c>
      <c r="S421" s="3">
        <v>1</v>
      </c>
      <c r="T421">
        <v>88.19</v>
      </c>
      <c r="U421">
        <v>1.933E-2</v>
      </c>
      <c r="Y421" s="3">
        <v>990</v>
      </c>
      <c r="Z421" s="3">
        <v>6</v>
      </c>
      <c r="AA421" s="3">
        <v>1</v>
      </c>
      <c r="AB421">
        <v>83.1</v>
      </c>
      <c r="AC421">
        <v>1.6199999999999999E-2</v>
      </c>
    </row>
    <row r="422" spans="1:29" x14ac:dyDescent="0.25">
      <c r="A422" s="3">
        <v>940</v>
      </c>
      <c r="B422" s="3">
        <v>110</v>
      </c>
      <c r="C422" s="3">
        <v>1</v>
      </c>
      <c r="D422">
        <v>2.3419203747084581E-2</v>
      </c>
      <c r="E422">
        <v>0.1986754966887336</v>
      </c>
      <c r="I422" s="3">
        <v>940</v>
      </c>
      <c r="J422" s="3">
        <v>110</v>
      </c>
      <c r="K422" s="3">
        <v>1</v>
      </c>
      <c r="L422">
        <v>-2.0000000000010228E-2</v>
      </c>
      <c r="M422">
        <v>2.9999999999998781E-5</v>
      </c>
      <c r="Q422" s="3">
        <v>940</v>
      </c>
      <c r="R422" s="3">
        <v>110</v>
      </c>
      <c r="S422" s="3">
        <v>1</v>
      </c>
      <c r="T422">
        <v>85.38</v>
      </c>
      <c r="U422">
        <v>1.5129999999999999E-2</v>
      </c>
      <c r="Y422" s="3">
        <v>990</v>
      </c>
      <c r="Z422" s="3">
        <v>7</v>
      </c>
      <c r="AA422" s="3">
        <v>1</v>
      </c>
      <c r="AB422">
        <v>78.8</v>
      </c>
      <c r="AC422">
        <v>1.3299999999999999E-2</v>
      </c>
    </row>
    <row r="423" spans="1:29" x14ac:dyDescent="0.25">
      <c r="A423" s="3">
        <v>940</v>
      </c>
      <c r="B423" s="3">
        <v>114</v>
      </c>
      <c r="C423" s="3">
        <v>1</v>
      </c>
      <c r="D423">
        <v>3.293084522502869E-2</v>
      </c>
      <c r="E423">
        <v>4.9504950495047488E-2</v>
      </c>
      <c r="I423" s="3">
        <v>940</v>
      </c>
      <c r="J423" s="3">
        <v>114</v>
      </c>
      <c r="K423" s="3">
        <v>1</v>
      </c>
      <c r="L423">
        <v>-3.000000000000114E-2</v>
      </c>
      <c r="M423">
        <v>-9.9999999999995925E-6</v>
      </c>
      <c r="Q423" s="3">
        <v>940</v>
      </c>
      <c r="R423" s="3">
        <v>114</v>
      </c>
      <c r="S423" s="3">
        <v>1</v>
      </c>
      <c r="T423">
        <v>91.07</v>
      </c>
      <c r="U423">
        <v>2.019E-2</v>
      </c>
      <c r="Y423" s="3">
        <v>990</v>
      </c>
      <c r="Z423" s="3">
        <v>8</v>
      </c>
      <c r="AA423" s="3">
        <v>1</v>
      </c>
      <c r="AB423">
        <v>85.3</v>
      </c>
      <c r="AC423">
        <v>1.52E-2</v>
      </c>
    </row>
    <row r="424" spans="1:29" x14ac:dyDescent="0.25">
      <c r="A424" s="3">
        <v>950</v>
      </c>
      <c r="B424" s="3">
        <v>1</v>
      </c>
      <c r="C424" s="3">
        <v>1</v>
      </c>
      <c r="D424">
        <v>3.3519553072626967E-2</v>
      </c>
      <c r="E424">
        <v>9.9009900990094976E-2</v>
      </c>
      <c r="I424" s="3">
        <v>950</v>
      </c>
      <c r="J424" s="3">
        <v>1</v>
      </c>
      <c r="K424" s="3">
        <v>1</v>
      </c>
      <c r="L424">
        <v>3.000000000000114E-2</v>
      </c>
      <c r="M424">
        <v>-1.9999999999999188E-5</v>
      </c>
      <c r="Q424" s="3">
        <v>950</v>
      </c>
      <c r="R424" s="3">
        <v>1</v>
      </c>
      <c r="S424" s="3">
        <v>1</v>
      </c>
      <c r="T424">
        <v>89.53</v>
      </c>
      <c r="U424">
        <v>2.018E-2</v>
      </c>
      <c r="V424">
        <v>-1.5</v>
      </c>
      <c r="W424">
        <v>1.9</v>
      </c>
      <c r="Y424" s="3">
        <v>990</v>
      </c>
      <c r="Z424" s="3">
        <v>9</v>
      </c>
      <c r="AA424" s="3">
        <v>1</v>
      </c>
      <c r="AB424">
        <v>78.400000000000006</v>
      </c>
      <c r="AC424">
        <v>1.35E-2</v>
      </c>
    </row>
    <row r="425" spans="1:29" x14ac:dyDescent="0.25">
      <c r="A425" s="3">
        <v>950</v>
      </c>
      <c r="B425" s="3">
        <v>2</v>
      </c>
      <c r="C425" s="3">
        <v>1</v>
      </c>
      <c r="D425">
        <v>3.3632286995516972E-2</v>
      </c>
      <c r="E425">
        <v>4.9504950495047488E-2</v>
      </c>
      <c r="I425" s="3">
        <v>950</v>
      </c>
      <c r="J425" s="3">
        <v>2</v>
      </c>
      <c r="K425" s="3">
        <v>1</v>
      </c>
      <c r="L425">
        <v>-3.000000000000114E-2</v>
      </c>
      <c r="M425">
        <v>-9.9999999999995925E-6</v>
      </c>
      <c r="Q425" s="3">
        <v>950</v>
      </c>
      <c r="R425" s="3">
        <v>2</v>
      </c>
      <c r="S425" s="3">
        <v>1</v>
      </c>
      <c r="T425">
        <v>89.17</v>
      </c>
      <c r="U425">
        <v>2.019E-2</v>
      </c>
      <c r="V425">
        <v>-1.6</v>
      </c>
      <c r="W425">
        <v>2</v>
      </c>
      <c r="Y425" s="3">
        <v>990</v>
      </c>
      <c r="Z425" s="3">
        <v>10</v>
      </c>
      <c r="AA425" s="3">
        <v>1</v>
      </c>
      <c r="AB425">
        <v>84.6</v>
      </c>
      <c r="AC425">
        <v>1.4500000000000001E-2</v>
      </c>
    </row>
    <row r="426" spans="1:29" x14ac:dyDescent="0.25">
      <c r="A426" s="3">
        <v>950</v>
      </c>
      <c r="B426" s="3">
        <v>3</v>
      </c>
      <c r="C426" s="3">
        <v>1</v>
      </c>
      <c r="D426">
        <v>4.4843049327361273E-2</v>
      </c>
      <c r="E426">
        <v>4.9504950495047488E-2</v>
      </c>
      <c r="I426" s="3">
        <v>950</v>
      </c>
      <c r="J426" s="3">
        <v>3</v>
      </c>
      <c r="K426" s="3">
        <v>1</v>
      </c>
      <c r="L426">
        <v>-4.0000000000006253E-2</v>
      </c>
      <c r="M426">
        <v>9.9999999999995925E-6</v>
      </c>
      <c r="Q426" s="3">
        <v>950</v>
      </c>
      <c r="R426" s="3">
        <v>3</v>
      </c>
      <c r="S426" s="3">
        <v>1</v>
      </c>
      <c r="T426">
        <v>89.16</v>
      </c>
      <c r="U426">
        <v>2.0209999999999999E-2</v>
      </c>
      <c r="V426">
        <v>-3.4</v>
      </c>
      <c r="W426">
        <v>4.3</v>
      </c>
      <c r="Y426" s="3">
        <v>990</v>
      </c>
      <c r="Z426" s="3">
        <v>11</v>
      </c>
      <c r="AA426" s="3">
        <v>1</v>
      </c>
      <c r="AB426">
        <v>80.8</v>
      </c>
      <c r="AC426">
        <v>1.3899999999999999E-2</v>
      </c>
    </row>
    <row r="427" spans="1:29" x14ac:dyDescent="0.25">
      <c r="A427" s="3">
        <v>950</v>
      </c>
      <c r="B427" s="3">
        <v>3</v>
      </c>
      <c r="C427" s="3">
        <v>2</v>
      </c>
      <c r="I427" s="3">
        <v>950</v>
      </c>
      <c r="J427" s="3">
        <v>3</v>
      </c>
      <c r="K427" s="3">
        <v>2</v>
      </c>
      <c r="Q427" s="3">
        <v>950</v>
      </c>
      <c r="R427" s="3">
        <v>3</v>
      </c>
      <c r="S427" s="3">
        <v>2</v>
      </c>
      <c r="T427">
        <v>89.77</v>
      </c>
      <c r="U427">
        <v>2.0240000000000001E-2</v>
      </c>
      <c r="V427">
        <v>-3.6</v>
      </c>
      <c r="W427">
        <v>4.5</v>
      </c>
      <c r="Y427" s="3">
        <v>990</v>
      </c>
      <c r="Z427" s="3">
        <v>12</v>
      </c>
      <c r="AA427" s="3">
        <v>1</v>
      </c>
      <c r="AB427">
        <v>94</v>
      </c>
      <c r="AC427">
        <v>1.8800000000000001E-2</v>
      </c>
    </row>
    <row r="428" spans="1:29" x14ac:dyDescent="0.25">
      <c r="A428" s="3">
        <v>950</v>
      </c>
      <c r="B428" s="3">
        <v>4</v>
      </c>
      <c r="C428" s="3">
        <v>1</v>
      </c>
      <c r="D428">
        <v>6.0606060606057159E-2</v>
      </c>
      <c r="E428">
        <v>6.024096385541923E-2</v>
      </c>
      <c r="I428" s="3">
        <v>950</v>
      </c>
      <c r="J428" s="3">
        <v>4</v>
      </c>
      <c r="K428" s="3">
        <v>1</v>
      </c>
      <c r="L428">
        <v>4.9999999999997158E-2</v>
      </c>
      <c r="M428">
        <v>-9.9999999999995925E-6</v>
      </c>
      <c r="Q428" s="3">
        <v>950</v>
      </c>
      <c r="R428" s="3">
        <v>4</v>
      </c>
      <c r="S428" s="3">
        <v>1</v>
      </c>
      <c r="T428">
        <v>82.55</v>
      </c>
      <c r="U428">
        <v>1.6590000000000001E-2</v>
      </c>
      <c r="V428">
        <v>-0.6</v>
      </c>
      <c r="W428">
        <v>3.4</v>
      </c>
      <c r="Y428" s="3">
        <v>990</v>
      </c>
      <c r="Z428" s="3">
        <v>13</v>
      </c>
      <c r="AA428" s="3">
        <v>1</v>
      </c>
      <c r="AB428">
        <v>90.6</v>
      </c>
      <c r="AC428">
        <v>2.0199999999999999E-2</v>
      </c>
    </row>
    <row r="429" spans="1:29" x14ac:dyDescent="0.25">
      <c r="A429" s="3">
        <v>950</v>
      </c>
      <c r="B429" s="3">
        <v>4</v>
      </c>
      <c r="C429" s="3">
        <v>2</v>
      </c>
      <c r="I429" s="3">
        <v>950</v>
      </c>
      <c r="J429" s="3">
        <v>4</v>
      </c>
      <c r="K429" s="3">
        <v>2</v>
      </c>
      <c r="Q429" s="3">
        <v>950</v>
      </c>
      <c r="R429" s="3">
        <v>4</v>
      </c>
      <c r="S429" s="3">
        <v>2</v>
      </c>
      <c r="T429">
        <v>82.14</v>
      </c>
      <c r="U429">
        <v>1.618E-2</v>
      </c>
      <c r="V429">
        <v>-0.7</v>
      </c>
      <c r="W429">
        <v>3.5</v>
      </c>
      <c r="Y429" s="3">
        <v>990</v>
      </c>
      <c r="Z429" s="3">
        <v>14</v>
      </c>
      <c r="AA429" s="3">
        <v>1</v>
      </c>
      <c r="AB429">
        <v>89.8</v>
      </c>
      <c r="AC429">
        <v>2.0199999999999999E-2</v>
      </c>
    </row>
    <row r="430" spans="1:29" x14ac:dyDescent="0.25">
      <c r="A430" s="3">
        <v>950</v>
      </c>
      <c r="B430" s="3">
        <v>4</v>
      </c>
      <c r="C430" s="3">
        <v>3</v>
      </c>
      <c r="I430" s="3">
        <v>950</v>
      </c>
      <c r="J430" s="3">
        <v>4</v>
      </c>
      <c r="K430" s="3">
        <v>3</v>
      </c>
      <c r="Q430" s="3">
        <v>950</v>
      </c>
      <c r="R430" s="3">
        <v>4</v>
      </c>
      <c r="S430" s="3">
        <v>3</v>
      </c>
      <c r="T430">
        <v>81.33</v>
      </c>
      <c r="U430">
        <v>1.553E-2</v>
      </c>
      <c r="V430">
        <v>-0.8</v>
      </c>
      <c r="W430">
        <v>3.6</v>
      </c>
      <c r="Y430" s="3">
        <v>990</v>
      </c>
      <c r="Z430" s="3">
        <v>103</v>
      </c>
      <c r="AA430" s="3">
        <v>1</v>
      </c>
      <c r="AB430">
        <v>87.6</v>
      </c>
      <c r="AC430">
        <v>2.0199999999999999E-2</v>
      </c>
    </row>
    <row r="431" spans="1:29" x14ac:dyDescent="0.25">
      <c r="A431" s="3">
        <v>950</v>
      </c>
      <c r="B431" s="3">
        <v>5</v>
      </c>
      <c r="C431" s="3">
        <v>1</v>
      </c>
      <c r="D431">
        <v>5.5555555555552402E-2</v>
      </c>
      <c r="E431">
        <v>0.24630541871920181</v>
      </c>
      <c r="I431" s="3">
        <v>950</v>
      </c>
      <c r="J431" s="3">
        <v>5</v>
      </c>
      <c r="K431" s="3">
        <v>1</v>
      </c>
      <c r="L431">
        <v>-4.9999999999997158E-2</v>
      </c>
      <c r="M431">
        <v>-4.9999999999997963E-5</v>
      </c>
      <c r="Q431" s="3">
        <v>950</v>
      </c>
      <c r="R431" s="3">
        <v>5</v>
      </c>
      <c r="S431" s="3">
        <v>1</v>
      </c>
      <c r="T431">
        <v>89.95</v>
      </c>
      <c r="U431">
        <v>2.0250000000000001E-2</v>
      </c>
      <c r="V431">
        <v>-3.9</v>
      </c>
      <c r="W431">
        <v>5.0999999999999996</v>
      </c>
      <c r="Y431" s="3">
        <v>990</v>
      </c>
      <c r="Z431" s="3">
        <v>104</v>
      </c>
      <c r="AA431" s="3">
        <v>1</v>
      </c>
      <c r="AB431">
        <v>89.2</v>
      </c>
      <c r="AC431">
        <v>1.9900000000000001E-2</v>
      </c>
    </row>
    <row r="432" spans="1:29" x14ac:dyDescent="0.25">
      <c r="A432" s="3">
        <v>950</v>
      </c>
      <c r="B432" s="3">
        <v>5</v>
      </c>
      <c r="C432" s="3">
        <v>2</v>
      </c>
      <c r="I432" s="3">
        <v>950</v>
      </c>
      <c r="J432" s="3">
        <v>5</v>
      </c>
      <c r="K432" s="3">
        <v>2</v>
      </c>
      <c r="Q432" s="3">
        <v>950</v>
      </c>
      <c r="R432" s="3">
        <v>5</v>
      </c>
      <c r="S432" s="3">
        <v>2</v>
      </c>
      <c r="T432">
        <v>90.92</v>
      </c>
      <c r="U432">
        <v>2.0230000000000001E-2</v>
      </c>
      <c r="V432">
        <v>-4.3</v>
      </c>
      <c r="W432">
        <v>5.5</v>
      </c>
      <c r="Y432" s="3">
        <v>990</v>
      </c>
      <c r="Z432" s="3">
        <v>110</v>
      </c>
      <c r="AA432" s="3">
        <v>1</v>
      </c>
      <c r="AB432">
        <v>87.5</v>
      </c>
      <c r="AC432">
        <v>1.7500000000000002E-2</v>
      </c>
    </row>
    <row r="433" spans="1:29" x14ac:dyDescent="0.25">
      <c r="A433" s="3">
        <v>950</v>
      </c>
      <c r="B433" s="3">
        <v>5</v>
      </c>
      <c r="C433" s="3">
        <v>3</v>
      </c>
      <c r="I433" s="3">
        <v>950</v>
      </c>
      <c r="J433" s="3">
        <v>5</v>
      </c>
      <c r="K433" s="3">
        <v>3</v>
      </c>
      <c r="Q433" s="3">
        <v>950</v>
      </c>
      <c r="R433" s="3">
        <v>5</v>
      </c>
      <c r="S433" s="3">
        <v>3</v>
      </c>
      <c r="T433">
        <v>91.67</v>
      </c>
      <c r="U433">
        <v>1.9859999999999999E-2</v>
      </c>
      <c r="V433">
        <v>165</v>
      </c>
      <c r="W433">
        <v>9.6999999999999993</v>
      </c>
      <c r="Y433" s="3">
        <v>990</v>
      </c>
      <c r="Z433" s="3">
        <v>114</v>
      </c>
      <c r="AA433" s="3">
        <v>1</v>
      </c>
      <c r="AB433">
        <v>90.8</v>
      </c>
      <c r="AC433">
        <v>2.0199999999999999E-2</v>
      </c>
    </row>
    <row r="434" spans="1:29" x14ac:dyDescent="0.25">
      <c r="A434" s="3">
        <v>950</v>
      </c>
      <c r="B434" s="3">
        <v>6</v>
      </c>
      <c r="C434" s="3">
        <v>1</v>
      </c>
      <c r="D434">
        <v>4.9382716049390443E-2</v>
      </c>
      <c r="E434">
        <v>0.25974025974026038</v>
      </c>
      <c r="I434" s="3">
        <v>950</v>
      </c>
      <c r="J434" s="3">
        <v>6</v>
      </c>
      <c r="K434" s="3">
        <v>1</v>
      </c>
      <c r="L434">
        <v>-4.0000000000006253E-2</v>
      </c>
      <c r="M434">
        <v>-4.0000000000000098E-5</v>
      </c>
      <c r="Q434" s="3">
        <v>950</v>
      </c>
      <c r="R434" s="3">
        <v>6</v>
      </c>
      <c r="S434" s="3">
        <v>1</v>
      </c>
      <c r="T434">
        <v>80.959999999999994</v>
      </c>
      <c r="U434">
        <v>1.536E-2</v>
      </c>
      <c r="V434">
        <v>-1.3</v>
      </c>
      <c r="W434">
        <v>4.5999999999999996</v>
      </c>
    </row>
    <row r="435" spans="1:29" x14ac:dyDescent="0.25">
      <c r="A435" s="3">
        <v>950</v>
      </c>
      <c r="B435" s="3">
        <v>6</v>
      </c>
      <c r="C435" s="3">
        <v>2</v>
      </c>
      <c r="I435" s="3">
        <v>950</v>
      </c>
      <c r="J435" s="3">
        <v>6</v>
      </c>
      <c r="K435" s="3">
        <v>2</v>
      </c>
      <c r="Q435" s="3">
        <v>950</v>
      </c>
      <c r="R435" s="3">
        <v>6</v>
      </c>
      <c r="S435" s="3">
        <v>2</v>
      </c>
      <c r="T435">
        <v>82.44</v>
      </c>
      <c r="U435">
        <v>1.627E-2</v>
      </c>
      <c r="V435">
        <v>162.30000000000001</v>
      </c>
      <c r="W435">
        <v>5.4</v>
      </c>
    </row>
    <row r="436" spans="1:29" x14ac:dyDescent="0.25">
      <c r="A436" s="3">
        <v>950</v>
      </c>
      <c r="B436" s="3">
        <v>6</v>
      </c>
      <c r="C436" s="3">
        <v>3</v>
      </c>
      <c r="I436" s="3">
        <v>950</v>
      </c>
      <c r="J436" s="3">
        <v>6</v>
      </c>
      <c r="K436" s="3">
        <v>3</v>
      </c>
      <c r="Q436" s="3">
        <v>950</v>
      </c>
      <c r="R436" s="3">
        <v>6</v>
      </c>
      <c r="S436" s="3">
        <v>3</v>
      </c>
      <c r="T436">
        <v>88</v>
      </c>
      <c r="U436">
        <v>1.7309999999999999E-2</v>
      </c>
      <c r="V436">
        <v>650.1</v>
      </c>
      <c r="W436">
        <v>8.1</v>
      </c>
    </row>
    <row r="437" spans="1:29" x14ac:dyDescent="0.25">
      <c r="A437" s="3">
        <v>950</v>
      </c>
      <c r="B437" s="3">
        <v>7</v>
      </c>
      <c r="C437" s="3">
        <v>1</v>
      </c>
      <c r="D437">
        <v>2.442002442003691E-2</v>
      </c>
      <c r="E437">
        <v>6.8965517241388455E-2</v>
      </c>
      <c r="I437" s="3">
        <v>950</v>
      </c>
      <c r="J437" s="3">
        <v>7</v>
      </c>
      <c r="K437" s="3">
        <v>1</v>
      </c>
      <c r="L437">
        <v>-2.0000000000010228E-2</v>
      </c>
      <c r="M437">
        <v>-1.0000000000001331E-5</v>
      </c>
      <c r="Q437" s="3">
        <v>950</v>
      </c>
      <c r="R437" s="3">
        <v>7</v>
      </c>
      <c r="S437" s="3">
        <v>1</v>
      </c>
      <c r="T437">
        <v>81.88</v>
      </c>
      <c r="U437">
        <v>1.4489999999999999E-2</v>
      </c>
      <c r="V437">
        <v>214.2</v>
      </c>
      <c r="W437">
        <v>-212.2</v>
      </c>
    </row>
    <row r="438" spans="1:29" x14ac:dyDescent="0.25">
      <c r="A438" s="3">
        <v>950</v>
      </c>
      <c r="B438" s="3">
        <v>8</v>
      </c>
      <c r="C438" s="3">
        <v>1</v>
      </c>
      <c r="D438">
        <v>2.361275088547346E-2</v>
      </c>
      <c r="E438">
        <v>0.13333333333333949</v>
      </c>
      <c r="I438" s="3">
        <v>950</v>
      </c>
      <c r="J438" s="3">
        <v>8</v>
      </c>
      <c r="K438" s="3">
        <v>1</v>
      </c>
      <c r="L438">
        <v>-1.9999999999996021E-2</v>
      </c>
      <c r="M438">
        <v>2.000000000000092E-5</v>
      </c>
      <c r="Q438" s="3">
        <v>950</v>
      </c>
      <c r="R438" s="3">
        <v>8</v>
      </c>
      <c r="S438" s="3">
        <v>1</v>
      </c>
      <c r="T438">
        <v>84.68</v>
      </c>
      <c r="U438">
        <v>1.502E-2</v>
      </c>
      <c r="V438">
        <v>16.7</v>
      </c>
      <c r="W438">
        <v>8.1999999999999993</v>
      </c>
    </row>
    <row r="439" spans="1:29" x14ac:dyDescent="0.25">
      <c r="A439" s="3">
        <v>950</v>
      </c>
      <c r="B439" s="3">
        <v>8</v>
      </c>
      <c r="C439" s="3">
        <v>2</v>
      </c>
      <c r="I439" s="3">
        <v>950</v>
      </c>
      <c r="J439" s="3">
        <v>8</v>
      </c>
      <c r="K439" s="3">
        <v>2</v>
      </c>
      <c r="Q439" s="3">
        <v>950</v>
      </c>
      <c r="R439" s="3">
        <v>8</v>
      </c>
      <c r="S439" s="3">
        <v>2</v>
      </c>
      <c r="T439">
        <v>84.97</v>
      </c>
      <c r="U439">
        <v>1.4749999999999999E-2</v>
      </c>
      <c r="V439">
        <v>-30.8</v>
      </c>
      <c r="W439">
        <v>-153.6</v>
      </c>
    </row>
    <row r="440" spans="1:29" x14ac:dyDescent="0.25">
      <c r="A440" s="3">
        <v>950</v>
      </c>
      <c r="B440" s="3">
        <v>9</v>
      </c>
      <c r="C440" s="3">
        <v>1</v>
      </c>
      <c r="D440">
        <v>1.236093943138554E-2</v>
      </c>
      <c r="E440">
        <v>0.22058823529412139</v>
      </c>
      <c r="I440" s="3">
        <v>950</v>
      </c>
      <c r="J440" s="3">
        <v>9</v>
      </c>
      <c r="K440" s="3">
        <v>1</v>
      </c>
      <c r="L440">
        <v>9.9999999999909051E-3</v>
      </c>
      <c r="M440">
        <v>3.0000000000000509E-5</v>
      </c>
      <c r="Q440" s="3">
        <v>950</v>
      </c>
      <c r="R440" s="3">
        <v>9</v>
      </c>
      <c r="S440" s="3">
        <v>1</v>
      </c>
      <c r="T440">
        <v>80.91</v>
      </c>
      <c r="U440">
        <v>1.363E-2</v>
      </c>
      <c r="V440">
        <v>262.7</v>
      </c>
      <c r="W440">
        <v>-22.2</v>
      </c>
    </row>
    <row r="441" spans="1:29" x14ac:dyDescent="0.25">
      <c r="A441" s="3">
        <v>950</v>
      </c>
      <c r="B441" s="3">
        <v>9</v>
      </c>
      <c r="C441" s="3">
        <v>2</v>
      </c>
      <c r="I441" s="3">
        <v>950</v>
      </c>
      <c r="J441" s="3">
        <v>9</v>
      </c>
      <c r="K441" s="3">
        <v>2</v>
      </c>
      <c r="Q441" s="3">
        <v>950</v>
      </c>
      <c r="R441" s="3">
        <v>9</v>
      </c>
      <c r="S441" s="3">
        <v>2</v>
      </c>
      <c r="T441">
        <v>80.91</v>
      </c>
      <c r="U441">
        <v>1.3639999999999999E-2</v>
      </c>
      <c r="V441">
        <v>284.89999999999998</v>
      </c>
      <c r="W441">
        <v>43.1</v>
      </c>
    </row>
    <row r="442" spans="1:29" x14ac:dyDescent="0.25">
      <c r="A442" s="3">
        <v>950</v>
      </c>
      <c r="B442" s="3">
        <v>9</v>
      </c>
      <c r="C442" s="3">
        <v>3</v>
      </c>
      <c r="I442" s="3">
        <v>950</v>
      </c>
      <c r="J442" s="3">
        <v>9</v>
      </c>
      <c r="K442" s="3">
        <v>3</v>
      </c>
      <c r="Q442" s="3">
        <v>950</v>
      </c>
      <c r="R442" s="3">
        <v>9</v>
      </c>
      <c r="S442" s="3">
        <v>3</v>
      </c>
      <c r="T442">
        <v>81.180000000000007</v>
      </c>
      <c r="U442">
        <v>1.3979999999999999E-2</v>
      </c>
      <c r="V442">
        <v>40.700000000000003</v>
      </c>
      <c r="W442">
        <v>45.1</v>
      </c>
    </row>
    <row r="443" spans="1:29" x14ac:dyDescent="0.25">
      <c r="A443" s="3">
        <v>950</v>
      </c>
      <c r="B443" s="3">
        <v>9</v>
      </c>
      <c r="C443" s="3">
        <v>4</v>
      </c>
      <c r="I443" s="3">
        <v>950</v>
      </c>
      <c r="J443" s="3">
        <v>9</v>
      </c>
      <c r="K443" s="3">
        <v>4</v>
      </c>
      <c r="Q443" s="3">
        <v>950</v>
      </c>
      <c r="R443" s="3">
        <v>9</v>
      </c>
      <c r="S443" s="3">
        <v>4</v>
      </c>
      <c r="T443">
        <v>80.400000000000006</v>
      </c>
      <c r="U443">
        <v>1.3990000000000001E-2</v>
      </c>
      <c r="V443">
        <v>-160.1</v>
      </c>
      <c r="W443">
        <v>-119.3</v>
      </c>
    </row>
    <row r="444" spans="1:29" x14ac:dyDescent="0.25">
      <c r="A444" s="3">
        <v>950</v>
      </c>
      <c r="B444" s="3">
        <v>10</v>
      </c>
      <c r="C444" s="3">
        <v>1</v>
      </c>
      <c r="D444">
        <v>1.168224299066018E-2</v>
      </c>
      <c r="E444">
        <v>6.451612903225544E-2</v>
      </c>
      <c r="I444" s="3">
        <v>950</v>
      </c>
      <c r="J444" s="3">
        <v>10</v>
      </c>
      <c r="K444" s="3">
        <v>1</v>
      </c>
      <c r="L444">
        <v>1.0000000000005119E-2</v>
      </c>
      <c r="M444">
        <v>-9.9999999999995925E-6</v>
      </c>
      <c r="Q444" s="3">
        <v>950</v>
      </c>
      <c r="R444" s="3">
        <v>10</v>
      </c>
      <c r="S444" s="3">
        <v>1</v>
      </c>
      <c r="T444">
        <v>85.61</v>
      </c>
      <c r="U444">
        <v>1.549E-2</v>
      </c>
      <c r="V444">
        <v>-24</v>
      </c>
      <c r="W444">
        <v>-123.1</v>
      </c>
    </row>
    <row r="445" spans="1:29" x14ac:dyDescent="0.25">
      <c r="A445" s="3">
        <v>950</v>
      </c>
      <c r="B445" s="3">
        <v>10</v>
      </c>
      <c r="C445" s="3">
        <v>2</v>
      </c>
      <c r="I445" s="3">
        <v>950</v>
      </c>
      <c r="J445" s="3">
        <v>10</v>
      </c>
      <c r="K445" s="3">
        <v>2</v>
      </c>
      <c r="Q445" s="3">
        <v>950</v>
      </c>
      <c r="R445" s="3">
        <v>10</v>
      </c>
      <c r="S445" s="3">
        <v>2</v>
      </c>
      <c r="T445">
        <v>85.9</v>
      </c>
      <c r="U445">
        <v>1.541E-2</v>
      </c>
      <c r="V445">
        <v>24.7</v>
      </c>
      <c r="W445">
        <v>23.7</v>
      </c>
    </row>
    <row r="446" spans="1:29" x14ac:dyDescent="0.25">
      <c r="A446" s="3">
        <v>950</v>
      </c>
      <c r="B446" s="3">
        <v>11</v>
      </c>
      <c r="C446" s="3">
        <v>1</v>
      </c>
      <c r="D446">
        <v>5.3120849933607238E-2</v>
      </c>
      <c r="E446">
        <v>0.25423728813559759</v>
      </c>
      <c r="I446" s="3">
        <v>950</v>
      </c>
      <c r="J446" s="3">
        <v>11</v>
      </c>
      <c r="K446" s="3">
        <v>1</v>
      </c>
      <c r="L446">
        <v>4.0000000000006253E-2</v>
      </c>
      <c r="M446">
        <v>3.0000000000000509E-5</v>
      </c>
      <c r="Q446" s="3">
        <v>950</v>
      </c>
      <c r="R446" s="3">
        <v>11</v>
      </c>
      <c r="S446" s="3">
        <v>1</v>
      </c>
      <c r="T446">
        <v>75.34</v>
      </c>
      <c r="U446">
        <v>1.183E-2</v>
      </c>
      <c r="V446">
        <v>-541.4</v>
      </c>
      <c r="W446">
        <v>-839.8</v>
      </c>
    </row>
    <row r="447" spans="1:29" x14ac:dyDescent="0.25">
      <c r="A447" s="3">
        <v>950</v>
      </c>
      <c r="B447" s="3">
        <v>12</v>
      </c>
      <c r="C447" s="3">
        <v>1</v>
      </c>
      <c r="D447">
        <v>2.3201856148487261E-2</v>
      </c>
      <c r="E447">
        <v>0.30674846625767749</v>
      </c>
      <c r="I447" s="3">
        <v>950</v>
      </c>
      <c r="J447" s="3">
        <v>12</v>
      </c>
      <c r="K447" s="3">
        <v>1</v>
      </c>
      <c r="L447">
        <v>-1.9999999999996021E-2</v>
      </c>
      <c r="M447">
        <v>5.0000000000001432E-5</v>
      </c>
      <c r="Q447" s="3">
        <v>950</v>
      </c>
      <c r="R447" s="3">
        <v>12</v>
      </c>
      <c r="S447" s="3">
        <v>1</v>
      </c>
      <c r="T447">
        <v>86.18</v>
      </c>
      <c r="U447">
        <v>1.635E-2</v>
      </c>
      <c r="V447">
        <v>1.2</v>
      </c>
      <c r="W447">
        <v>1.2</v>
      </c>
    </row>
    <row r="448" spans="1:29" x14ac:dyDescent="0.25">
      <c r="A448" s="3">
        <v>950</v>
      </c>
      <c r="B448" s="3">
        <v>12</v>
      </c>
      <c r="C448" s="3">
        <v>2</v>
      </c>
      <c r="I448" s="3">
        <v>950</v>
      </c>
      <c r="J448" s="3">
        <v>12</v>
      </c>
      <c r="K448" s="3">
        <v>2</v>
      </c>
      <c r="Q448" s="3">
        <v>950</v>
      </c>
      <c r="R448" s="3">
        <v>12</v>
      </c>
      <c r="S448" s="3">
        <v>2</v>
      </c>
      <c r="T448">
        <v>91.16</v>
      </c>
      <c r="U448">
        <v>1.8939999999999999E-2</v>
      </c>
      <c r="V448">
        <v>1.1000000000000001</v>
      </c>
      <c r="W448">
        <v>1.2</v>
      </c>
    </row>
    <row r="449" spans="1:23" x14ac:dyDescent="0.25">
      <c r="A449" s="3">
        <v>950</v>
      </c>
      <c r="B449" s="3">
        <v>12</v>
      </c>
      <c r="C449" s="3">
        <v>3</v>
      </c>
      <c r="I449" s="3">
        <v>950</v>
      </c>
      <c r="J449" s="3">
        <v>12</v>
      </c>
      <c r="K449" s="3">
        <v>3</v>
      </c>
      <c r="Q449" s="3">
        <v>950</v>
      </c>
      <c r="R449" s="3">
        <v>12</v>
      </c>
      <c r="S449" s="3">
        <v>3</v>
      </c>
      <c r="T449">
        <v>91.81</v>
      </c>
      <c r="U449">
        <v>1.9910000000000001E-2</v>
      </c>
      <c r="V449">
        <v>1.2</v>
      </c>
      <c r="W449">
        <v>1.2</v>
      </c>
    </row>
    <row r="450" spans="1:23" x14ac:dyDescent="0.25">
      <c r="A450" s="3">
        <v>950</v>
      </c>
      <c r="B450" s="3">
        <v>13</v>
      </c>
      <c r="C450" s="3">
        <v>1</v>
      </c>
      <c r="D450">
        <v>2.2148394241413089E-2</v>
      </c>
      <c r="E450">
        <v>0.19801980198020711</v>
      </c>
      <c r="I450" s="3">
        <v>950</v>
      </c>
      <c r="J450" s="3">
        <v>13</v>
      </c>
      <c r="K450" s="3">
        <v>1</v>
      </c>
      <c r="L450">
        <v>1.9999999999996021E-2</v>
      </c>
      <c r="M450">
        <v>4.000000000000184E-5</v>
      </c>
      <c r="Q450" s="3">
        <v>950</v>
      </c>
      <c r="R450" s="3">
        <v>13</v>
      </c>
      <c r="S450" s="3">
        <v>1</v>
      </c>
      <c r="T450">
        <v>90.32</v>
      </c>
      <c r="U450">
        <v>2.0240000000000001E-2</v>
      </c>
      <c r="V450">
        <v>1.9</v>
      </c>
      <c r="W450">
        <v>1</v>
      </c>
    </row>
    <row r="451" spans="1:23" x14ac:dyDescent="0.25">
      <c r="A451" s="3">
        <v>950</v>
      </c>
      <c r="B451" s="3">
        <v>13</v>
      </c>
      <c r="C451" s="3">
        <v>2</v>
      </c>
      <c r="I451" s="3">
        <v>950</v>
      </c>
      <c r="J451" s="3">
        <v>13</v>
      </c>
      <c r="K451" s="3">
        <v>2</v>
      </c>
      <c r="Q451" s="3">
        <v>950</v>
      </c>
      <c r="R451" s="3">
        <v>13</v>
      </c>
      <c r="S451" s="3">
        <v>2</v>
      </c>
      <c r="T451">
        <v>90.06</v>
      </c>
      <c r="U451">
        <v>2.0219999999999998E-2</v>
      </c>
      <c r="V451">
        <v>1.9</v>
      </c>
      <c r="W451">
        <v>1</v>
      </c>
    </row>
    <row r="452" spans="1:23" x14ac:dyDescent="0.25">
      <c r="A452" s="3">
        <v>950</v>
      </c>
      <c r="B452" s="3">
        <v>14</v>
      </c>
      <c r="C452" s="3">
        <v>1</v>
      </c>
      <c r="D452">
        <v>4.4543429844104962E-2</v>
      </c>
      <c r="E452">
        <v>0</v>
      </c>
      <c r="I452" s="3">
        <v>950</v>
      </c>
      <c r="J452" s="3">
        <v>14</v>
      </c>
      <c r="K452" s="3">
        <v>1</v>
      </c>
      <c r="L452">
        <v>4.0000000000006253E-2</v>
      </c>
      <c r="M452">
        <v>0</v>
      </c>
      <c r="Q452" s="3">
        <v>950</v>
      </c>
      <c r="R452" s="3">
        <v>14</v>
      </c>
      <c r="S452" s="3">
        <v>1</v>
      </c>
      <c r="T452">
        <v>89.84</v>
      </c>
      <c r="U452">
        <v>2.0199999999999999E-2</v>
      </c>
      <c r="V452">
        <v>1</v>
      </c>
      <c r="W452">
        <v>1.2</v>
      </c>
    </row>
    <row r="453" spans="1:23" x14ac:dyDescent="0.25">
      <c r="A453" s="3">
        <v>950</v>
      </c>
      <c r="B453" s="3">
        <v>14</v>
      </c>
      <c r="C453" s="3">
        <v>2</v>
      </c>
      <c r="I453" s="3">
        <v>950</v>
      </c>
      <c r="J453" s="3">
        <v>14</v>
      </c>
      <c r="K453" s="3">
        <v>2</v>
      </c>
      <c r="Q453" s="3">
        <v>950</v>
      </c>
      <c r="R453" s="3">
        <v>14</v>
      </c>
      <c r="S453" s="3">
        <v>2</v>
      </c>
      <c r="T453">
        <v>89.96</v>
      </c>
      <c r="U453">
        <v>2.019E-2</v>
      </c>
      <c r="V453">
        <v>1</v>
      </c>
      <c r="W453">
        <v>1.2</v>
      </c>
    </row>
    <row r="454" spans="1:23" x14ac:dyDescent="0.25">
      <c r="A454" s="3">
        <v>950</v>
      </c>
      <c r="B454" s="3">
        <v>103</v>
      </c>
      <c r="C454" s="3">
        <v>1</v>
      </c>
      <c r="D454">
        <v>4.5351473922893473E-2</v>
      </c>
      <c r="E454">
        <v>0</v>
      </c>
      <c r="I454" s="3">
        <v>950</v>
      </c>
      <c r="J454" s="3">
        <v>103</v>
      </c>
      <c r="K454" s="3">
        <v>1</v>
      </c>
      <c r="L454">
        <v>3.9999999999992042E-2</v>
      </c>
      <c r="M454">
        <v>0</v>
      </c>
      <c r="Q454" s="3">
        <v>950</v>
      </c>
      <c r="R454" s="3">
        <v>103</v>
      </c>
      <c r="S454" s="3">
        <v>1</v>
      </c>
      <c r="T454">
        <v>88.24</v>
      </c>
      <c r="U454">
        <v>2.0199999999999999E-2</v>
      </c>
    </row>
    <row r="455" spans="1:23" x14ac:dyDescent="0.25">
      <c r="A455" s="3">
        <v>950</v>
      </c>
      <c r="B455" s="3">
        <v>104</v>
      </c>
      <c r="C455" s="3">
        <v>1</v>
      </c>
      <c r="D455">
        <v>4.7393364928900519E-2</v>
      </c>
      <c r="E455">
        <v>0.17441860465115569</v>
      </c>
      <c r="I455" s="3">
        <v>950</v>
      </c>
      <c r="J455" s="3">
        <v>104</v>
      </c>
      <c r="K455" s="3">
        <v>1</v>
      </c>
      <c r="L455">
        <v>3.9999999999992042E-2</v>
      </c>
      <c r="M455">
        <v>2.9999999999998781E-5</v>
      </c>
      <c r="Q455" s="3">
        <v>950</v>
      </c>
      <c r="R455" s="3">
        <v>104</v>
      </c>
      <c r="S455" s="3">
        <v>1</v>
      </c>
      <c r="T455">
        <v>84.44</v>
      </c>
      <c r="U455">
        <v>1.7229999999999999E-2</v>
      </c>
    </row>
    <row r="456" spans="1:23" x14ac:dyDescent="0.25">
      <c r="A456" s="3">
        <v>950</v>
      </c>
      <c r="B456" s="3">
        <v>110</v>
      </c>
      <c r="C456" s="3">
        <v>1</v>
      </c>
      <c r="D456">
        <v>2.2346368715079359E-2</v>
      </c>
      <c r="E456">
        <v>0.20304568527917949</v>
      </c>
      <c r="I456" s="3">
        <v>950</v>
      </c>
      <c r="J456" s="3">
        <v>110</v>
      </c>
      <c r="K456" s="3">
        <v>1</v>
      </c>
      <c r="L456">
        <v>1.9999999999996021E-2</v>
      </c>
      <c r="M456">
        <v>-3.999999999999837E-5</v>
      </c>
      <c r="Q456" s="3">
        <v>950</v>
      </c>
      <c r="R456" s="3">
        <v>110</v>
      </c>
      <c r="S456" s="3">
        <v>1</v>
      </c>
      <c r="T456">
        <v>89.52</v>
      </c>
      <c r="U456">
        <v>1.966E-2</v>
      </c>
    </row>
    <row r="457" spans="1:23" x14ac:dyDescent="0.25">
      <c r="A457" s="3">
        <v>950</v>
      </c>
      <c r="B457" s="3">
        <v>114</v>
      </c>
      <c r="C457" s="3">
        <v>1</v>
      </c>
      <c r="D457">
        <v>0</v>
      </c>
      <c r="E457">
        <v>0.19900497512436999</v>
      </c>
      <c r="I457" s="3">
        <v>950</v>
      </c>
      <c r="J457" s="3">
        <v>114</v>
      </c>
      <c r="K457" s="3">
        <v>1</v>
      </c>
      <c r="L457">
        <v>0</v>
      </c>
      <c r="M457">
        <v>-3.999999999999837E-5</v>
      </c>
      <c r="Q457" s="3">
        <v>950</v>
      </c>
      <c r="R457" s="3">
        <v>114</v>
      </c>
      <c r="S457" s="3">
        <v>1</v>
      </c>
      <c r="T457">
        <v>91.2</v>
      </c>
      <c r="U457">
        <v>2.0060000000000001E-2</v>
      </c>
    </row>
    <row r="458" spans="1:23" x14ac:dyDescent="0.25">
      <c r="A458" s="3">
        <v>960</v>
      </c>
      <c r="B458" s="3">
        <v>1</v>
      </c>
      <c r="C458" s="3">
        <v>1</v>
      </c>
      <c r="D458">
        <v>2.2346368715079359E-2</v>
      </c>
      <c r="E458">
        <v>9.9009900990094976E-2</v>
      </c>
      <c r="I458" s="3">
        <v>960</v>
      </c>
      <c r="J458" s="3">
        <v>1</v>
      </c>
      <c r="K458" s="3">
        <v>1</v>
      </c>
      <c r="L458">
        <v>-1.9999999999996021E-2</v>
      </c>
      <c r="M458">
        <v>-1.9999999999999188E-5</v>
      </c>
      <c r="Q458" s="3">
        <v>960</v>
      </c>
      <c r="R458" s="3">
        <v>1</v>
      </c>
      <c r="S458" s="3">
        <v>1</v>
      </c>
      <c r="T458">
        <v>89.48</v>
      </c>
      <c r="U458">
        <v>2.018E-2</v>
      </c>
      <c r="V458">
        <v>-1.3</v>
      </c>
      <c r="W458">
        <v>1.5</v>
      </c>
    </row>
    <row r="459" spans="1:23" x14ac:dyDescent="0.25">
      <c r="A459" s="3">
        <v>960</v>
      </c>
      <c r="B459" s="3">
        <v>2</v>
      </c>
      <c r="C459" s="3">
        <v>1</v>
      </c>
      <c r="D459">
        <v>2.2471910112355081E-2</v>
      </c>
      <c r="E459">
        <v>9.9009900990094976E-2</v>
      </c>
      <c r="I459" s="3">
        <v>960</v>
      </c>
      <c r="J459" s="3">
        <v>2</v>
      </c>
      <c r="K459" s="3">
        <v>1</v>
      </c>
      <c r="L459">
        <v>-1.9999999999996021E-2</v>
      </c>
      <c r="M459">
        <v>-1.9999999999999188E-5</v>
      </c>
      <c r="Q459" s="3">
        <v>960</v>
      </c>
      <c r="R459" s="3">
        <v>2</v>
      </c>
      <c r="S459" s="3">
        <v>1</v>
      </c>
      <c r="T459">
        <v>88.98</v>
      </c>
      <c r="U459">
        <v>2.018E-2</v>
      </c>
      <c r="V459">
        <v>-1.3</v>
      </c>
      <c r="W459">
        <v>1.6</v>
      </c>
    </row>
    <row r="460" spans="1:23" x14ac:dyDescent="0.25">
      <c r="A460" s="3">
        <v>960</v>
      </c>
      <c r="B460" s="3">
        <v>3</v>
      </c>
      <c r="C460" s="3">
        <v>1</v>
      </c>
      <c r="D460">
        <v>2.2598870056492679E-2</v>
      </c>
      <c r="E460">
        <v>4.9504950495047488E-2</v>
      </c>
      <c r="I460" s="3">
        <v>960</v>
      </c>
      <c r="J460" s="3">
        <v>3</v>
      </c>
      <c r="K460" s="3">
        <v>1</v>
      </c>
      <c r="L460">
        <v>-1.9999999999996021E-2</v>
      </c>
      <c r="M460">
        <v>9.9999999999995925E-6</v>
      </c>
      <c r="Q460" s="3">
        <v>960</v>
      </c>
      <c r="R460" s="3">
        <v>3</v>
      </c>
      <c r="S460" s="3">
        <v>1</v>
      </c>
      <c r="T460">
        <v>88.48</v>
      </c>
      <c r="U460">
        <v>2.0209999999999999E-2</v>
      </c>
      <c r="V460">
        <v>-2.7</v>
      </c>
      <c r="W460">
        <v>3.3</v>
      </c>
    </row>
    <row r="461" spans="1:23" x14ac:dyDescent="0.25">
      <c r="A461" s="3">
        <v>960</v>
      </c>
      <c r="B461" s="3">
        <v>3</v>
      </c>
      <c r="C461" s="3">
        <v>2</v>
      </c>
      <c r="I461" s="3">
        <v>960</v>
      </c>
      <c r="J461" s="3">
        <v>3</v>
      </c>
      <c r="K461" s="3">
        <v>2</v>
      </c>
      <c r="Q461" s="3">
        <v>960</v>
      </c>
      <c r="R461" s="3">
        <v>3</v>
      </c>
      <c r="S461" s="3">
        <v>2</v>
      </c>
      <c r="T461">
        <v>88.58</v>
      </c>
      <c r="U461">
        <v>2.0230000000000001E-2</v>
      </c>
      <c r="V461">
        <v>-2.7</v>
      </c>
      <c r="W461">
        <v>3.4</v>
      </c>
    </row>
    <row r="462" spans="1:23" x14ac:dyDescent="0.25">
      <c r="A462" s="3">
        <v>960</v>
      </c>
      <c r="B462" s="3">
        <v>4</v>
      </c>
      <c r="C462" s="3">
        <v>1</v>
      </c>
      <c r="D462">
        <v>2.4449877750606381E-2</v>
      </c>
      <c r="E462">
        <v>0.30864197530862941</v>
      </c>
      <c r="I462" s="3">
        <v>960</v>
      </c>
      <c r="J462" s="3">
        <v>4</v>
      </c>
      <c r="K462" s="3">
        <v>1</v>
      </c>
      <c r="L462">
        <v>1.9999999999996021E-2</v>
      </c>
      <c r="M462">
        <v>-4.9999999999997963E-5</v>
      </c>
      <c r="Q462" s="3">
        <v>960</v>
      </c>
      <c r="R462" s="3">
        <v>4</v>
      </c>
      <c r="S462" s="3">
        <v>1</v>
      </c>
      <c r="T462">
        <v>81.819999999999993</v>
      </c>
      <c r="U462">
        <v>1.6150000000000001E-2</v>
      </c>
      <c r="V462">
        <v>-0.7</v>
      </c>
      <c r="W462">
        <v>6.6</v>
      </c>
    </row>
    <row r="463" spans="1:23" x14ac:dyDescent="0.25">
      <c r="A463" s="3">
        <v>960</v>
      </c>
      <c r="B463" s="3">
        <v>4</v>
      </c>
      <c r="C463" s="3">
        <v>2</v>
      </c>
      <c r="I463" s="3">
        <v>960</v>
      </c>
      <c r="J463" s="3">
        <v>4</v>
      </c>
      <c r="K463" s="3">
        <v>2</v>
      </c>
      <c r="Q463" s="3">
        <v>960</v>
      </c>
      <c r="R463" s="3">
        <v>4</v>
      </c>
      <c r="S463" s="3">
        <v>2</v>
      </c>
      <c r="T463">
        <v>81.69</v>
      </c>
      <c r="U463">
        <v>1.5789999999999998E-2</v>
      </c>
      <c r="V463">
        <v>63</v>
      </c>
      <c r="W463">
        <v>7.2</v>
      </c>
    </row>
    <row r="464" spans="1:23" x14ac:dyDescent="0.25">
      <c r="A464" s="3">
        <v>960</v>
      </c>
      <c r="B464" s="3">
        <v>4</v>
      </c>
      <c r="C464" s="3">
        <v>3</v>
      </c>
      <c r="I464" s="3">
        <v>960</v>
      </c>
      <c r="J464" s="3">
        <v>4</v>
      </c>
      <c r="K464" s="3">
        <v>3</v>
      </c>
      <c r="Q464" s="3">
        <v>960</v>
      </c>
      <c r="R464" s="3">
        <v>4</v>
      </c>
      <c r="S464" s="3">
        <v>3</v>
      </c>
      <c r="T464">
        <v>83.16</v>
      </c>
      <c r="U464">
        <v>1.558E-2</v>
      </c>
      <c r="V464">
        <v>472.4</v>
      </c>
      <c r="W464">
        <v>9.4</v>
      </c>
    </row>
    <row r="465" spans="1:23" x14ac:dyDescent="0.25">
      <c r="A465" s="3">
        <v>960</v>
      </c>
      <c r="B465" s="3">
        <v>5</v>
      </c>
      <c r="C465" s="3">
        <v>1</v>
      </c>
      <c r="D465">
        <v>2.2573363431162789E-2</v>
      </c>
      <c r="E465">
        <v>0.2475247524752546</v>
      </c>
      <c r="I465" s="3">
        <v>960</v>
      </c>
      <c r="J465" s="3">
        <v>5</v>
      </c>
      <c r="K465" s="3">
        <v>1</v>
      </c>
      <c r="L465">
        <v>2.0000000000010228E-2</v>
      </c>
      <c r="M465">
        <v>5.0000000000001432E-5</v>
      </c>
      <c r="Q465" s="3">
        <v>960</v>
      </c>
      <c r="R465" s="3">
        <v>5</v>
      </c>
      <c r="S465" s="3">
        <v>1</v>
      </c>
      <c r="T465">
        <v>88.62</v>
      </c>
      <c r="U465">
        <v>2.0250000000000001E-2</v>
      </c>
      <c r="V465">
        <v>-3.3</v>
      </c>
      <c r="W465">
        <v>4.4000000000000004</v>
      </c>
    </row>
    <row r="466" spans="1:23" x14ac:dyDescent="0.25">
      <c r="A466" s="3">
        <v>960</v>
      </c>
      <c r="B466" s="3">
        <v>5</v>
      </c>
      <c r="C466" s="3">
        <v>2</v>
      </c>
      <c r="I466" s="3">
        <v>960</v>
      </c>
      <c r="J466" s="3">
        <v>5</v>
      </c>
      <c r="K466" s="3">
        <v>2</v>
      </c>
      <c r="Q466" s="3">
        <v>960</v>
      </c>
      <c r="R466" s="3">
        <v>5</v>
      </c>
      <c r="S466" s="3">
        <v>2</v>
      </c>
      <c r="T466">
        <v>89.1</v>
      </c>
      <c r="U466">
        <v>2.0250000000000001E-2</v>
      </c>
      <c r="V466">
        <v>-3.5</v>
      </c>
      <c r="W466">
        <v>4.5999999999999996</v>
      </c>
    </row>
    <row r="467" spans="1:23" x14ac:dyDescent="0.25">
      <c r="A467" s="3">
        <v>960</v>
      </c>
      <c r="B467" s="3">
        <v>5</v>
      </c>
      <c r="C467" s="3">
        <v>3</v>
      </c>
      <c r="I467" s="3">
        <v>960</v>
      </c>
      <c r="J467" s="3">
        <v>5</v>
      </c>
      <c r="K467" s="3">
        <v>3</v>
      </c>
      <c r="Q467" s="3">
        <v>960</v>
      </c>
      <c r="R467" s="3">
        <v>5</v>
      </c>
      <c r="S467" s="3">
        <v>3</v>
      </c>
      <c r="T467">
        <v>89.89</v>
      </c>
      <c r="U467">
        <v>2.0119999999999999E-2</v>
      </c>
      <c r="V467">
        <v>-3.9</v>
      </c>
      <c r="W467">
        <v>4.9000000000000004</v>
      </c>
    </row>
    <row r="468" spans="1:23" x14ac:dyDescent="0.25">
      <c r="A468" s="3">
        <v>960</v>
      </c>
      <c r="B468" s="3">
        <v>6</v>
      </c>
      <c r="C468" s="3">
        <v>1</v>
      </c>
      <c r="D468">
        <v>3.4482758620690973E-2</v>
      </c>
      <c r="E468">
        <v>0.25316455696203688</v>
      </c>
      <c r="I468" s="3">
        <v>960</v>
      </c>
      <c r="J468" s="3">
        <v>6</v>
      </c>
      <c r="K468" s="3">
        <v>1</v>
      </c>
      <c r="L468">
        <v>3.000000000000114E-2</v>
      </c>
      <c r="M468">
        <v>-4.000000000000184E-5</v>
      </c>
      <c r="Q468" s="3">
        <v>960</v>
      </c>
      <c r="R468" s="3">
        <v>6</v>
      </c>
      <c r="S468" s="3">
        <v>1</v>
      </c>
      <c r="T468">
        <v>87.03</v>
      </c>
      <c r="U468">
        <v>1.576E-2</v>
      </c>
      <c r="V468">
        <v>471.9</v>
      </c>
      <c r="W468">
        <v>9.8000000000000007</v>
      </c>
    </row>
    <row r="469" spans="1:23" x14ac:dyDescent="0.25">
      <c r="A469" s="3">
        <v>960</v>
      </c>
      <c r="B469" s="3">
        <v>6</v>
      </c>
      <c r="C469" s="3">
        <v>2</v>
      </c>
      <c r="I469" s="3">
        <v>960</v>
      </c>
      <c r="J469" s="3">
        <v>6</v>
      </c>
      <c r="K469" s="3">
        <v>2</v>
      </c>
      <c r="Q469" s="3">
        <v>960</v>
      </c>
      <c r="R469" s="3">
        <v>6</v>
      </c>
      <c r="S469" s="3">
        <v>2</v>
      </c>
      <c r="T469">
        <v>91.4</v>
      </c>
      <c r="U469">
        <v>1.6809999999999999E-2</v>
      </c>
      <c r="V469">
        <v>311.60000000000002</v>
      </c>
      <c r="W469">
        <v>10.8</v>
      </c>
    </row>
    <row r="470" spans="1:23" x14ac:dyDescent="0.25">
      <c r="A470" s="3">
        <v>960</v>
      </c>
      <c r="B470" s="3">
        <v>6</v>
      </c>
      <c r="C470" s="3">
        <v>3</v>
      </c>
      <c r="I470" s="3">
        <v>960</v>
      </c>
      <c r="J470" s="3">
        <v>6</v>
      </c>
      <c r="K470" s="3">
        <v>3</v>
      </c>
      <c r="Q470" s="3">
        <v>960</v>
      </c>
      <c r="R470" s="3">
        <v>6</v>
      </c>
      <c r="S470" s="3">
        <v>3</v>
      </c>
      <c r="T470">
        <v>90.77</v>
      </c>
      <c r="U470">
        <v>1.7860000000000001E-2</v>
      </c>
      <c r="V470">
        <v>-4.5999999999999996</v>
      </c>
      <c r="W470">
        <v>10.6</v>
      </c>
    </row>
    <row r="471" spans="1:23" x14ac:dyDescent="0.25">
      <c r="A471" s="3">
        <v>960</v>
      </c>
      <c r="B471" s="3">
        <v>7</v>
      </c>
      <c r="C471" s="3">
        <v>1</v>
      </c>
      <c r="D471">
        <v>1.1976047904197739E-2</v>
      </c>
      <c r="E471">
        <v>6.7567567567576536E-2</v>
      </c>
      <c r="I471" s="3">
        <v>960</v>
      </c>
      <c r="J471" s="3">
        <v>7</v>
      </c>
      <c r="K471" s="3">
        <v>1</v>
      </c>
      <c r="L471">
        <v>-1.0000000000005119E-2</v>
      </c>
      <c r="M471">
        <v>-1.0000000000001331E-5</v>
      </c>
      <c r="Q471" s="3">
        <v>960</v>
      </c>
      <c r="R471" s="3">
        <v>7</v>
      </c>
      <c r="S471" s="3">
        <v>1</v>
      </c>
      <c r="T471">
        <v>83.49</v>
      </c>
      <c r="U471">
        <v>1.4789999999999999E-2</v>
      </c>
      <c r="V471">
        <v>-109.7</v>
      </c>
      <c r="W471">
        <v>-215.5</v>
      </c>
    </row>
    <row r="472" spans="1:23" x14ac:dyDescent="0.25">
      <c r="A472" s="3">
        <v>960</v>
      </c>
      <c r="B472" s="3">
        <v>8</v>
      </c>
      <c r="C472" s="3">
        <v>1</v>
      </c>
      <c r="D472">
        <v>1.175088131608802E-2</v>
      </c>
      <c r="E472">
        <v>0.1986754966887336</v>
      </c>
      <c r="I472" s="3">
        <v>960</v>
      </c>
      <c r="J472" s="3">
        <v>8</v>
      </c>
      <c r="K472" s="3">
        <v>1</v>
      </c>
      <c r="L472">
        <v>-9.9999999999909051E-3</v>
      </c>
      <c r="M472">
        <v>2.9999999999998781E-5</v>
      </c>
      <c r="Q472" s="3">
        <v>960</v>
      </c>
      <c r="R472" s="3">
        <v>8</v>
      </c>
      <c r="S472" s="3">
        <v>1</v>
      </c>
      <c r="T472">
        <v>85.09</v>
      </c>
      <c r="U472">
        <v>1.5129999999999999E-2</v>
      </c>
      <c r="V472">
        <v>16.7</v>
      </c>
      <c r="W472">
        <v>8.1999999999999993</v>
      </c>
    </row>
    <row r="473" spans="1:23" x14ac:dyDescent="0.25">
      <c r="A473" s="3">
        <v>960</v>
      </c>
      <c r="B473" s="3">
        <v>8</v>
      </c>
      <c r="C473" s="3">
        <v>2</v>
      </c>
      <c r="I473" s="3">
        <v>960</v>
      </c>
      <c r="J473" s="3">
        <v>8</v>
      </c>
      <c r="K473" s="3">
        <v>2</v>
      </c>
      <c r="Q473" s="3">
        <v>960</v>
      </c>
      <c r="R473" s="3">
        <v>8</v>
      </c>
      <c r="S473" s="3">
        <v>2</v>
      </c>
      <c r="T473">
        <v>85.96</v>
      </c>
      <c r="U473">
        <v>1.583E-2</v>
      </c>
      <c r="V473">
        <v>-30.8</v>
      </c>
      <c r="W473">
        <v>-153.6</v>
      </c>
    </row>
    <row r="474" spans="1:23" x14ac:dyDescent="0.25">
      <c r="A474" s="3">
        <v>960</v>
      </c>
      <c r="B474" s="3">
        <v>9</v>
      </c>
      <c r="C474" s="3">
        <v>1</v>
      </c>
      <c r="D474">
        <v>1.222493887529451E-2</v>
      </c>
      <c r="E474">
        <v>0.2173913043478298</v>
      </c>
      <c r="I474" s="3">
        <v>960</v>
      </c>
      <c r="J474" s="3">
        <v>9</v>
      </c>
      <c r="K474" s="3">
        <v>1</v>
      </c>
      <c r="L474">
        <v>-9.9999999999909051E-3</v>
      </c>
      <c r="M474">
        <v>3.0000000000000509E-5</v>
      </c>
      <c r="Q474" s="3">
        <v>960</v>
      </c>
      <c r="R474" s="3">
        <v>9</v>
      </c>
      <c r="S474" s="3">
        <v>1</v>
      </c>
      <c r="T474">
        <v>81.790000000000006</v>
      </c>
      <c r="U474">
        <v>1.383E-2</v>
      </c>
      <c r="V474">
        <v>-45.1</v>
      </c>
      <c r="W474">
        <v>-26.4</v>
      </c>
    </row>
    <row r="475" spans="1:23" x14ac:dyDescent="0.25">
      <c r="A475" s="3">
        <v>960</v>
      </c>
      <c r="B475" s="3">
        <v>9</v>
      </c>
      <c r="C475" s="3">
        <v>2</v>
      </c>
      <c r="I475" s="3">
        <v>960</v>
      </c>
      <c r="J475" s="3">
        <v>9</v>
      </c>
      <c r="K475" s="3">
        <v>2</v>
      </c>
      <c r="Q475" s="3">
        <v>960</v>
      </c>
      <c r="R475" s="3">
        <v>9</v>
      </c>
      <c r="S475" s="3">
        <v>2</v>
      </c>
      <c r="T475">
        <v>81.14</v>
      </c>
      <c r="U475">
        <v>1.3820000000000001E-2</v>
      </c>
      <c r="V475">
        <v>-22.9</v>
      </c>
      <c r="W475">
        <v>38.9</v>
      </c>
    </row>
    <row r="476" spans="1:23" x14ac:dyDescent="0.25">
      <c r="A476" s="3">
        <v>960</v>
      </c>
      <c r="B476" s="3">
        <v>9</v>
      </c>
      <c r="C476" s="3">
        <v>3</v>
      </c>
      <c r="I476" s="3">
        <v>960</v>
      </c>
      <c r="J476" s="3">
        <v>9</v>
      </c>
      <c r="K476" s="3">
        <v>3</v>
      </c>
      <c r="Q476" s="3">
        <v>960</v>
      </c>
      <c r="R476" s="3">
        <v>9</v>
      </c>
      <c r="S476" s="3">
        <v>3</v>
      </c>
      <c r="T476">
        <v>80.599999999999994</v>
      </c>
      <c r="U476">
        <v>1.397E-2</v>
      </c>
      <c r="V476">
        <v>-26.6</v>
      </c>
      <c r="W476">
        <v>44.5</v>
      </c>
    </row>
    <row r="477" spans="1:23" x14ac:dyDescent="0.25">
      <c r="A477" s="3">
        <v>960</v>
      </c>
      <c r="B477" s="3">
        <v>9</v>
      </c>
      <c r="C477" s="3">
        <v>4</v>
      </c>
      <c r="I477" s="3">
        <v>960</v>
      </c>
      <c r="J477" s="3">
        <v>9</v>
      </c>
      <c r="K477" s="3">
        <v>4</v>
      </c>
      <c r="Q477" s="3">
        <v>960</v>
      </c>
      <c r="R477" s="3">
        <v>9</v>
      </c>
      <c r="S477" s="3">
        <v>4</v>
      </c>
      <c r="T477">
        <v>78.3</v>
      </c>
      <c r="U477">
        <v>1.3270000000000001E-2</v>
      </c>
      <c r="V477">
        <v>-124.4</v>
      </c>
      <c r="W477">
        <v>-116.1</v>
      </c>
    </row>
    <row r="478" spans="1:23" x14ac:dyDescent="0.25">
      <c r="A478" s="3">
        <v>960</v>
      </c>
      <c r="B478" s="3">
        <v>10</v>
      </c>
      <c r="C478" s="3">
        <v>1</v>
      </c>
      <c r="D478">
        <v>3.5087719298246937E-2</v>
      </c>
      <c r="E478">
        <v>0.13071895424837199</v>
      </c>
      <c r="I478" s="3">
        <v>960</v>
      </c>
      <c r="J478" s="3">
        <v>10</v>
      </c>
      <c r="K478" s="3">
        <v>1</v>
      </c>
      <c r="L478">
        <v>-3.000000000000114E-2</v>
      </c>
      <c r="M478">
        <v>2.000000000000092E-5</v>
      </c>
      <c r="Q478" s="3">
        <v>960</v>
      </c>
      <c r="R478" s="3">
        <v>10</v>
      </c>
      <c r="S478" s="3">
        <v>1</v>
      </c>
      <c r="T478">
        <v>85.47</v>
      </c>
      <c r="U478">
        <v>1.532E-2</v>
      </c>
      <c r="V478">
        <v>-24</v>
      </c>
      <c r="W478">
        <v>-123.1</v>
      </c>
    </row>
    <row r="479" spans="1:23" x14ac:dyDescent="0.25">
      <c r="A479" s="3">
        <v>960</v>
      </c>
      <c r="B479" s="3">
        <v>10</v>
      </c>
      <c r="C479" s="3">
        <v>2</v>
      </c>
      <c r="I479" s="3">
        <v>960</v>
      </c>
      <c r="J479" s="3">
        <v>10</v>
      </c>
      <c r="K479" s="3">
        <v>2</v>
      </c>
      <c r="Q479" s="3">
        <v>960</v>
      </c>
      <c r="R479" s="3">
        <v>10</v>
      </c>
      <c r="S479" s="3">
        <v>2</v>
      </c>
      <c r="T479">
        <v>86.12</v>
      </c>
      <c r="U479">
        <v>1.546E-2</v>
      </c>
      <c r="V479">
        <v>24.7</v>
      </c>
      <c r="W479">
        <v>23.7</v>
      </c>
    </row>
    <row r="480" spans="1:23" x14ac:dyDescent="0.25">
      <c r="A480" s="3">
        <v>960</v>
      </c>
      <c r="B480" s="3">
        <v>11</v>
      </c>
      <c r="C480" s="3">
        <v>1</v>
      </c>
      <c r="D480">
        <v>1.3850415512452779E-2</v>
      </c>
      <c r="E480">
        <v>0.47169811320754429</v>
      </c>
      <c r="I480" s="3">
        <v>960</v>
      </c>
      <c r="J480" s="3">
        <v>11</v>
      </c>
      <c r="K480" s="3">
        <v>1</v>
      </c>
      <c r="L480">
        <v>9.9999999999909051E-3</v>
      </c>
      <c r="M480">
        <v>4.9999999999999697E-5</v>
      </c>
      <c r="Q480" s="3">
        <v>960</v>
      </c>
      <c r="R480" s="3">
        <v>11</v>
      </c>
      <c r="S480" s="3">
        <v>1</v>
      </c>
      <c r="T480">
        <v>72.209999999999994</v>
      </c>
      <c r="U480">
        <v>1.065E-2</v>
      </c>
      <c r="V480">
        <v>-484.6</v>
      </c>
      <c r="W480">
        <v>-836.2</v>
      </c>
    </row>
    <row r="481" spans="1:23" x14ac:dyDescent="0.25">
      <c r="A481" s="3">
        <v>960</v>
      </c>
      <c r="B481" s="3">
        <v>12</v>
      </c>
      <c r="C481" s="3">
        <v>1</v>
      </c>
      <c r="D481">
        <v>3.4843205574914222E-2</v>
      </c>
      <c r="E481">
        <v>0.2439024390244014</v>
      </c>
      <c r="I481" s="3">
        <v>960</v>
      </c>
      <c r="J481" s="3">
        <v>12</v>
      </c>
      <c r="K481" s="3">
        <v>1</v>
      </c>
      <c r="L481">
        <v>-3.000000000000114E-2</v>
      </c>
      <c r="M481">
        <v>-4.000000000000184E-5</v>
      </c>
      <c r="Q481" s="3">
        <v>960</v>
      </c>
      <c r="R481" s="3">
        <v>12</v>
      </c>
      <c r="S481" s="3">
        <v>1</v>
      </c>
      <c r="T481">
        <v>86.07</v>
      </c>
      <c r="U481">
        <v>1.636E-2</v>
      </c>
      <c r="V481">
        <v>1</v>
      </c>
      <c r="W481">
        <v>1.4</v>
      </c>
    </row>
    <row r="482" spans="1:23" x14ac:dyDescent="0.25">
      <c r="A482" s="3">
        <v>960</v>
      </c>
      <c r="B482" s="3">
        <v>12</v>
      </c>
      <c r="C482" s="3">
        <v>2</v>
      </c>
      <c r="I482" s="3">
        <v>960</v>
      </c>
      <c r="J482" s="3">
        <v>12</v>
      </c>
      <c r="K482" s="3">
        <v>2</v>
      </c>
      <c r="Q482" s="3">
        <v>960</v>
      </c>
      <c r="R482" s="3">
        <v>12</v>
      </c>
      <c r="S482" s="3">
        <v>2</v>
      </c>
      <c r="T482">
        <v>90.92</v>
      </c>
      <c r="U482">
        <v>1.891E-2</v>
      </c>
      <c r="V482">
        <v>0.9</v>
      </c>
      <c r="W482">
        <v>1.5</v>
      </c>
    </row>
    <row r="483" spans="1:23" x14ac:dyDescent="0.25">
      <c r="A483" s="3">
        <v>960</v>
      </c>
      <c r="B483" s="3">
        <v>12</v>
      </c>
      <c r="C483" s="3">
        <v>3</v>
      </c>
      <c r="I483" s="3">
        <v>960</v>
      </c>
      <c r="J483" s="3">
        <v>12</v>
      </c>
      <c r="K483" s="3">
        <v>3</v>
      </c>
      <c r="Q483" s="3">
        <v>960</v>
      </c>
      <c r="R483" s="3">
        <v>12</v>
      </c>
      <c r="S483" s="3">
        <v>3</v>
      </c>
      <c r="T483">
        <v>91.54</v>
      </c>
      <c r="U483">
        <v>1.9900000000000001E-2</v>
      </c>
      <c r="V483">
        <v>0.9</v>
      </c>
      <c r="W483">
        <v>1.5</v>
      </c>
    </row>
    <row r="484" spans="1:23" x14ac:dyDescent="0.25">
      <c r="A484" s="3">
        <v>960</v>
      </c>
      <c r="B484" s="3">
        <v>13</v>
      </c>
      <c r="C484" s="3">
        <v>1</v>
      </c>
      <c r="D484">
        <v>0</v>
      </c>
      <c r="E484">
        <v>0.14851485148515961</v>
      </c>
      <c r="I484" s="3">
        <v>960</v>
      </c>
      <c r="J484" s="3">
        <v>13</v>
      </c>
      <c r="K484" s="3">
        <v>1</v>
      </c>
      <c r="L484">
        <v>0</v>
      </c>
      <c r="M484">
        <v>3.000000000000225E-5</v>
      </c>
      <c r="Q484" s="3">
        <v>960</v>
      </c>
      <c r="R484" s="3">
        <v>13</v>
      </c>
      <c r="S484" s="3">
        <v>1</v>
      </c>
      <c r="T484">
        <v>90</v>
      </c>
      <c r="U484">
        <v>2.0230000000000001E-2</v>
      </c>
      <c r="V484">
        <v>-0.3</v>
      </c>
      <c r="W484">
        <v>3.3</v>
      </c>
    </row>
    <row r="485" spans="1:23" x14ac:dyDescent="0.25">
      <c r="A485" s="3">
        <v>960</v>
      </c>
      <c r="B485" s="3">
        <v>13</v>
      </c>
      <c r="C485" s="3">
        <v>2</v>
      </c>
      <c r="I485" s="3">
        <v>960</v>
      </c>
      <c r="J485" s="3">
        <v>13</v>
      </c>
      <c r="K485" s="3">
        <v>2</v>
      </c>
      <c r="Q485" s="3">
        <v>960</v>
      </c>
      <c r="R485" s="3">
        <v>13</v>
      </c>
      <c r="S485" s="3">
        <v>2</v>
      </c>
      <c r="T485">
        <v>89.77</v>
      </c>
      <c r="U485">
        <v>2.0209999999999999E-2</v>
      </c>
      <c r="V485">
        <v>-0.3</v>
      </c>
      <c r="W485">
        <v>3.2</v>
      </c>
    </row>
    <row r="486" spans="1:23" x14ac:dyDescent="0.25">
      <c r="A486" s="3">
        <v>960</v>
      </c>
      <c r="B486" s="3">
        <v>14</v>
      </c>
      <c r="C486" s="3">
        <v>1</v>
      </c>
      <c r="D486">
        <v>0</v>
      </c>
      <c r="E486">
        <v>0</v>
      </c>
      <c r="I486" s="3">
        <v>960</v>
      </c>
      <c r="J486" s="3">
        <v>14</v>
      </c>
      <c r="K486" s="3">
        <v>1</v>
      </c>
      <c r="L486">
        <v>0</v>
      </c>
      <c r="M486">
        <v>0</v>
      </c>
      <c r="Q486" s="3">
        <v>960</v>
      </c>
      <c r="R486" s="3">
        <v>14</v>
      </c>
      <c r="S486" s="3">
        <v>1</v>
      </c>
      <c r="T486">
        <v>89.7</v>
      </c>
      <c r="U486">
        <v>2.0199999999999999E-2</v>
      </c>
      <c r="V486">
        <v>0.1</v>
      </c>
      <c r="W486">
        <v>2.1</v>
      </c>
    </row>
    <row r="487" spans="1:23" x14ac:dyDescent="0.25">
      <c r="A487" s="3">
        <v>960</v>
      </c>
      <c r="B487" s="3">
        <v>14</v>
      </c>
      <c r="C487" s="3">
        <v>2</v>
      </c>
      <c r="I487" s="3">
        <v>960</v>
      </c>
      <c r="J487" s="3">
        <v>14</v>
      </c>
      <c r="K487" s="3">
        <v>2</v>
      </c>
      <c r="Q487" s="3">
        <v>960</v>
      </c>
      <c r="R487" s="3">
        <v>14</v>
      </c>
      <c r="S487" s="3">
        <v>2</v>
      </c>
      <c r="T487">
        <v>89.81</v>
      </c>
      <c r="U487">
        <v>2.018E-2</v>
      </c>
      <c r="V487">
        <v>0</v>
      </c>
      <c r="W487">
        <v>2.1</v>
      </c>
    </row>
    <row r="488" spans="1:23" x14ac:dyDescent="0.25">
      <c r="A488" s="3">
        <v>960</v>
      </c>
      <c r="B488" s="3">
        <v>103</v>
      </c>
      <c r="C488" s="3">
        <v>1</v>
      </c>
      <c r="D488">
        <v>3.3860045146728149E-2</v>
      </c>
      <c r="E488">
        <v>4.9504950495047488E-2</v>
      </c>
      <c r="I488" s="3">
        <v>960</v>
      </c>
      <c r="J488" s="3">
        <v>103</v>
      </c>
      <c r="K488" s="3">
        <v>1</v>
      </c>
      <c r="L488">
        <v>3.000000000000114E-2</v>
      </c>
      <c r="M488">
        <v>-9.9999999999995925E-6</v>
      </c>
      <c r="Q488" s="3">
        <v>960</v>
      </c>
      <c r="R488" s="3">
        <v>103</v>
      </c>
      <c r="S488" s="3">
        <v>1</v>
      </c>
      <c r="T488">
        <v>88.63</v>
      </c>
      <c r="U488">
        <v>2.019E-2</v>
      </c>
    </row>
    <row r="489" spans="1:23" x14ac:dyDescent="0.25">
      <c r="A489" s="3">
        <v>960</v>
      </c>
      <c r="B489" s="3">
        <v>104</v>
      </c>
      <c r="C489" s="3">
        <v>1</v>
      </c>
      <c r="D489">
        <v>4.8192771084344881E-2</v>
      </c>
      <c r="E489">
        <v>0.31055900621118898</v>
      </c>
      <c r="I489" s="3">
        <v>960</v>
      </c>
      <c r="J489" s="3">
        <v>104</v>
      </c>
      <c r="K489" s="3">
        <v>1</v>
      </c>
      <c r="L489">
        <v>4.0000000000006253E-2</v>
      </c>
      <c r="M489">
        <v>5.0000000000001432E-5</v>
      </c>
      <c r="Q489" s="3">
        <v>960</v>
      </c>
      <c r="R489" s="3">
        <v>104</v>
      </c>
      <c r="S489" s="3">
        <v>1</v>
      </c>
      <c r="T489">
        <v>83.04</v>
      </c>
      <c r="U489">
        <v>1.6150000000000001E-2</v>
      </c>
    </row>
    <row r="490" spans="1:23" x14ac:dyDescent="0.25">
      <c r="A490" s="3">
        <v>960</v>
      </c>
      <c r="B490" s="3">
        <v>110</v>
      </c>
      <c r="C490" s="3">
        <v>1</v>
      </c>
      <c r="D490">
        <v>3.3333333333334603E-2</v>
      </c>
      <c r="E490">
        <v>0.14851485148514251</v>
      </c>
      <c r="I490" s="3">
        <v>960</v>
      </c>
      <c r="J490" s="3">
        <v>110</v>
      </c>
      <c r="K490" s="3">
        <v>1</v>
      </c>
      <c r="L490">
        <v>-3.000000000000114E-2</v>
      </c>
      <c r="M490">
        <v>-2.9999999999998781E-5</v>
      </c>
      <c r="Q490" s="3">
        <v>960</v>
      </c>
      <c r="R490" s="3">
        <v>110</v>
      </c>
      <c r="S490" s="3">
        <v>1</v>
      </c>
      <c r="T490">
        <v>89.97</v>
      </c>
      <c r="U490">
        <v>2.017E-2</v>
      </c>
    </row>
    <row r="491" spans="1:23" x14ac:dyDescent="0.25">
      <c r="A491" s="3">
        <v>960</v>
      </c>
      <c r="B491" s="3">
        <v>114</v>
      </c>
      <c r="C491" s="3">
        <v>1</v>
      </c>
      <c r="D491">
        <v>2.2197558268586041E-2</v>
      </c>
      <c r="E491">
        <v>4.9504950495047488E-2</v>
      </c>
      <c r="I491" s="3">
        <v>960</v>
      </c>
      <c r="J491" s="3">
        <v>114</v>
      </c>
      <c r="K491" s="3">
        <v>1</v>
      </c>
      <c r="L491">
        <v>-1.9999999999996021E-2</v>
      </c>
      <c r="M491">
        <v>-9.9999999999995925E-6</v>
      </c>
      <c r="Q491" s="3">
        <v>960</v>
      </c>
      <c r="R491" s="3">
        <v>114</v>
      </c>
      <c r="S491" s="3">
        <v>1</v>
      </c>
      <c r="T491">
        <v>90.08</v>
      </c>
      <c r="U491">
        <v>2.019E-2</v>
      </c>
    </row>
    <row r="492" spans="1:23" x14ac:dyDescent="0.25">
      <c r="A492" s="3">
        <v>970</v>
      </c>
      <c r="B492" s="3">
        <v>1</v>
      </c>
      <c r="C492" s="3">
        <v>1</v>
      </c>
      <c r="D492">
        <v>5.586592178770633E-2</v>
      </c>
      <c r="E492">
        <v>9.9009900990094976E-2</v>
      </c>
      <c r="I492" s="3">
        <v>970</v>
      </c>
      <c r="J492" s="3">
        <v>1</v>
      </c>
      <c r="K492" s="3">
        <v>1</v>
      </c>
      <c r="L492">
        <v>-4.9999999999997158E-2</v>
      </c>
      <c r="M492">
        <v>-1.9999999999999188E-5</v>
      </c>
      <c r="Q492" s="3">
        <v>970</v>
      </c>
      <c r="R492" s="3">
        <v>1</v>
      </c>
      <c r="S492" s="3">
        <v>1</v>
      </c>
      <c r="T492">
        <v>89.45</v>
      </c>
      <c r="U492">
        <v>2.018E-2</v>
      </c>
      <c r="V492">
        <v>-1</v>
      </c>
      <c r="W492">
        <v>1.2</v>
      </c>
    </row>
    <row r="493" spans="1:23" x14ac:dyDescent="0.25">
      <c r="A493" s="3">
        <v>970</v>
      </c>
      <c r="B493" s="3">
        <v>2</v>
      </c>
      <c r="C493" s="3">
        <v>1</v>
      </c>
      <c r="D493">
        <v>2.249718785151408E-2</v>
      </c>
      <c r="E493">
        <v>9.9009900990094976E-2</v>
      </c>
      <c r="I493" s="3">
        <v>970</v>
      </c>
      <c r="J493" s="3">
        <v>2</v>
      </c>
      <c r="K493" s="3">
        <v>1</v>
      </c>
      <c r="L493">
        <v>1.9999999999996021E-2</v>
      </c>
      <c r="M493">
        <v>-1.9999999999999188E-5</v>
      </c>
      <c r="Q493" s="3">
        <v>970</v>
      </c>
      <c r="R493" s="3">
        <v>2</v>
      </c>
      <c r="S493" s="3">
        <v>1</v>
      </c>
      <c r="T493">
        <v>88.92</v>
      </c>
      <c r="U493">
        <v>2.018E-2</v>
      </c>
      <c r="V493">
        <v>-1</v>
      </c>
      <c r="W493">
        <v>1.3</v>
      </c>
    </row>
    <row r="494" spans="1:23" x14ac:dyDescent="0.25">
      <c r="A494" s="3">
        <v>970</v>
      </c>
      <c r="B494" s="3">
        <v>3</v>
      </c>
      <c r="C494" s="3">
        <v>1</v>
      </c>
      <c r="D494">
        <v>3.4013605442178158E-2</v>
      </c>
      <c r="E494">
        <v>0</v>
      </c>
      <c r="I494" s="3">
        <v>970</v>
      </c>
      <c r="J494" s="3">
        <v>3</v>
      </c>
      <c r="K494" s="3">
        <v>1</v>
      </c>
      <c r="L494">
        <v>-3.000000000000114E-2</v>
      </c>
      <c r="M494">
        <v>0</v>
      </c>
      <c r="Q494" s="3">
        <v>970</v>
      </c>
      <c r="R494" s="3">
        <v>3</v>
      </c>
      <c r="S494" s="3">
        <v>1</v>
      </c>
      <c r="T494">
        <v>88.17</v>
      </c>
      <c r="U494">
        <v>2.0199999999999999E-2</v>
      </c>
      <c r="V494">
        <v>-2</v>
      </c>
      <c r="W494">
        <v>2.5</v>
      </c>
    </row>
    <row r="495" spans="1:23" x14ac:dyDescent="0.25">
      <c r="A495" s="3">
        <v>970</v>
      </c>
      <c r="B495" s="3">
        <v>3</v>
      </c>
      <c r="C495" s="3">
        <v>2</v>
      </c>
      <c r="I495" s="3">
        <v>970</v>
      </c>
      <c r="J495" s="3">
        <v>3</v>
      </c>
      <c r="K495" s="3">
        <v>2</v>
      </c>
      <c r="Q495" s="3">
        <v>970</v>
      </c>
      <c r="R495" s="3">
        <v>3</v>
      </c>
      <c r="S495" s="3">
        <v>2</v>
      </c>
      <c r="T495">
        <v>87.94</v>
      </c>
      <c r="U495">
        <v>2.0219999999999998E-2</v>
      </c>
      <c r="V495">
        <v>-1.9</v>
      </c>
      <c r="W495">
        <v>2.5</v>
      </c>
    </row>
    <row r="496" spans="1:23" x14ac:dyDescent="0.25">
      <c r="A496" s="3">
        <v>970</v>
      </c>
      <c r="B496" s="3">
        <v>4</v>
      </c>
      <c r="C496" s="3">
        <v>1</v>
      </c>
      <c r="D496">
        <v>2.306805074970706E-2</v>
      </c>
      <c r="E496">
        <v>0.24999999999998981</v>
      </c>
      <c r="I496" s="3">
        <v>970</v>
      </c>
      <c r="J496" s="3">
        <v>4</v>
      </c>
      <c r="K496" s="3">
        <v>1</v>
      </c>
      <c r="L496">
        <v>-1.9999999999996021E-2</v>
      </c>
      <c r="M496">
        <v>3.999999999999837E-5</v>
      </c>
      <c r="Q496" s="3">
        <v>970</v>
      </c>
      <c r="R496" s="3">
        <v>4</v>
      </c>
      <c r="S496" s="3">
        <v>1</v>
      </c>
      <c r="T496">
        <v>86.68</v>
      </c>
      <c r="U496">
        <v>1.6039999999999999E-2</v>
      </c>
      <c r="V496">
        <v>332</v>
      </c>
      <c r="W496">
        <v>11.7</v>
      </c>
    </row>
    <row r="497" spans="1:23" x14ac:dyDescent="0.25">
      <c r="A497" s="3">
        <v>970</v>
      </c>
      <c r="B497" s="3">
        <v>4</v>
      </c>
      <c r="C497" s="3">
        <v>2</v>
      </c>
      <c r="I497" s="3">
        <v>970</v>
      </c>
      <c r="J497" s="3">
        <v>4</v>
      </c>
      <c r="K497" s="3">
        <v>2</v>
      </c>
      <c r="Q497" s="3">
        <v>970</v>
      </c>
      <c r="R497" s="3">
        <v>4</v>
      </c>
      <c r="S497" s="3">
        <v>2</v>
      </c>
      <c r="T497">
        <v>87.59</v>
      </c>
      <c r="U497">
        <v>1.6420000000000001E-2</v>
      </c>
      <c r="V497">
        <v>9.1999999999999993</v>
      </c>
      <c r="W497">
        <v>11.1</v>
      </c>
    </row>
    <row r="498" spans="1:23" x14ac:dyDescent="0.25">
      <c r="A498" s="3">
        <v>970</v>
      </c>
      <c r="B498" s="3">
        <v>4</v>
      </c>
      <c r="C498" s="3">
        <v>3</v>
      </c>
      <c r="I498" s="3">
        <v>970</v>
      </c>
      <c r="J498" s="3">
        <v>4</v>
      </c>
      <c r="K498" s="3">
        <v>3</v>
      </c>
      <c r="Q498" s="3">
        <v>970</v>
      </c>
      <c r="R498" s="3">
        <v>4</v>
      </c>
      <c r="S498" s="3">
        <v>3</v>
      </c>
      <c r="T498">
        <v>87.88</v>
      </c>
      <c r="U498">
        <v>1.7059999999999999E-2</v>
      </c>
      <c r="V498">
        <v>-2.9</v>
      </c>
      <c r="W498">
        <v>10.6</v>
      </c>
    </row>
    <row r="499" spans="1:23" x14ac:dyDescent="0.25">
      <c r="A499" s="3">
        <v>970</v>
      </c>
      <c r="B499" s="3">
        <v>5</v>
      </c>
      <c r="C499" s="3">
        <v>1</v>
      </c>
      <c r="D499">
        <v>0</v>
      </c>
      <c r="E499">
        <v>0.19801980198020711</v>
      </c>
      <c r="I499" s="3">
        <v>970</v>
      </c>
      <c r="J499" s="3">
        <v>5</v>
      </c>
      <c r="K499" s="3">
        <v>1</v>
      </c>
      <c r="L499">
        <v>0</v>
      </c>
      <c r="M499">
        <v>4.000000000000184E-5</v>
      </c>
      <c r="Q499" s="3">
        <v>970</v>
      </c>
      <c r="R499" s="3">
        <v>5</v>
      </c>
      <c r="S499" s="3">
        <v>1</v>
      </c>
      <c r="T499">
        <v>87.9</v>
      </c>
      <c r="U499">
        <v>2.0240000000000001E-2</v>
      </c>
      <c r="V499">
        <v>-2</v>
      </c>
      <c r="W499">
        <v>2.5</v>
      </c>
    </row>
    <row r="500" spans="1:23" x14ac:dyDescent="0.25">
      <c r="A500" s="3">
        <v>970</v>
      </c>
      <c r="B500" s="3">
        <v>5</v>
      </c>
      <c r="C500" s="3">
        <v>2</v>
      </c>
      <c r="I500" s="3">
        <v>970</v>
      </c>
      <c r="J500" s="3">
        <v>5</v>
      </c>
      <c r="K500" s="3">
        <v>2</v>
      </c>
      <c r="Q500" s="3">
        <v>970</v>
      </c>
      <c r="R500" s="3">
        <v>5</v>
      </c>
      <c r="S500" s="3">
        <v>2</v>
      </c>
      <c r="T500">
        <v>88.07</v>
      </c>
      <c r="U500">
        <v>2.0250000000000001E-2</v>
      </c>
      <c r="V500">
        <v>-2</v>
      </c>
      <c r="W500">
        <v>2.5</v>
      </c>
    </row>
    <row r="501" spans="1:23" x14ac:dyDescent="0.25">
      <c r="A501" s="3">
        <v>970</v>
      </c>
      <c r="B501" s="3">
        <v>5</v>
      </c>
      <c r="C501" s="3">
        <v>3</v>
      </c>
      <c r="I501" s="3">
        <v>970</v>
      </c>
      <c r="J501" s="3">
        <v>5</v>
      </c>
      <c r="K501" s="3">
        <v>3</v>
      </c>
      <c r="Q501" s="3">
        <v>970</v>
      </c>
      <c r="R501" s="3">
        <v>5</v>
      </c>
      <c r="S501" s="3">
        <v>3</v>
      </c>
      <c r="T501">
        <v>88.54</v>
      </c>
      <c r="U501">
        <v>2.0199999999999999E-2</v>
      </c>
      <c r="V501">
        <v>-2.1</v>
      </c>
      <c r="W501">
        <v>2.7</v>
      </c>
    </row>
    <row r="502" spans="1:23" x14ac:dyDescent="0.25">
      <c r="A502" s="3">
        <v>970</v>
      </c>
      <c r="B502" s="3">
        <v>6</v>
      </c>
      <c r="C502" s="3">
        <v>1</v>
      </c>
      <c r="D502">
        <v>3.3936651583711688E-2</v>
      </c>
      <c r="E502">
        <v>0.11764705882352459</v>
      </c>
      <c r="I502" s="3">
        <v>970</v>
      </c>
      <c r="J502" s="3">
        <v>6</v>
      </c>
      <c r="K502" s="3">
        <v>1</v>
      </c>
      <c r="L502">
        <v>3.000000000000114E-2</v>
      </c>
      <c r="M502">
        <v>1.9999999999999188E-5</v>
      </c>
      <c r="Q502" s="3">
        <v>970</v>
      </c>
      <c r="R502" s="3">
        <v>6</v>
      </c>
      <c r="S502" s="3">
        <v>1</v>
      </c>
      <c r="T502">
        <v>88.43</v>
      </c>
      <c r="U502">
        <v>1.702E-2</v>
      </c>
      <c r="V502">
        <v>-3.9</v>
      </c>
      <c r="W502">
        <v>8.5</v>
      </c>
    </row>
    <row r="503" spans="1:23" x14ac:dyDescent="0.25">
      <c r="A503" s="3">
        <v>970</v>
      </c>
      <c r="B503" s="3">
        <v>6</v>
      </c>
      <c r="C503" s="3">
        <v>2</v>
      </c>
      <c r="I503" s="3">
        <v>970</v>
      </c>
      <c r="J503" s="3">
        <v>6</v>
      </c>
      <c r="K503" s="3">
        <v>2</v>
      </c>
      <c r="Q503" s="3">
        <v>970</v>
      </c>
      <c r="R503" s="3">
        <v>6</v>
      </c>
      <c r="S503" s="3">
        <v>2</v>
      </c>
      <c r="T503">
        <v>87.44</v>
      </c>
      <c r="U503">
        <v>1.7479999999999999E-2</v>
      </c>
      <c r="V503">
        <v>-3</v>
      </c>
      <c r="W503">
        <v>7.6</v>
      </c>
    </row>
    <row r="504" spans="1:23" x14ac:dyDescent="0.25">
      <c r="A504" s="3">
        <v>970</v>
      </c>
      <c r="B504" s="3">
        <v>6</v>
      </c>
      <c r="C504" s="3">
        <v>3</v>
      </c>
      <c r="I504" s="3">
        <v>970</v>
      </c>
      <c r="J504" s="3">
        <v>6</v>
      </c>
      <c r="K504" s="3">
        <v>3</v>
      </c>
      <c r="Q504" s="3">
        <v>970</v>
      </c>
      <c r="R504" s="3">
        <v>6</v>
      </c>
      <c r="S504" s="3">
        <v>3</v>
      </c>
      <c r="T504">
        <v>85.96</v>
      </c>
      <c r="U504">
        <v>1.7330000000000002E-2</v>
      </c>
      <c r="V504">
        <v>-2.2999999999999998</v>
      </c>
      <c r="W504">
        <v>6.9</v>
      </c>
    </row>
    <row r="505" spans="1:23" x14ac:dyDescent="0.25">
      <c r="A505" s="3">
        <v>970</v>
      </c>
      <c r="B505" s="3">
        <v>7</v>
      </c>
      <c r="C505" s="3">
        <v>1</v>
      </c>
      <c r="D505">
        <v>3.6585365853659922E-2</v>
      </c>
      <c r="E505">
        <v>0.28368794326241209</v>
      </c>
      <c r="I505" s="3">
        <v>970</v>
      </c>
      <c r="J505" s="3">
        <v>7</v>
      </c>
      <c r="K505" s="3">
        <v>1</v>
      </c>
      <c r="L505">
        <v>3.000000000000114E-2</v>
      </c>
      <c r="M505">
        <v>4.0000000000000098E-5</v>
      </c>
      <c r="Q505" s="3">
        <v>970</v>
      </c>
      <c r="R505" s="3">
        <v>7</v>
      </c>
      <c r="S505" s="3">
        <v>1</v>
      </c>
      <c r="T505">
        <v>82.03</v>
      </c>
      <c r="U505">
        <v>1.414E-2</v>
      </c>
      <c r="V505">
        <v>-110.4</v>
      </c>
      <c r="W505">
        <v>-215.1</v>
      </c>
    </row>
    <row r="506" spans="1:23" x14ac:dyDescent="0.25">
      <c r="A506" s="3">
        <v>970</v>
      </c>
      <c r="B506" s="3">
        <v>8</v>
      </c>
      <c r="C506" s="3">
        <v>1</v>
      </c>
      <c r="D506">
        <v>3.5128805620610229E-2</v>
      </c>
      <c r="E506">
        <v>0.13071895424836069</v>
      </c>
      <c r="I506" s="3">
        <v>970</v>
      </c>
      <c r="J506" s="3">
        <v>8</v>
      </c>
      <c r="K506" s="3">
        <v>1</v>
      </c>
      <c r="L506">
        <v>3.000000000000114E-2</v>
      </c>
      <c r="M506">
        <v>-1.9999999999999188E-5</v>
      </c>
      <c r="Q506" s="3">
        <v>970</v>
      </c>
      <c r="R506" s="3">
        <v>8</v>
      </c>
      <c r="S506" s="3">
        <v>1</v>
      </c>
      <c r="T506">
        <v>85.43</v>
      </c>
      <c r="U506">
        <v>1.528E-2</v>
      </c>
      <c r="V506">
        <v>16.7</v>
      </c>
      <c r="W506">
        <v>8.1999999999999993</v>
      </c>
    </row>
    <row r="507" spans="1:23" x14ac:dyDescent="0.25">
      <c r="A507" s="3">
        <v>970</v>
      </c>
      <c r="B507" s="3">
        <v>8</v>
      </c>
      <c r="C507" s="3">
        <v>2</v>
      </c>
      <c r="I507" s="3">
        <v>970</v>
      </c>
      <c r="J507" s="3">
        <v>8</v>
      </c>
      <c r="K507" s="3">
        <v>2</v>
      </c>
      <c r="Q507" s="3">
        <v>970</v>
      </c>
      <c r="R507" s="3">
        <v>8</v>
      </c>
      <c r="S507" s="3">
        <v>2</v>
      </c>
      <c r="T507">
        <v>86.02</v>
      </c>
      <c r="U507">
        <v>1.5890000000000001E-2</v>
      </c>
      <c r="V507">
        <v>-30.8</v>
      </c>
      <c r="W507">
        <v>-153.6</v>
      </c>
    </row>
    <row r="508" spans="1:23" x14ac:dyDescent="0.25">
      <c r="A508" s="3">
        <v>970</v>
      </c>
      <c r="B508" s="3">
        <v>9</v>
      </c>
      <c r="C508" s="3">
        <v>1</v>
      </c>
      <c r="D508">
        <v>1.2345679012351989E-2</v>
      </c>
      <c r="E508">
        <v>0</v>
      </c>
      <c r="I508" s="3">
        <v>970</v>
      </c>
      <c r="J508" s="3">
        <v>9</v>
      </c>
      <c r="K508" s="3">
        <v>1</v>
      </c>
      <c r="L508">
        <v>1.0000000000005119E-2</v>
      </c>
      <c r="M508">
        <v>0</v>
      </c>
      <c r="Q508" s="3">
        <v>970</v>
      </c>
      <c r="R508" s="3">
        <v>9</v>
      </c>
      <c r="S508" s="3">
        <v>1</v>
      </c>
      <c r="T508">
        <v>81.010000000000005</v>
      </c>
      <c r="U508">
        <v>1.38E-2</v>
      </c>
      <c r="V508">
        <v>-46.2</v>
      </c>
      <c r="W508">
        <v>-25.7</v>
      </c>
    </row>
    <row r="509" spans="1:23" x14ac:dyDescent="0.25">
      <c r="A509" s="3">
        <v>970</v>
      </c>
      <c r="B509" s="3">
        <v>9</v>
      </c>
      <c r="C509" s="3">
        <v>2</v>
      </c>
      <c r="I509" s="3">
        <v>970</v>
      </c>
      <c r="J509" s="3">
        <v>9</v>
      </c>
      <c r="K509" s="3">
        <v>2</v>
      </c>
      <c r="Q509" s="3">
        <v>970</v>
      </c>
      <c r="R509" s="3">
        <v>9</v>
      </c>
      <c r="S509" s="3">
        <v>2</v>
      </c>
      <c r="T509">
        <v>80.42</v>
      </c>
      <c r="U509">
        <v>1.388E-2</v>
      </c>
      <c r="V509">
        <v>-24</v>
      </c>
      <c r="W509">
        <v>39.5</v>
      </c>
    </row>
    <row r="510" spans="1:23" x14ac:dyDescent="0.25">
      <c r="A510" s="3">
        <v>970</v>
      </c>
      <c r="B510" s="3">
        <v>9</v>
      </c>
      <c r="C510" s="3">
        <v>3</v>
      </c>
      <c r="I510" s="3">
        <v>970</v>
      </c>
      <c r="J510" s="3">
        <v>9</v>
      </c>
      <c r="K510" s="3">
        <v>3</v>
      </c>
      <c r="Q510" s="3">
        <v>970</v>
      </c>
      <c r="R510" s="3">
        <v>9</v>
      </c>
      <c r="S510" s="3">
        <v>3</v>
      </c>
      <c r="T510">
        <v>78.989999999999995</v>
      </c>
      <c r="U510">
        <v>1.3599999999999999E-2</v>
      </c>
      <c r="V510">
        <v>-27.6</v>
      </c>
      <c r="W510">
        <v>45.1</v>
      </c>
    </row>
    <row r="511" spans="1:23" x14ac:dyDescent="0.25">
      <c r="A511" s="3">
        <v>970</v>
      </c>
      <c r="B511" s="3">
        <v>9</v>
      </c>
      <c r="C511" s="3">
        <v>4</v>
      </c>
      <c r="I511" s="3">
        <v>970</v>
      </c>
      <c r="J511" s="3">
        <v>9</v>
      </c>
      <c r="K511" s="3">
        <v>4</v>
      </c>
      <c r="Q511" s="3">
        <v>970</v>
      </c>
      <c r="R511" s="3">
        <v>9</v>
      </c>
      <c r="S511" s="3">
        <v>4</v>
      </c>
      <c r="T511">
        <v>75.64</v>
      </c>
      <c r="U511">
        <v>1.2290000000000001E-2</v>
      </c>
      <c r="V511">
        <v>-125.3</v>
      </c>
      <c r="W511">
        <v>-115.6</v>
      </c>
    </row>
    <row r="512" spans="1:23" x14ac:dyDescent="0.25">
      <c r="A512" s="3">
        <v>970</v>
      </c>
      <c r="B512" s="3">
        <v>10</v>
      </c>
      <c r="C512" s="3">
        <v>1</v>
      </c>
      <c r="D512">
        <v>3.5169988276671907E-2</v>
      </c>
      <c r="E512">
        <v>0.1986754966887336</v>
      </c>
      <c r="I512" s="3">
        <v>970</v>
      </c>
      <c r="J512" s="3">
        <v>10</v>
      </c>
      <c r="K512" s="3">
        <v>1</v>
      </c>
      <c r="L512">
        <v>3.000000000000114E-2</v>
      </c>
      <c r="M512">
        <v>2.9999999999998781E-5</v>
      </c>
      <c r="Q512" s="3">
        <v>970</v>
      </c>
      <c r="R512" s="3">
        <v>10</v>
      </c>
      <c r="S512" s="3">
        <v>1</v>
      </c>
      <c r="T512">
        <v>85.33</v>
      </c>
      <c r="U512">
        <v>1.5129999999999999E-2</v>
      </c>
      <c r="V512">
        <v>-24</v>
      </c>
      <c r="W512">
        <v>-123.1</v>
      </c>
    </row>
    <row r="513" spans="1:23" x14ac:dyDescent="0.25">
      <c r="A513" s="3">
        <v>970</v>
      </c>
      <c r="B513" s="3">
        <v>10</v>
      </c>
      <c r="C513" s="3">
        <v>2</v>
      </c>
      <c r="I513" s="3">
        <v>970</v>
      </c>
      <c r="J513" s="3">
        <v>10</v>
      </c>
      <c r="K513" s="3">
        <v>2</v>
      </c>
      <c r="Q513" s="3">
        <v>970</v>
      </c>
      <c r="R513" s="3">
        <v>10</v>
      </c>
      <c r="S513" s="3">
        <v>2</v>
      </c>
      <c r="T513">
        <v>85.93</v>
      </c>
      <c r="U513">
        <v>1.537E-2</v>
      </c>
      <c r="V513">
        <v>24.7</v>
      </c>
      <c r="W513">
        <v>23.7</v>
      </c>
    </row>
    <row r="514" spans="1:23" x14ac:dyDescent="0.25">
      <c r="A514" s="3">
        <v>970</v>
      </c>
      <c r="B514" s="3">
        <v>11</v>
      </c>
      <c r="C514" s="3">
        <v>1</v>
      </c>
      <c r="D514">
        <v>1.3531799729351699E-2</v>
      </c>
      <c r="E514">
        <v>8.7719298245610464E-2</v>
      </c>
      <c r="I514" s="3">
        <v>970</v>
      </c>
      <c r="J514" s="3">
        <v>11</v>
      </c>
      <c r="K514" s="3">
        <v>1</v>
      </c>
      <c r="L514">
        <v>9.9999999999909051E-3</v>
      </c>
      <c r="M514">
        <v>9.9999999999995925E-6</v>
      </c>
      <c r="Q514" s="3">
        <v>970</v>
      </c>
      <c r="R514" s="3">
        <v>11</v>
      </c>
      <c r="S514" s="3">
        <v>1</v>
      </c>
      <c r="T514">
        <v>73.91</v>
      </c>
      <c r="U514">
        <v>1.141E-2</v>
      </c>
      <c r="V514">
        <v>-486.1</v>
      </c>
      <c r="W514">
        <v>-835.1</v>
      </c>
    </row>
    <row r="515" spans="1:23" x14ac:dyDescent="0.25">
      <c r="A515" s="3">
        <v>970</v>
      </c>
      <c r="B515" s="3">
        <v>12</v>
      </c>
      <c r="C515" s="3">
        <v>1</v>
      </c>
      <c r="D515">
        <v>4.5662100456611933E-2</v>
      </c>
      <c r="E515">
        <v>0.1734104046242704</v>
      </c>
      <c r="I515" s="3">
        <v>970</v>
      </c>
      <c r="J515" s="3">
        <v>12</v>
      </c>
      <c r="K515" s="3">
        <v>1</v>
      </c>
      <c r="L515">
        <v>-3.9999999999992042E-2</v>
      </c>
      <c r="M515">
        <v>-2.9999999999998781E-5</v>
      </c>
      <c r="Q515" s="3">
        <v>970</v>
      </c>
      <c r="R515" s="3">
        <v>12</v>
      </c>
      <c r="S515" s="3">
        <v>1</v>
      </c>
      <c r="T515">
        <v>87.56</v>
      </c>
      <c r="U515">
        <v>1.7270000000000001E-2</v>
      </c>
      <c r="V515">
        <v>-0.8</v>
      </c>
      <c r="W515">
        <v>3.3</v>
      </c>
    </row>
    <row r="516" spans="1:23" x14ac:dyDescent="0.25">
      <c r="A516" s="3">
        <v>970</v>
      </c>
      <c r="B516" s="3">
        <v>12</v>
      </c>
      <c r="C516" s="3">
        <v>2</v>
      </c>
      <c r="I516" s="3">
        <v>970</v>
      </c>
      <c r="J516" s="3">
        <v>12</v>
      </c>
      <c r="K516" s="3">
        <v>2</v>
      </c>
      <c r="Q516" s="3">
        <v>970</v>
      </c>
      <c r="R516" s="3">
        <v>12</v>
      </c>
      <c r="S516" s="3">
        <v>2</v>
      </c>
      <c r="T516">
        <v>90.79</v>
      </c>
      <c r="U516">
        <v>1.9259999999999999E-2</v>
      </c>
      <c r="V516">
        <v>-0.9</v>
      </c>
      <c r="W516">
        <v>3.4</v>
      </c>
    </row>
    <row r="517" spans="1:23" x14ac:dyDescent="0.25">
      <c r="A517" s="3">
        <v>970</v>
      </c>
      <c r="B517" s="3">
        <v>12</v>
      </c>
      <c r="C517" s="3">
        <v>3</v>
      </c>
      <c r="I517" s="3">
        <v>970</v>
      </c>
      <c r="J517" s="3">
        <v>12</v>
      </c>
      <c r="K517" s="3">
        <v>3</v>
      </c>
      <c r="Q517" s="3">
        <v>970</v>
      </c>
      <c r="R517" s="3">
        <v>12</v>
      </c>
      <c r="S517" s="3">
        <v>3</v>
      </c>
      <c r="T517">
        <v>90.71</v>
      </c>
      <c r="U517">
        <v>2.001E-2</v>
      </c>
      <c r="V517">
        <v>-0.7</v>
      </c>
      <c r="W517">
        <v>3.1</v>
      </c>
    </row>
    <row r="518" spans="1:23" x14ac:dyDescent="0.25">
      <c r="A518" s="3">
        <v>970</v>
      </c>
      <c r="B518" s="3">
        <v>13</v>
      </c>
      <c r="C518" s="3">
        <v>1</v>
      </c>
      <c r="D518">
        <v>4.4692737430174587E-2</v>
      </c>
      <c r="E518">
        <v>0.14851485148515961</v>
      </c>
      <c r="I518" s="3">
        <v>970</v>
      </c>
      <c r="J518" s="3">
        <v>13</v>
      </c>
      <c r="K518" s="3">
        <v>1</v>
      </c>
      <c r="L518">
        <v>-4.0000000000006253E-2</v>
      </c>
      <c r="M518">
        <v>3.000000000000225E-5</v>
      </c>
      <c r="Q518" s="3">
        <v>970</v>
      </c>
      <c r="R518" s="3">
        <v>13</v>
      </c>
      <c r="S518" s="3">
        <v>1</v>
      </c>
      <c r="T518">
        <v>89.46</v>
      </c>
      <c r="U518">
        <v>2.0230000000000001E-2</v>
      </c>
      <c r="V518">
        <v>-1.6</v>
      </c>
      <c r="W518">
        <v>5</v>
      </c>
    </row>
    <row r="519" spans="1:23" x14ac:dyDescent="0.25">
      <c r="A519" s="3">
        <v>970</v>
      </c>
      <c r="B519" s="3">
        <v>13</v>
      </c>
      <c r="C519" s="3">
        <v>2</v>
      </c>
      <c r="I519" s="3">
        <v>970</v>
      </c>
      <c r="J519" s="3">
        <v>13</v>
      </c>
      <c r="K519" s="3">
        <v>2</v>
      </c>
      <c r="Q519" s="3">
        <v>970</v>
      </c>
      <c r="R519" s="3">
        <v>13</v>
      </c>
      <c r="S519" s="3">
        <v>2</v>
      </c>
      <c r="T519">
        <v>89.46</v>
      </c>
      <c r="U519">
        <v>2.0209999999999999E-2</v>
      </c>
      <c r="V519">
        <v>184.7</v>
      </c>
      <c r="W519">
        <v>5.2</v>
      </c>
    </row>
    <row r="520" spans="1:23" x14ac:dyDescent="0.25">
      <c r="A520" s="3">
        <v>970</v>
      </c>
      <c r="B520" s="3">
        <v>14</v>
      </c>
      <c r="C520" s="3">
        <v>1</v>
      </c>
      <c r="D520">
        <v>4.4493882091203599E-2</v>
      </c>
      <c r="E520">
        <v>0</v>
      </c>
      <c r="I520" s="3">
        <v>970</v>
      </c>
      <c r="J520" s="3">
        <v>14</v>
      </c>
      <c r="K520" s="3">
        <v>1</v>
      </c>
      <c r="L520">
        <v>3.9999999999992042E-2</v>
      </c>
      <c r="M520">
        <v>0</v>
      </c>
      <c r="Q520" s="3">
        <v>970</v>
      </c>
      <c r="R520" s="3">
        <v>14</v>
      </c>
      <c r="S520" s="3">
        <v>1</v>
      </c>
      <c r="T520">
        <v>89.94</v>
      </c>
      <c r="U520">
        <v>2.0199999999999999E-2</v>
      </c>
      <c r="V520">
        <v>253.6</v>
      </c>
      <c r="W520">
        <v>4.5</v>
      </c>
    </row>
    <row r="521" spans="1:23" x14ac:dyDescent="0.25">
      <c r="A521" s="3">
        <v>970</v>
      </c>
      <c r="B521" s="3">
        <v>14</v>
      </c>
      <c r="C521" s="3">
        <v>2</v>
      </c>
      <c r="I521" s="3">
        <v>970</v>
      </c>
      <c r="J521" s="3">
        <v>14</v>
      </c>
      <c r="K521" s="3">
        <v>2</v>
      </c>
      <c r="Q521" s="3">
        <v>970</v>
      </c>
      <c r="R521" s="3">
        <v>14</v>
      </c>
      <c r="S521" s="3">
        <v>2</v>
      </c>
      <c r="T521">
        <v>90.43</v>
      </c>
      <c r="U521">
        <v>2.019E-2</v>
      </c>
      <c r="V521">
        <v>253.5</v>
      </c>
      <c r="W521">
        <v>4.5999999999999996</v>
      </c>
    </row>
    <row r="522" spans="1:23" x14ac:dyDescent="0.25">
      <c r="A522" s="3">
        <v>970</v>
      </c>
      <c r="B522" s="3">
        <v>103</v>
      </c>
      <c r="C522" s="3">
        <v>1</v>
      </c>
      <c r="D522">
        <v>1.126126126126702E-2</v>
      </c>
      <c r="E522">
        <v>4.9504950495047488E-2</v>
      </c>
      <c r="I522" s="3">
        <v>970</v>
      </c>
      <c r="J522" s="3">
        <v>103</v>
      </c>
      <c r="K522" s="3">
        <v>1</v>
      </c>
      <c r="L522">
        <v>1.0000000000005119E-2</v>
      </c>
      <c r="M522">
        <v>-9.9999999999995925E-6</v>
      </c>
      <c r="Q522" s="3">
        <v>970</v>
      </c>
      <c r="R522" s="3">
        <v>103</v>
      </c>
      <c r="S522" s="3">
        <v>1</v>
      </c>
      <c r="T522">
        <v>88.81</v>
      </c>
      <c r="U522">
        <v>2.019E-2</v>
      </c>
    </row>
    <row r="523" spans="1:23" x14ac:dyDescent="0.25">
      <c r="A523" s="3">
        <v>970</v>
      </c>
      <c r="B523" s="3">
        <v>104</v>
      </c>
      <c r="C523" s="3">
        <v>1</v>
      </c>
      <c r="D523">
        <v>4.5095828635858232E-2</v>
      </c>
      <c r="E523">
        <v>0.1025641025640984</v>
      </c>
      <c r="I523" s="3">
        <v>970</v>
      </c>
      <c r="J523" s="3">
        <v>104</v>
      </c>
      <c r="K523" s="3">
        <v>1</v>
      </c>
      <c r="L523">
        <v>-4.0000000000006253E-2</v>
      </c>
      <c r="M523">
        <v>-1.9999999999999188E-5</v>
      </c>
      <c r="Q523" s="3">
        <v>970</v>
      </c>
      <c r="R523" s="3">
        <v>104</v>
      </c>
      <c r="S523" s="3">
        <v>1</v>
      </c>
      <c r="T523">
        <v>88.66</v>
      </c>
      <c r="U523">
        <v>1.9480000000000001E-2</v>
      </c>
    </row>
    <row r="524" spans="1:23" x14ac:dyDescent="0.25">
      <c r="A524" s="3">
        <v>970</v>
      </c>
      <c r="B524" s="3">
        <v>110</v>
      </c>
      <c r="C524" s="3">
        <v>1</v>
      </c>
      <c r="D524">
        <v>4.4692737430174587E-2</v>
      </c>
      <c r="E524">
        <v>0.15306122448980741</v>
      </c>
      <c r="I524" s="3">
        <v>970</v>
      </c>
      <c r="J524" s="3">
        <v>110</v>
      </c>
      <c r="K524" s="3">
        <v>1</v>
      </c>
      <c r="L524">
        <v>-4.0000000000006253E-2</v>
      </c>
      <c r="M524">
        <v>3.000000000000225E-5</v>
      </c>
      <c r="Q524" s="3">
        <v>970</v>
      </c>
      <c r="R524" s="3">
        <v>110</v>
      </c>
      <c r="S524" s="3">
        <v>1</v>
      </c>
      <c r="T524">
        <v>89.46</v>
      </c>
      <c r="U524">
        <v>1.9630000000000002E-2</v>
      </c>
    </row>
    <row r="525" spans="1:23" x14ac:dyDescent="0.25">
      <c r="A525" s="3">
        <v>970</v>
      </c>
      <c r="B525" s="3">
        <v>114</v>
      </c>
      <c r="C525" s="3">
        <v>1</v>
      </c>
      <c r="D525">
        <v>5.586592178770633E-2</v>
      </c>
      <c r="E525">
        <v>0.14851485148515961</v>
      </c>
      <c r="I525" s="3">
        <v>970</v>
      </c>
      <c r="J525" s="3">
        <v>114</v>
      </c>
      <c r="K525" s="3">
        <v>1</v>
      </c>
      <c r="L525">
        <v>-4.9999999999997158E-2</v>
      </c>
      <c r="M525">
        <v>3.000000000000225E-5</v>
      </c>
      <c r="Q525" s="3">
        <v>970</v>
      </c>
      <c r="R525" s="3">
        <v>114</v>
      </c>
      <c r="S525" s="3">
        <v>1</v>
      </c>
      <c r="T525">
        <v>89.45</v>
      </c>
      <c r="U525">
        <v>2.0230000000000001E-2</v>
      </c>
    </row>
    <row r="526" spans="1:23" x14ac:dyDescent="0.25">
      <c r="A526" s="3">
        <v>980</v>
      </c>
      <c r="B526" s="3">
        <v>1</v>
      </c>
      <c r="C526" s="3">
        <v>1</v>
      </c>
      <c r="D526">
        <v>4.4742729306478789E-2</v>
      </c>
      <c r="E526">
        <v>9.9009900990094976E-2</v>
      </c>
      <c r="I526" s="3">
        <v>980</v>
      </c>
      <c r="J526" s="3">
        <v>1</v>
      </c>
      <c r="K526" s="3">
        <v>1</v>
      </c>
      <c r="L526">
        <v>3.9999999999992042E-2</v>
      </c>
      <c r="M526">
        <v>-1.9999999999999188E-5</v>
      </c>
      <c r="Q526" s="3">
        <v>980</v>
      </c>
      <c r="R526" s="3">
        <v>1</v>
      </c>
      <c r="S526" s="3">
        <v>1</v>
      </c>
      <c r="T526">
        <v>89.44</v>
      </c>
      <c r="U526">
        <v>2.018E-2</v>
      </c>
      <c r="V526">
        <v>-0.6</v>
      </c>
      <c r="W526">
        <v>0.8</v>
      </c>
    </row>
    <row r="527" spans="1:23" x14ac:dyDescent="0.25">
      <c r="A527" s="3">
        <v>980</v>
      </c>
      <c r="B527" s="3">
        <v>2</v>
      </c>
      <c r="C527" s="3">
        <v>1</v>
      </c>
      <c r="D527">
        <v>2.2497187851530071E-2</v>
      </c>
      <c r="E527">
        <v>9.9009900990094976E-2</v>
      </c>
      <c r="I527" s="3">
        <v>980</v>
      </c>
      <c r="J527" s="3">
        <v>2</v>
      </c>
      <c r="K527" s="3">
        <v>1</v>
      </c>
      <c r="L527">
        <v>-2.0000000000010228E-2</v>
      </c>
      <c r="M527">
        <v>-1.9999999999999188E-5</v>
      </c>
      <c r="Q527" s="3">
        <v>980</v>
      </c>
      <c r="R527" s="3">
        <v>2</v>
      </c>
      <c r="S527" s="3">
        <v>1</v>
      </c>
      <c r="T527">
        <v>88.88</v>
      </c>
      <c r="U527">
        <v>2.018E-2</v>
      </c>
      <c r="V527">
        <v>-0.6</v>
      </c>
      <c r="W527">
        <v>0.8</v>
      </c>
    </row>
    <row r="528" spans="1:23" x14ac:dyDescent="0.25">
      <c r="A528" s="3">
        <v>980</v>
      </c>
      <c r="B528" s="3">
        <v>3</v>
      </c>
      <c r="C528" s="3">
        <v>1</v>
      </c>
      <c r="D528">
        <v>3.4090909090910393E-2</v>
      </c>
      <c r="E528">
        <v>0</v>
      </c>
      <c r="I528" s="3">
        <v>980</v>
      </c>
      <c r="J528" s="3">
        <v>3</v>
      </c>
      <c r="K528" s="3">
        <v>1</v>
      </c>
      <c r="L528">
        <v>3.000000000000114E-2</v>
      </c>
      <c r="M528">
        <v>0</v>
      </c>
      <c r="Q528" s="3">
        <v>980</v>
      </c>
      <c r="R528" s="3">
        <v>3</v>
      </c>
      <c r="S528" s="3">
        <v>1</v>
      </c>
      <c r="T528">
        <v>88.03</v>
      </c>
      <c r="U528">
        <v>2.0199999999999999E-2</v>
      </c>
      <c r="V528">
        <v>-1.2</v>
      </c>
      <c r="W528">
        <v>1.6</v>
      </c>
    </row>
    <row r="529" spans="1:23" x14ac:dyDescent="0.25">
      <c r="A529" s="3">
        <v>980</v>
      </c>
      <c r="B529" s="3">
        <v>3</v>
      </c>
      <c r="C529" s="3">
        <v>2</v>
      </c>
      <c r="I529" s="3">
        <v>980</v>
      </c>
      <c r="J529" s="3">
        <v>3</v>
      </c>
      <c r="K529" s="3">
        <v>2</v>
      </c>
      <c r="Q529" s="3">
        <v>980</v>
      </c>
      <c r="R529" s="3">
        <v>3</v>
      </c>
      <c r="S529" s="3">
        <v>2</v>
      </c>
      <c r="T529">
        <v>87.62</v>
      </c>
      <c r="U529">
        <v>2.0219999999999998E-2</v>
      </c>
      <c r="V529">
        <v>-1.1000000000000001</v>
      </c>
      <c r="W529">
        <v>1.6</v>
      </c>
    </row>
    <row r="530" spans="1:23" x14ac:dyDescent="0.25">
      <c r="A530" s="3">
        <v>980</v>
      </c>
      <c r="B530" s="3">
        <v>4</v>
      </c>
      <c r="C530" s="3">
        <v>1</v>
      </c>
      <c r="D530">
        <v>2.3121387283232389E-2</v>
      </c>
      <c r="E530">
        <v>0.2380952380952284</v>
      </c>
      <c r="I530" s="3">
        <v>980</v>
      </c>
      <c r="J530" s="3">
        <v>4</v>
      </c>
      <c r="K530" s="3">
        <v>1</v>
      </c>
      <c r="L530">
        <v>1.9999999999996021E-2</v>
      </c>
      <c r="M530">
        <v>-3.999999999999837E-5</v>
      </c>
      <c r="Q530" s="3">
        <v>980</v>
      </c>
      <c r="R530" s="3">
        <v>4</v>
      </c>
      <c r="S530" s="3">
        <v>1</v>
      </c>
      <c r="T530">
        <v>86.52</v>
      </c>
      <c r="U530">
        <v>1.6760000000000001E-2</v>
      </c>
      <c r="V530">
        <v>-3</v>
      </c>
      <c r="W530">
        <v>7.5</v>
      </c>
    </row>
    <row r="531" spans="1:23" x14ac:dyDescent="0.25">
      <c r="A531" s="3">
        <v>980</v>
      </c>
      <c r="B531" s="3">
        <v>4</v>
      </c>
      <c r="C531" s="3">
        <v>2</v>
      </c>
      <c r="I531" s="3">
        <v>980</v>
      </c>
      <c r="J531" s="3">
        <v>4</v>
      </c>
      <c r="K531" s="3">
        <v>2</v>
      </c>
      <c r="Q531" s="3">
        <v>980</v>
      </c>
      <c r="R531" s="3">
        <v>4</v>
      </c>
      <c r="S531" s="3">
        <v>2</v>
      </c>
      <c r="T531">
        <v>86.55</v>
      </c>
      <c r="U531">
        <v>1.7139999999999999E-2</v>
      </c>
      <c r="V531">
        <v>-2.8</v>
      </c>
      <c r="W531">
        <v>7.2</v>
      </c>
    </row>
    <row r="532" spans="1:23" x14ac:dyDescent="0.25">
      <c r="A532" s="3">
        <v>980</v>
      </c>
      <c r="B532" s="3">
        <v>4</v>
      </c>
      <c r="C532" s="3">
        <v>3</v>
      </c>
      <c r="I532" s="3">
        <v>980</v>
      </c>
      <c r="J532" s="3">
        <v>4</v>
      </c>
      <c r="K532" s="3">
        <v>3</v>
      </c>
      <c r="Q532" s="3">
        <v>980</v>
      </c>
      <c r="R532" s="3">
        <v>4</v>
      </c>
      <c r="S532" s="3">
        <v>3</v>
      </c>
      <c r="T532">
        <v>86.46</v>
      </c>
      <c r="U532">
        <v>1.738E-2</v>
      </c>
      <c r="V532">
        <v>-2.6</v>
      </c>
      <c r="W532">
        <v>7</v>
      </c>
    </row>
    <row r="533" spans="1:23" x14ac:dyDescent="0.25">
      <c r="A533" s="3">
        <v>980</v>
      </c>
      <c r="B533" s="3">
        <v>5</v>
      </c>
      <c r="C533" s="3">
        <v>1</v>
      </c>
      <c r="D533">
        <v>3.4246575342467063E-2</v>
      </c>
      <c r="E533">
        <v>0.19801980198020711</v>
      </c>
      <c r="I533" s="3">
        <v>980</v>
      </c>
      <c r="J533" s="3">
        <v>5</v>
      </c>
      <c r="K533" s="3">
        <v>1</v>
      </c>
      <c r="L533">
        <v>3.000000000000114E-2</v>
      </c>
      <c r="M533">
        <v>4.000000000000184E-5</v>
      </c>
      <c r="Q533" s="3">
        <v>980</v>
      </c>
      <c r="R533" s="3">
        <v>5</v>
      </c>
      <c r="S533" s="3">
        <v>1</v>
      </c>
      <c r="T533">
        <v>87.63</v>
      </c>
      <c r="U533">
        <v>2.0240000000000001E-2</v>
      </c>
      <c r="V533">
        <v>-0.2</v>
      </c>
      <c r="W533">
        <v>0.6</v>
      </c>
    </row>
    <row r="534" spans="1:23" x14ac:dyDescent="0.25">
      <c r="A534" s="3">
        <v>980</v>
      </c>
      <c r="B534" s="3">
        <v>5</v>
      </c>
      <c r="C534" s="3">
        <v>2</v>
      </c>
      <c r="I534" s="3">
        <v>980</v>
      </c>
      <c r="J534" s="3">
        <v>5</v>
      </c>
      <c r="K534" s="3">
        <v>2</v>
      </c>
      <c r="Q534" s="3">
        <v>980</v>
      </c>
      <c r="R534" s="3">
        <v>5</v>
      </c>
      <c r="S534" s="3">
        <v>2</v>
      </c>
      <c r="T534">
        <v>87.75</v>
      </c>
      <c r="U534">
        <v>2.0250000000000001E-2</v>
      </c>
      <c r="V534">
        <v>-0.2</v>
      </c>
      <c r="W534">
        <v>0.6</v>
      </c>
    </row>
    <row r="535" spans="1:23" x14ac:dyDescent="0.25">
      <c r="A535" s="3">
        <v>980</v>
      </c>
      <c r="B535" s="3">
        <v>5</v>
      </c>
      <c r="C535" s="3">
        <v>3</v>
      </c>
      <c r="I535" s="3">
        <v>980</v>
      </c>
      <c r="J535" s="3">
        <v>5</v>
      </c>
      <c r="K535" s="3">
        <v>3</v>
      </c>
      <c r="Q535" s="3">
        <v>980</v>
      </c>
      <c r="R535" s="3">
        <v>5</v>
      </c>
      <c r="S535" s="3">
        <v>3</v>
      </c>
      <c r="T535">
        <v>88.13</v>
      </c>
      <c r="U535">
        <v>2.0209999999999999E-2</v>
      </c>
      <c r="V535">
        <v>-0.2</v>
      </c>
      <c r="W535">
        <v>0.6</v>
      </c>
    </row>
    <row r="536" spans="1:23" x14ac:dyDescent="0.25">
      <c r="A536" s="3">
        <v>980</v>
      </c>
      <c r="B536" s="3">
        <v>6</v>
      </c>
      <c r="C536" s="3">
        <v>1</v>
      </c>
      <c r="D536">
        <v>4.6728971962624127E-2</v>
      </c>
      <c r="E536">
        <v>5.8479532163740307E-2</v>
      </c>
      <c r="I536" s="3">
        <v>980</v>
      </c>
      <c r="J536" s="3">
        <v>6</v>
      </c>
      <c r="K536" s="3">
        <v>1</v>
      </c>
      <c r="L536">
        <v>4.0000000000006253E-2</v>
      </c>
      <c r="M536">
        <v>-9.9999999999995925E-6</v>
      </c>
      <c r="Q536" s="3">
        <v>980</v>
      </c>
      <c r="R536" s="3">
        <v>6</v>
      </c>
      <c r="S536" s="3">
        <v>1</v>
      </c>
      <c r="T536">
        <v>85.64</v>
      </c>
      <c r="U536">
        <v>1.7090000000000001E-2</v>
      </c>
      <c r="V536">
        <v>-2.2999999999999998</v>
      </c>
      <c r="W536">
        <v>6.4</v>
      </c>
    </row>
    <row r="537" spans="1:23" x14ac:dyDescent="0.25">
      <c r="A537" s="3">
        <v>980</v>
      </c>
      <c r="B537" s="3">
        <v>6</v>
      </c>
      <c r="C537" s="3">
        <v>2</v>
      </c>
      <c r="I537" s="3">
        <v>980</v>
      </c>
      <c r="J537" s="3">
        <v>6</v>
      </c>
      <c r="K537" s="3">
        <v>2</v>
      </c>
      <c r="Q537" s="3">
        <v>980</v>
      </c>
      <c r="R537" s="3">
        <v>6</v>
      </c>
      <c r="S537" s="3">
        <v>2</v>
      </c>
      <c r="T537">
        <v>84.37</v>
      </c>
      <c r="U537">
        <v>1.668E-2</v>
      </c>
      <c r="V537">
        <v>-2</v>
      </c>
      <c r="W537">
        <v>6.1</v>
      </c>
    </row>
    <row r="538" spans="1:23" x14ac:dyDescent="0.25">
      <c r="A538" s="3">
        <v>980</v>
      </c>
      <c r="B538" s="3">
        <v>6</v>
      </c>
      <c r="C538" s="3">
        <v>3</v>
      </c>
      <c r="I538" s="3">
        <v>980</v>
      </c>
      <c r="J538" s="3">
        <v>6</v>
      </c>
      <c r="K538" s="3">
        <v>3</v>
      </c>
      <c r="Q538" s="3">
        <v>980</v>
      </c>
      <c r="R538" s="3">
        <v>6</v>
      </c>
      <c r="S538" s="3">
        <v>3</v>
      </c>
      <c r="T538">
        <v>82.72</v>
      </c>
      <c r="U538">
        <v>1.5509999999999999E-2</v>
      </c>
      <c r="V538">
        <v>-2.1</v>
      </c>
      <c r="W538">
        <v>6.2</v>
      </c>
    </row>
    <row r="539" spans="1:23" x14ac:dyDescent="0.25">
      <c r="A539" s="3">
        <v>980</v>
      </c>
      <c r="B539" s="3">
        <v>7</v>
      </c>
      <c r="C539" s="3">
        <v>1</v>
      </c>
      <c r="D539">
        <v>3.7313432835822308E-2</v>
      </c>
      <c r="E539">
        <v>0.36764705882353987</v>
      </c>
      <c r="I539" s="3">
        <v>980</v>
      </c>
      <c r="J539" s="3">
        <v>7</v>
      </c>
      <c r="K539" s="3">
        <v>1</v>
      </c>
      <c r="L539">
        <v>3.000000000000114E-2</v>
      </c>
      <c r="M539">
        <v>5.0000000000001432E-5</v>
      </c>
      <c r="Q539" s="3">
        <v>980</v>
      </c>
      <c r="R539" s="3">
        <v>7</v>
      </c>
      <c r="S539" s="3">
        <v>1</v>
      </c>
      <c r="T539">
        <v>80.430000000000007</v>
      </c>
      <c r="U539">
        <v>1.3650000000000001E-2</v>
      </c>
      <c r="V539">
        <v>-111.5</v>
      </c>
      <c r="W539">
        <v>-214.4</v>
      </c>
    </row>
    <row r="540" spans="1:23" x14ac:dyDescent="0.25">
      <c r="A540" s="3">
        <v>980</v>
      </c>
      <c r="B540" s="3">
        <v>8</v>
      </c>
      <c r="C540" s="3">
        <v>1</v>
      </c>
      <c r="D540">
        <v>5.8411214953284323E-2</v>
      </c>
      <c r="E540">
        <v>0.13071895424837199</v>
      </c>
      <c r="I540" s="3">
        <v>980</v>
      </c>
      <c r="J540" s="3">
        <v>8</v>
      </c>
      <c r="K540" s="3">
        <v>1</v>
      </c>
      <c r="L540">
        <v>5.0000000000011369E-2</v>
      </c>
      <c r="M540">
        <v>2.000000000000092E-5</v>
      </c>
      <c r="Q540" s="3">
        <v>980</v>
      </c>
      <c r="R540" s="3">
        <v>8</v>
      </c>
      <c r="S540" s="3">
        <v>1</v>
      </c>
      <c r="T540">
        <v>85.65</v>
      </c>
      <c r="U540">
        <v>1.532E-2</v>
      </c>
      <c r="V540">
        <v>16.7</v>
      </c>
      <c r="W540">
        <v>8.1999999999999993</v>
      </c>
    </row>
    <row r="541" spans="1:23" x14ac:dyDescent="0.25">
      <c r="A541" s="3">
        <v>980</v>
      </c>
      <c r="B541" s="3">
        <v>8</v>
      </c>
      <c r="C541" s="3">
        <v>2</v>
      </c>
      <c r="I541" s="3">
        <v>980</v>
      </c>
      <c r="J541" s="3">
        <v>8</v>
      </c>
      <c r="K541" s="3">
        <v>2</v>
      </c>
      <c r="Q541" s="3">
        <v>980</v>
      </c>
      <c r="R541" s="3">
        <v>8</v>
      </c>
      <c r="S541" s="3">
        <v>2</v>
      </c>
      <c r="T541">
        <v>85.59</v>
      </c>
      <c r="U541">
        <v>1.541E-2</v>
      </c>
      <c r="V541">
        <v>-30.8</v>
      </c>
      <c r="W541">
        <v>-153.6</v>
      </c>
    </row>
    <row r="542" spans="1:23" x14ac:dyDescent="0.25">
      <c r="A542" s="3">
        <v>980</v>
      </c>
      <c r="B542" s="3">
        <v>9</v>
      </c>
      <c r="C542" s="3">
        <v>1</v>
      </c>
      <c r="D542">
        <v>5.00625782227863E-2</v>
      </c>
      <c r="E542">
        <v>0.14598540145984809</v>
      </c>
      <c r="I542" s="3">
        <v>980</v>
      </c>
      <c r="J542" s="3">
        <v>9</v>
      </c>
      <c r="K542" s="3">
        <v>1</v>
      </c>
      <c r="L542">
        <v>-4.0000000000006253E-2</v>
      </c>
      <c r="M542">
        <v>1.9999999999999188E-5</v>
      </c>
      <c r="Q542" s="3">
        <v>980</v>
      </c>
      <c r="R542" s="3">
        <v>9</v>
      </c>
      <c r="S542" s="3">
        <v>1</v>
      </c>
      <c r="T542">
        <v>79.86</v>
      </c>
      <c r="U542">
        <v>1.372E-2</v>
      </c>
      <c r="V542">
        <v>-47.7</v>
      </c>
      <c r="W542">
        <v>-24.7</v>
      </c>
    </row>
    <row r="543" spans="1:23" x14ac:dyDescent="0.25">
      <c r="A543" s="3">
        <v>980</v>
      </c>
      <c r="B543" s="3">
        <v>9</v>
      </c>
      <c r="C543" s="3">
        <v>2</v>
      </c>
      <c r="I543" s="3">
        <v>980</v>
      </c>
      <c r="J543" s="3">
        <v>9</v>
      </c>
      <c r="K543" s="3">
        <v>2</v>
      </c>
      <c r="Q543" s="3">
        <v>980</v>
      </c>
      <c r="R543" s="3">
        <v>9</v>
      </c>
      <c r="S543" s="3">
        <v>2</v>
      </c>
      <c r="T543">
        <v>78.78</v>
      </c>
      <c r="U543">
        <v>1.357E-2</v>
      </c>
      <c r="V543">
        <v>-25.4</v>
      </c>
      <c r="W543">
        <v>40.4</v>
      </c>
    </row>
    <row r="544" spans="1:23" x14ac:dyDescent="0.25">
      <c r="A544" s="3">
        <v>980</v>
      </c>
      <c r="B544" s="3">
        <v>9</v>
      </c>
      <c r="C544" s="3">
        <v>3</v>
      </c>
      <c r="I544" s="3">
        <v>980</v>
      </c>
      <c r="J544" s="3">
        <v>9</v>
      </c>
      <c r="K544" s="3">
        <v>3</v>
      </c>
      <c r="Q544" s="3">
        <v>980</v>
      </c>
      <c r="R544" s="3">
        <v>9</v>
      </c>
      <c r="S544" s="3">
        <v>3</v>
      </c>
      <c r="T544">
        <v>76.95</v>
      </c>
      <c r="U544">
        <v>1.2959999999999999E-2</v>
      </c>
      <c r="V544">
        <v>-29</v>
      </c>
      <c r="W544">
        <v>46</v>
      </c>
    </row>
    <row r="545" spans="1:23" x14ac:dyDescent="0.25">
      <c r="A545" s="3">
        <v>980</v>
      </c>
      <c r="B545" s="3">
        <v>9</v>
      </c>
      <c r="C545" s="3">
        <v>4</v>
      </c>
      <c r="I545" s="3">
        <v>980</v>
      </c>
      <c r="J545" s="3">
        <v>9</v>
      </c>
      <c r="K545" s="3">
        <v>4</v>
      </c>
      <c r="Q545" s="3">
        <v>980</v>
      </c>
      <c r="R545" s="3">
        <v>9</v>
      </c>
      <c r="S545" s="3">
        <v>4</v>
      </c>
      <c r="T545">
        <v>75.930000000000007</v>
      </c>
      <c r="U545">
        <v>1.255E-2</v>
      </c>
      <c r="V545">
        <v>-126.8</v>
      </c>
      <c r="W545">
        <v>-114.6</v>
      </c>
    </row>
    <row r="546" spans="1:23" x14ac:dyDescent="0.25">
      <c r="A546" s="3">
        <v>980</v>
      </c>
      <c r="B546" s="3">
        <v>10</v>
      </c>
      <c r="C546" s="3">
        <v>1</v>
      </c>
      <c r="D546">
        <v>1.177856301530142E-2</v>
      </c>
      <c r="E546">
        <v>0.1351351351351413</v>
      </c>
      <c r="I546" s="3">
        <v>980</v>
      </c>
      <c r="J546" s="3">
        <v>10</v>
      </c>
      <c r="K546" s="3">
        <v>1</v>
      </c>
      <c r="L546">
        <v>9.9999999999909051E-3</v>
      </c>
      <c r="M546">
        <v>-2.000000000000092E-5</v>
      </c>
      <c r="Q546" s="3">
        <v>980</v>
      </c>
      <c r="R546" s="3">
        <v>10</v>
      </c>
      <c r="S546" s="3">
        <v>1</v>
      </c>
      <c r="T546">
        <v>84.91</v>
      </c>
      <c r="U546">
        <v>1.478E-2</v>
      </c>
      <c r="V546">
        <v>-24</v>
      </c>
      <c r="W546">
        <v>-123.1</v>
      </c>
    </row>
    <row r="547" spans="1:23" x14ac:dyDescent="0.25">
      <c r="A547" s="3">
        <v>980</v>
      </c>
      <c r="B547" s="3">
        <v>10</v>
      </c>
      <c r="C547" s="3">
        <v>2</v>
      </c>
      <c r="I547" s="3">
        <v>980</v>
      </c>
      <c r="J547" s="3">
        <v>10</v>
      </c>
      <c r="K547" s="3">
        <v>2</v>
      </c>
      <c r="Q547" s="3">
        <v>980</v>
      </c>
      <c r="R547" s="3">
        <v>10</v>
      </c>
      <c r="S547" s="3">
        <v>2</v>
      </c>
      <c r="T547">
        <v>84.06</v>
      </c>
      <c r="U547">
        <v>1.4840000000000001E-2</v>
      </c>
      <c r="V547">
        <v>24.7</v>
      </c>
      <c r="W547">
        <v>23.7</v>
      </c>
    </row>
    <row r="548" spans="1:23" x14ac:dyDescent="0.25">
      <c r="A548" s="3">
        <v>980</v>
      </c>
      <c r="B548" s="3">
        <v>11</v>
      </c>
      <c r="C548" s="3">
        <v>1</v>
      </c>
      <c r="D548">
        <v>5.0062578222768508E-2</v>
      </c>
      <c r="E548">
        <v>0.2097902097902134</v>
      </c>
      <c r="I548" s="3">
        <v>980</v>
      </c>
      <c r="J548" s="3">
        <v>11</v>
      </c>
      <c r="K548" s="3">
        <v>1</v>
      </c>
      <c r="L548">
        <v>3.9999999999992042E-2</v>
      </c>
      <c r="M548">
        <v>3.0000000000000509E-5</v>
      </c>
      <c r="Q548" s="3">
        <v>980</v>
      </c>
      <c r="R548" s="3">
        <v>11</v>
      </c>
      <c r="S548" s="3">
        <v>1</v>
      </c>
      <c r="T548">
        <v>79.94</v>
      </c>
      <c r="U548">
        <v>1.4330000000000001E-2</v>
      </c>
      <c r="V548">
        <v>-487.6</v>
      </c>
      <c r="W548">
        <v>-833.9</v>
      </c>
    </row>
    <row r="549" spans="1:23" x14ac:dyDescent="0.25">
      <c r="A549" s="3">
        <v>980</v>
      </c>
      <c r="B549" s="3">
        <v>12</v>
      </c>
      <c r="C549" s="3">
        <v>1</v>
      </c>
      <c r="D549">
        <v>3.3707865168540602E-2</v>
      </c>
      <c r="E549">
        <v>0.1621621621621743</v>
      </c>
      <c r="I549" s="3">
        <v>980</v>
      </c>
      <c r="J549" s="3">
        <v>12</v>
      </c>
      <c r="K549" s="3">
        <v>1</v>
      </c>
      <c r="L549">
        <v>3.000000000000114E-2</v>
      </c>
      <c r="M549">
        <v>3.000000000000225E-5</v>
      </c>
      <c r="Q549" s="3">
        <v>980</v>
      </c>
      <c r="R549" s="3">
        <v>12</v>
      </c>
      <c r="S549" s="3">
        <v>1</v>
      </c>
      <c r="T549">
        <v>89.03</v>
      </c>
      <c r="U549">
        <v>1.8530000000000001E-2</v>
      </c>
      <c r="V549">
        <v>180.6</v>
      </c>
      <c r="W549">
        <v>4.9000000000000004</v>
      </c>
    </row>
    <row r="550" spans="1:23" x14ac:dyDescent="0.25">
      <c r="A550" s="3">
        <v>980</v>
      </c>
      <c r="B550" s="3">
        <v>12</v>
      </c>
      <c r="C550" s="3">
        <v>2</v>
      </c>
      <c r="I550" s="3">
        <v>980</v>
      </c>
      <c r="J550" s="3">
        <v>12</v>
      </c>
      <c r="K550" s="3">
        <v>2</v>
      </c>
      <c r="Q550" s="3">
        <v>980</v>
      </c>
      <c r="R550" s="3">
        <v>12</v>
      </c>
      <c r="S550" s="3">
        <v>2</v>
      </c>
      <c r="T550">
        <v>91.29</v>
      </c>
      <c r="U550">
        <v>1.9619999999999999E-2</v>
      </c>
      <c r="V550">
        <v>622.4</v>
      </c>
      <c r="W550">
        <v>4.5999999999999996</v>
      </c>
    </row>
    <row r="551" spans="1:23" x14ac:dyDescent="0.25">
      <c r="A551" s="3">
        <v>980</v>
      </c>
      <c r="B551" s="3">
        <v>12</v>
      </c>
      <c r="C551" s="3">
        <v>3</v>
      </c>
      <c r="I551" s="3">
        <v>980</v>
      </c>
      <c r="J551" s="3">
        <v>12</v>
      </c>
      <c r="K551" s="3">
        <v>3</v>
      </c>
      <c r="Q551" s="3">
        <v>980</v>
      </c>
      <c r="R551" s="3">
        <v>12</v>
      </c>
      <c r="S551" s="3">
        <v>3</v>
      </c>
      <c r="T551">
        <v>92.09</v>
      </c>
      <c r="U551">
        <v>2.0080000000000001E-2</v>
      </c>
      <c r="V551">
        <v>622.29999999999995</v>
      </c>
      <c r="W551">
        <v>4.7</v>
      </c>
    </row>
    <row r="552" spans="1:23" x14ac:dyDescent="0.25">
      <c r="A552" s="3">
        <v>980</v>
      </c>
      <c r="B552" s="3">
        <v>13</v>
      </c>
      <c r="C552" s="3">
        <v>1</v>
      </c>
      <c r="D552">
        <v>3.2608695652175147E-2</v>
      </c>
      <c r="E552">
        <v>0.19801980198020711</v>
      </c>
      <c r="I552" s="3">
        <v>980</v>
      </c>
      <c r="J552" s="3">
        <v>13</v>
      </c>
      <c r="K552" s="3">
        <v>1</v>
      </c>
      <c r="L552">
        <v>-3.000000000000114E-2</v>
      </c>
      <c r="M552">
        <v>4.000000000000184E-5</v>
      </c>
      <c r="Q552" s="3">
        <v>980</v>
      </c>
      <c r="R552" s="3">
        <v>13</v>
      </c>
      <c r="S552" s="3">
        <v>1</v>
      </c>
      <c r="T552">
        <v>91.97</v>
      </c>
      <c r="U552">
        <v>2.0240000000000001E-2</v>
      </c>
      <c r="V552">
        <v>661.6</v>
      </c>
      <c r="W552">
        <v>8.9</v>
      </c>
    </row>
    <row r="553" spans="1:23" x14ac:dyDescent="0.25">
      <c r="A553" s="3">
        <v>980</v>
      </c>
      <c r="B553" s="3">
        <v>13</v>
      </c>
      <c r="C553" s="3">
        <v>2</v>
      </c>
      <c r="I553" s="3">
        <v>980</v>
      </c>
      <c r="J553" s="3">
        <v>13</v>
      </c>
      <c r="K553" s="3">
        <v>2</v>
      </c>
      <c r="Q553" s="3">
        <v>980</v>
      </c>
      <c r="R553" s="3">
        <v>13</v>
      </c>
      <c r="S553" s="3">
        <v>2</v>
      </c>
      <c r="T553">
        <v>91.35</v>
      </c>
      <c r="U553">
        <v>2.0219999999999998E-2</v>
      </c>
      <c r="V553">
        <v>-3.5</v>
      </c>
      <c r="W553">
        <v>7.8</v>
      </c>
    </row>
    <row r="554" spans="1:23" x14ac:dyDescent="0.25">
      <c r="A554" s="3">
        <v>980</v>
      </c>
      <c r="B554" s="3">
        <v>14</v>
      </c>
      <c r="C554" s="3">
        <v>1</v>
      </c>
      <c r="D554">
        <v>5.5309734513271189E-2</v>
      </c>
      <c r="E554">
        <v>0</v>
      </c>
      <c r="I554" s="3">
        <v>980</v>
      </c>
      <c r="J554" s="3">
        <v>14</v>
      </c>
      <c r="K554" s="3">
        <v>1</v>
      </c>
      <c r="L554">
        <v>4.9999999999997158E-2</v>
      </c>
      <c r="M554">
        <v>0</v>
      </c>
      <c r="Q554" s="3">
        <v>980</v>
      </c>
      <c r="R554" s="3">
        <v>14</v>
      </c>
      <c r="S554" s="3">
        <v>1</v>
      </c>
      <c r="T554">
        <v>90.45</v>
      </c>
      <c r="U554">
        <v>2.0199999999999999E-2</v>
      </c>
      <c r="V554">
        <v>-2.2999999999999998</v>
      </c>
      <c r="W554">
        <v>4.8</v>
      </c>
    </row>
    <row r="555" spans="1:23" x14ac:dyDescent="0.25">
      <c r="A555" s="3">
        <v>980</v>
      </c>
      <c r="B555" s="3">
        <v>14</v>
      </c>
      <c r="C555" s="3">
        <v>2</v>
      </c>
      <c r="I555" s="3">
        <v>980</v>
      </c>
      <c r="J555" s="3">
        <v>14</v>
      </c>
      <c r="K555" s="3">
        <v>2</v>
      </c>
      <c r="Q555" s="3">
        <v>980</v>
      </c>
      <c r="R555" s="3">
        <v>14</v>
      </c>
      <c r="S555" s="3">
        <v>2</v>
      </c>
      <c r="T555">
        <v>90.22</v>
      </c>
      <c r="U555">
        <v>2.018E-2</v>
      </c>
      <c r="V555">
        <v>-2.2999999999999998</v>
      </c>
      <c r="W555">
        <v>4.7</v>
      </c>
    </row>
    <row r="556" spans="1:23" x14ac:dyDescent="0.25">
      <c r="A556" s="3">
        <v>980</v>
      </c>
      <c r="B556" s="3">
        <v>103</v>
      </c>
      <c r="C556" s="3">
        <v>1</v>
      </c>
      <c r="D556">
        <v>1.132502831256048E-2</v>
      </c>
      <c r="E556">
        <v>0</v>
      </c>
      <c r="I556" s="3">
        <v>980</v>
      </c>
      <c r="J556" s="3">
        <v>103</v>
      </c>
      <c r="K556" s="3">
        <v>1</v>
      </c>
      <c r="L556">
        <v>-9.9999999999909051E-3</v>
      </c>
      <c r="M556">
        <v>0</v>
      </c>
      <c r="Q556" s="3">
        <v>980</v>
      </c>
      <c r="R556" s="3">
        <v>103</v>
      </c>
      <c r="S556" s="3">
        <v>1</v>
      </c>
      <c r="T556">
        <v>88.29</v>
      </c>
      <c r="U556">
        <v>2.0199999999999999E-2</v>
      </c>
    </row>
    <row r="557" spans="1:23" x14ac:dyDescent="0.25">
      <c r="A557" s="3">
        <v>980</v>
      </c>
      <c r="B557" s="3">
        <v>104</v>
      </c>
      <c r="C557" s="3">
        <v>1</v>
      </c>
      <c r="D557">
        <v>1.1210762331844299E-2</v>
      </c>
      <c r="E557">
        <v>0.2020202020201938</v>
      </c>
      <c r="I557" s="3">
        <v>980</v>
      </c>
      <c r="J557" s="3">
        <v>104</v>
      </c>
      <c r="K557" s="3">
        <v>1</v>
      </c>
      <c r="L557">
        <v>-1.0000000000005119E-2</v>
      </c>
      <c r="M557">
        <v>3.999999999999837E-5</v>
      </c>
      <c r="Q557" s="3">
        <v>980</v>
      </c>
      <c r="R557" s="3">
        <v>104</v>
      </c>
      <c r="S557" s="3">
        <v>1</v>
      </c>
      <c r="T557">
        <v>89.19</v>
      </c>
      <c r="U557">
        <v>1.984E-2</v>
      </c>
    </row>
    <row r="558" spans="1:23" x14ac:dyDescent="0.25">
      <c r="A558" s="3">
        <v>980</v>
      </c>
      <c r="B558" s="3">
        <v>110</v>
      </c>
      <c r="C558" s="3">
        <v>1</v>
      </c>
      <c r="D558">
        <v>4.7058823529419119E-2</v>
      </c>
      <c r="E558">
        <v>0.33557046979865568</v>
      </c>
      <c r="I558" s="3">
        <v>980</v>
      </c>
      <c r="J558" s="3">
        <v>110</v>
      </c>
      <c r="K558" s="3">
        <v>1</v>
      </c>
      <c r="L558">
        <v>4.0000000000006253E-2</v>
      </c>
      <c r="M558">
        <v>-4.9999999999999697E-5</v>
      </c>
      <c r="Q558" s="3">
        <v>980</v>
      </c>
      <c r="R558" s="3">
        <v>110</v>
      </c>
      <c r="S558" s="3">
        <v>1</v>
      </c>
      <c r="T558">
        <v>85.04</v>
      </c>
      <c r="U558">
        <v>1.485E-2</v>
      </c>
    </row>
    <row r="559" spans="1:23" x14ac:dyDescent="0.25">
      <c r="A559" s="3">
        <v>980</v>
      </c>
      <c r="B559" s="3">
        <v>114</v>
      </c>
      <c r="C559" s="3">
        <v>1</v>
      </c>
      <c r="D559">
        <v>3.3259423503327203E-2</v>
      </c>
      <c r="E559">
        <v>9.9009900990094976E-2</v>
      </c>
      <c r="I559" s="3">
        <v>980</v>
      </c>
      <c r="J559" s="3">
        <v>114</v>
      </c>
      <c r="K559" s="3">
        <v>1</v>
      </c>
      <c r="L559">
        <v>-3.000000000000114E-2</v>
      </c>
      <c r="M559">
        <v>1.9999999999999188E-5</v>
      </c>
      <c r="Q559" s="3">
        <v>980</v>
      </c>
      <c r="R559" s="3">
        <v>114</v>
      </c>
      <c r="S559" s="3">
        <v>1</v>
      </c>
      <c r="T559">
        <v>90.17</v>
      </c>
      <c r="U559">
        <v>2.0219999999999998E-2</v>
      </c>
    </row>
    <row r="560" spans="1:23" x14ac:dyDescent="0.25">
      <c r="A560" s="3">
        <v>990</v>
      </c>
      <c r="B560" s="3">
        <v>1</v>
      </c>
      <c r="C560" s="3">
        <v>1</v>
      </c>
      <c r="D560">
        <v>2.2371364653239391E-2</v>
      </c>
      <c r="E560">
        <v>9.9009900990094976E-2</v>
      </c>
      <c r="I560" s="3">
        <v>990</v>
      </c>
      <c r="J560" s="3">
        <v>1</v>
      </c>
      <c r="K560" s="3">
        <v>1</v>
      </c>
      <c r="L560">
        <v>1.9999999999996021E-2</v>
      </c>
      <c r="M560">
        <v>-1.9999999999999188E-5</v>
      </c>
      <c r="Q560" s="3">
        <v>990</v>
      </c>
      <c r="R560" s="3">
        <v>1</v>
      </c>
      <c r="S560" s="3">
        <v>1</v>
      </c>
      <c r="T560">
        <v>89.42</v>
      </c>
      <c r="U560">
        <v>2.018E-2</v>
      </c>
      <c r="V560">
        <v>-0.2</v>
      </c>
      <c r="W560">
        <v>0.4</v>
      </c>
    </row>
    <row r="561" spans="1:23" x14ac:dyDescent="0.25">
      <c r="A561" s="3">
        <v>990</v>
      </c>
      <c r="B561" s="3">
        <v>2</v>
      </c>
      <c r="C561" s="3">
        <v>1</v>
      </c>
      <c r="D561">
        <v>4.4994375703044147E-2</v>
      </c>
      <c r="E561">
        <v>9.9009900990094976E-2</v>
      </c>
      <c r="I561" s="3">
        <v>990</v>
      </c>
      <c r="J561" s="3">
        <v>2</v>
      </c>
      <c r="K561" s="3">
        <v>1</v>
      </c>
      <c r="L561">
        <v>-4.0000000000006253E-2</v>
      </c>
      <c r="M561">
        <v>-1.9999999999999188E-5</v>
      </c>
      <c r="Q561" s="3">
        <v>990</v>
      </c>
      <c r="R561" s="3">
        <v>2</v>
      </c>
      <c r="S561" s="3">
        <v>1</v>
      </c>
      <c r="T561">
        <v>88.86</v>
      </c>
      <c r="U561">
        <v>2.018E-2</v>
      </c>
      <c r="V561">
        <v>-0.2</v>
      </c>
      <c r="W561">
        <v>0.4</v>
      </c>
    </row>
    <row r="562" spans="1:23" x14ac:dyDescent="0.25">
      <c r="A562" s="3">
        <v>990</v>
      </c>
      <c r="B562" s="3">
        <v>3</v>
      </c>
      <c r="C562" s="3">
        <v>1</v>
      </c>
      <c r="D562">
        <v>4.5454545454552561E-2</v>
      </c>
      <c r="E562">
        <v>0</v>
      </c>
      <c r="I562" s="3">
        <v>990</v>
      </c>
      <c r="J562" s="3">
        <v>3</v>
      </c>
      <c r="K562" s="3">
        <v>1</v>
      </c>
      <c r="L562">
        <v>-4.0000000000006253E-2</v>
      </c>
      <c r="M562">
        <v>0</v>
      </c>
      <c r="Q562" s="3">
        <v>990</v>
      </c>
      <c r="R562" s="3">
        <v>3</v>
      </c>
      <c r="S562" s="3">
        <v>1</v>
      </c>
      <c r="T562">
        <v>87.96</v>
      </c>
      <c r="U562">
        <v>2.0199999999999999E-2</v>
      </c>
      <c r="V562">
        <v>-0.4</v>
      </c>
      <c r="W562">
        <v>0.7</v>
      </c>
    </row>
    <row r="563" spans="1:23" x14ac:dyDescent="0.25">
      <c r="A563" s="3">
        <v>990</v>
      </c>
      <c r="B563" s="3">
        <v>3</v>
      </c>
      <c r="C563" s="3">
        <v>2</v>
      </c>
      <c r="I563" s="3">
        <v>990</v>
      </c>
      <c r="J563" s="3">
        <v>3</v>
      </c>
      <c r="K563" s="3">
        <v>2</v>
      </c>
      <c r="Q563" s="3">
        <v>990</v>
      </c>
      <c r="R563" s="3">
        <v>3</v>
      </c>
      <c r="S563" s="3">
        <v>2</v>
      </c>
      <c r="T563">
        <v>87.47</v>
      </c>
      <c r="U563">
        <v>2.0219999999999998E-2</v>
      </c>
      <c r="V563">
        <v>-0.3</v>
      </c>
      <c r="W563">
        <v>0.7</v>
      </c>
    </row>
    <row r="564" spans="1:23" x14ac:dyDescent="0.25">
      <c r="A564" s="3">
        <v>990</v>
      </c>
      <c r="B564" s="3">
        <v>4</v>
      </c>
      <c r="C564" s="3">
        <v>1</v>
      </c>
      <c r="D564">
        <v>0</v>
      </c>
      <c r="E564">
        <v>5.8479532163740307E-2</v>
      </c>
      <c r="I564" s="3">
        <v>990</v>
      </c>
      <c r="J564" s="3">
        <v>4</v>
      </c>
      <c r="K564" s="3">
        <v>1</v>
      </c>
      <c r="L564">
        <v>0</v>
      </c>
      <c r="M564">
        <v>-9.9999999999995925E-6</v>
      </c>
      <c r="Q564" s="3">
        <v>990</v>
      </c>
      <c r="R564" s="3">
        <v>4</v>
      </c>
      <c r="S564" s="3">
        <v>1</v>
      </c>
      <c r="T564">
        <v>85.4</v>
      </c>
      <c r="U564">
        <v>1.7090000000000001E-2</v>
      </c>
      <c r="V564">
        <v>-2.2000000000000002</v>
      </c>
      <c r="W564">
        <v>6</v>
      </c>
    </row>
    <row r="565" spans="1:23" x14ac:dyDescent="0.25">
      <c r="A565" s="3">
        <v>990</v>
      </c>
      <c r="B565" s="3">
        <v>4</v>
      </c>
      <c r="C565" s="3">
        <v>2</v>
      </c>
      <c r="I565" s="3">
        <v>990</v>
      </c>
      <c r="J565" s="3">
        <v>4</v>
      </c>
      <c r="K565" s="3">
        <v>2</v>
      </c>
      <c r="Q565" s="3">
        <v>990</v>
      </c>
      <c r="R565" s="3">
        <v>4</v>
      </c>
      <c r="S565" s="3">
        <v>2</v>
      </c>
      <c r="T565">
        <v>85.08</v>
      </c>
      <c r="U565">
        <v>1.7160000000000002E-2</v>
      </c>
      <c r="V565">
        <v>-2</v>
      </c>
      <c r="W565">
        <v>5.8</v>
      </c>
    </row>
    <row r="566" spans="1:23" x14ac:dyDescent="0.25">
      <c r="A566" s="3">
        <v>990</v>
      </c>
      <c r="B566" s="3">
        <v>4</v>
      </c>
      <c r="C566" s="3">
        <v>3</v>
      </c>
      <c r="I566" s="3">
        <v>990</v>
      </c>
      <c r="J566" s="3">
        <v>4</v>
      </c>
      <c r="K566" s="3">
        <v>3</v>
      </c>
      <c r="Q566" s="3">
        <v>990</v>
      </c>
      <c r="R566" s="3">
        <v>4</v>
      </c>
      <c r="S566" s="3">
        <v>3</v>
      </c>
      <c r="T566">
        <v>84.42</v>
      </c>
      <c r="U566">
        <v>1.6920000000000001E-2</v>
      </c>
      <c r="V566">
        <v>-1.8</v>
      </c>
      <c r="W566">
        <v>5.7</v>
      </c>
    </row>
    <row r="567" spans="1:23" x14ac:dyDescent="0.25">
      <c r="A567" s="3">
        <v>990</v>
      </c>
      <c r="B567" s="3">
        <v>5</v>
      </c>
      <c r="C567" s="3">
        <v>1</v>
      </c>
      <c r="D567">
        <v>3.4285714285715578E-2</v>
      </c>
      <c r="E567">
        <v>0.19801980198020711</v>
      </c>
      <c r="I567" s="3">
        <v>990</v>
      </c>
      <c r="J567" s="3">
        <v>5</v>
      </c>
      <c r="K567" s="3">
        <v>1</v>
      </c>
      <c r="L567">
        <v>-3.000000000000114E-2</v>
      </c>
      <c r="M567">
        <v>4.000000000000184E-5</v>
      </c>
      <c r="Q567" s="3">
        <v>990</v>
      </c>
      <c r="R567" s="3">
        <v>5</v>
      </c>
      <c r="S567" s="3">
        <v>1</v>
      </c>
      <c r="T567">
        <v>87.47</v>
      </c>
      <c r="U567">
        <v>2.0240000000000001E-2</v>
      </c>
      <c r="V567">
        <v>-0.7</v>
      </c>
      <c r="W567">
        <v>1.1000000000000001</v>
      </c>
    </row>
    <row r="568" spans="1:23" x14ac:dyDescent="0.25">
      <c r="A568" s="3">
        <v>990</v>
      </c>
      <c r="B568" s="3">
        <v>5</v>
      </c>
      <c r="C568" s="3">
        <v>2</v>
      </c>
      <c r="I568" s="3">
        <v>990</v>
      </c>
      <c r="J568" s="3">
        <v>5</v>
      </c>
      <c r="K568" s="3">
        <v>2</v>
      </c>
      <c r="Q568" s="3">
        <v>990</v>
      </c>
      <c r="R568" s="3">
        <v>5</v>
      </c>
      <c r="S568" s="3">
        <v>2</v>
      </c>
      <c r="T568">
        <v>87.54</v>
      </c>
      <c r="U568">
        <v>2.018E-2</v>
      </c>
      <c r="V568">
        <v>-0.7</v>
      </c>
      <c r="W568">
        <v>1.1000000000000001</v>
      </c>
    </row>
    <row r="569" spans="1:23" x14ac:dyDescent="0.25">
      <c r="A569" s="3">
        <v>990</v>
      </c>
      <c r="B569" s="3">
        <v>5</v>
      </c>
      <c r="C569" s="3">
        <v>3</v>
      </c>
      <c r="I569" s="3">
        <v>990</v>
      </c>
      <c r="J569" s="3">
        <v>5</v>
      </c>
      <c r="K569" s="3">
        <v>3</v>
      </c>
      <c r="Q569" s="3">
        <v>990</v>
      </c>
      <c r="R569" s="3">
        <v>5</v>
      </c>
      <c r="S569" s="3">
        <v>3</v>
      </c>
      <c r="T569">
        <v>86.72</v>
      </c>
      <c r="U569">
        <v>1.924E-2</v>
      </c>
      <c r="V569">
        <v>-0.8</v>
      </c>
      <c r="W569">
        <v>1.2</v>
      </c>
    </row>
    <row r="570" spans="1:23" x14ac:dyDescent="0.25">
      <c r="A570" s="3">
        <v>990</v>
      </c>
      <c r="B570" s="3">
        <v>6</v>
      </c>
      <c r="C570" s="3">
        <v>1</v>
      </c>
      <c r="D570">
        <v>2.406738868833963E-2</v>
      </c>
      <c r="E570">
        <v>0.1234567901234518</v>
      </c>
      <c r="I570" s="3">
        <v>990</v>
      </c>
      <c r="J570" s="3">
        <v>6</v>
      </c>
      <c r="K570" s="3">
        <v>1</v>
      </c>
      <c r="L570">
        <v>2.0000000000010228E-2</v>
      </c>
      <c r="M570">
        <v>-1.9999999999999188E-5</v>
      </c>
      <c r="Q570" s="3">
        <v>990</v>
      </c>
      <c r="R570" s="3">
        <v>6</v>
      </c>
      <c r="S570" s="3">
        <v>1</v>
      </c>
      <c r="T570">
        <v>83.12</v>
      </c>
      <c r="U570">
        <v>1.618E-2</v>
      </c>
      <c r="V570">
        <v>-1.7</v>
      </c>
      <c r="W570">
        <v>5.3</v>
      </c>
    </row>
    <row r="571" spans="1:23" x14ac:dyDescent="0.25">
      <c r="A571" s="3">
        <v>990</v>
      </c>
      <c r="B571" s="3">
        <v>6</v>
      </c>
      <c r="C571" s="3">
        <v>2</v>
      </c>
      <c r="I571" s="3">
        <v>990</v>
      </c>
      <c r="J571" s="3">
        <v>6</v>
      </c>
      <c r="K571" s="3">
        <v>2</v>
      </c>
      <c r="Q571" s="3">
        <v>990</v>
      </c>
      <c r="R571" s="3">
        <v>6</v>
      </c>
      <c r="S571" s="3">
        <v>2</v>
      </c>
      <c r="T571">
        <v>81.709999999999994</v>
      </c>
      <c r="U571">
        <v>1.519E-2</v>
      </c>
      <c r="V571">
        <v>-1.8</v>
      </c>
      <c r="W571">
        <v>5.4</v>
      </c>
    </row>
    <row r="572" spans="1:23" x14ac:dyDescent="0.25">
      <c r="A572" s="3">
        <v>990</v>
      </c>
      <c r="B572" s="3">
        <v>6</v>
      </c>
      <c r="C572" s="3">
        <v>3</v>
      </c>
      <c r="I572" s="3">
        <v>990</v>
      </c>
      <c r="J572" s="3">
        <v>6</v>
      </c>
      <c r="K572" s="3">
        <v>3</v>
      </c>
      <c r="Q572" s="3">
        <v>990</v>
      </c>
      <c r="R572" s="3">
        <v>6</v>
      </c>
      <c r="S572" s="3">
        <v>3</v>
      </c>
      <c r="T572">
        <v>80.209999999999994</v>
      </c>
      <c r="U572">
        <v>1.4069999999999999E-2</v>
      </c>
      <c r="V572">
        <v>-2</v>
      </c>
      <c r="W572">
        <v>5.6</v>
      </c>
    </row>
    <row r="573" spans="1:23" x14ac:dyDescent="0.25">
      <c r="A573" s="3">
        <v>990</v>
      </c>
      <c r="B573" s="3">
        <v>7</v>
      </c>
      <c r="C573" s="3">
        <v>1</v>
      </c>
      <c r="D573">
        <v>3.8071065989849162E-2</v>
      </c>
      <c r="E573">
        <v>0</v>
      </c>
      <c r="I573" s="3">
        <v>990</v>
      </c>
      <c r="J573" s="3">
        <v>7</v>
      </c>
      <c r="K573" s="3">
        <v>1</v>
      </c>
      <c r="L573">
        <v>3.000000000000114E-2</v>
      </c>
      <c r="M573">
        <v>0</v>
      </c>
      <c r="Q573" s="3">
        <v>990</v>
      </c>
      <c r="R573" s="3">
        <v>7</v>
      </c>
      <c r="S573" s="3">
        <v>1</v>
      </c>
      <c r="T573">
        <v>78.83</v>
      </c>
      <c r="U573">
        <v>1.3299999999999999E-2</v>
      </c>
      <c r="V573">
        <v>-79.8</v>
      </c>
      <c r="W573">
        <v>-213.6</v>
      </c>
    </row>
    <row r="574" spans="1:23" x14ac:dyDescent="0.25">
      <c r="A574" s="3">
        <v>990</v>
      </c>
      <c r="B574" s="3">
        <v>8</v>
      </c>
      <c r="C574" s="3">
        <v>1</v>
      </c>
      <c r="D574">
        <v>0</v>
      </c>
      <c r="E574">
        <v>0</v>
      </c>
      <c r="I574" s="3">
        <v>990</v>
      </c>
      <c r="J574" s="3">
        <v>8</v>
      </c>
      <c r="K574" s="3">
        <v>1</v>
      </c>
      <c r="L574">
        <v>0</v>
      </c>
      <c r="M574">
        <v>0</v>
      </c>
      <c r="Q574" s="3">
        <v>990</v>
      </c>
      <c r="R574" s="3">
        <v>8</v>
      </c>
      <c r="S574" s="3">
        <v>1</v>
      </c>
      <c r="T574">
        <v>85.3</v>
      </c>
      <c r="U574">
        <v>1.52E-2</v>
      </c>
      <c r="V574">
        <v>16.7</v>
      </c>
      <c r="W574">
        <v>8.1999999999999993</v>
      </c>
    </row>
    <row r="575" spans="1:23" x14ac:dyDescent="0.25">
      <c r="A575" s="3">
        <v>990</v>
      </c>
      <c r="B575" s="3">
        <v>8</v>
      </c>
      <c r="C575" s="3">
        <v>2</v>
      </c>
      <c r="I575" s="3">
        <v>990</v>
      </c>
      <c r="J575" s="3">
        <v>8</v>
      </c>
      <c r="K575" s="3">
        <v>2</v>
      </c>
      <c r="Q575" s="3">
        <v>990</v>
      </c>
      <c r="R575" s="3">
        <v>8</v>
      </c>
      <c r="S575" s="3">
        <v>2</v>
      </c>
      <c r="T575">
        <v>85.2</v>
      </c>
      <c r="U575">
        <v>1.4970000000000001E-2</v>
      </c>
      <c r="V575">
        <v>-30.8</v>
      </c>
      <c r="W575">
        <v>-153.6</v>
      </c>
    </row>
    <row r="576" spans="1:23" x14ac:dyDescent="0.25">
      <c r="A576" s="3">
        <v>990</v>
      </c>
      <c r="B576" s="3">
        <v>9</v>
      </c>
      <c r="C576" s="3">
        <v>1</v>
      </c>
      <c r="D576">
        <v>1.275510204080472E-2</v>
      </c>
      <c r="E576">
        <v>0.37037037037036807</v>
      </c>
      <c r="I576" s="3">
        <v>990</v>
      </c>
      <c r="J576" s="3">
        <v>9</v>
      </c>
      <c r="K576" s="3">
        <v>1</v>
      </c>
      <c r="L576">
        <v>9.9999999999909051E-3</v>
      </c>
      <c r="M576">
        <v>-4.9999999999999697E-5</v>
      </c>
      <c r="Q576" s="3">
        <v>990</v>
      </c>
      <c r="R576" s="3">
        <v>9</v>
      </c>
      <c r="S576" s="3">
        <v>1</v>
      </c>
      <c r="T576">
        <v>78.41</v>
      </c>
      <c r="U576">
        <v>1.345E-2</v>
      </c>
      <c r="V576">
        <v>49.3</v>
      </c>
      <c r="W576">
        <v>-23</v>
      </c>
    </row>
    <row r="577" spans="1:23" x14ac:dyDescent="0.25">
      <c r="A577" s="3">
        <v>990</v>
      </c>
      <c r="B577" s="3">
        <v>9</v>
      </c>
      <c r="C577" s="3">
        <v>2</v>
      </c>
      <c r="I577" s="3">
        <v>990</v>
      </c>
      <c r="J577" s="3">
        <v>9</v>
      </c>
      <c r="K577" s="3">
        <v>2</v>
      </c>
      <c r="Q577" s="3">
        <v>990</v>
      </c>
      <c r="R577" s="3">
        <v>9</v>
      </c>
      <c r="S577" s="3">
        <v>2</v>
      </c>
      <c r="T577">
        <v>78.08</v>
      </c>
      <c r="U577">
        <v>1.3299999999999999E-2</v>
      </c>
      <c r="V577">
        <v>210.8</v>
      </c>
      <c r="W577">
        <v>43.2</v>
      </c>
    </row>
    <row r="578" spans="1:23" x14ac:dyDescent="0.25">
      <c r="A578" s="3">
        <v>990</v>
      </c>
      <c r="B578" s="3">
        <v>9</v>
      </c>
      <c r="C578" s="3">
        <v>3</v>
      </c>
      <c r="I578" s="3">
        <v>990</v>
      </c>
      <c r="J578" s="3">
        <v>9</v>
      </c>
      <c r="K578" s="3">
        <v>3</v>
      </c>
      <c r="Q578" s="3">
        <v>990</v>
      </c>
      <c r="R578" s="3">
        <v>9</v>
      </c>
      <c r="S578" s="3">
        <v>3</v>
      </c>
      <c r="T578">
        <v>77.91</v>
      </c>
      <c r="U578">
        <v>1.308E-2</v>
      </c>
      <c r="V578">
        <v>207</v>
      </c>
      <c r="W578">
        <v>49</v>
      </c>
    </row>
    <row r="579" spans="1:23" x14ac:dyDescent="0.25">
      <c r="A579" s="3">
        <v>990</v>
      </c>
      <c r="B579" s="3">
        <v>9</v>
      </c>
      <c r="C579" s="3">
        <v>4</v>
      </c>
      <c r="I579" s="3">
        <v>990</v>
      </c>
      <c r="J579" s="3">
        <v>9</v>
      </c>
      <c r="K579" s="3">
        <v>4</v>
      </c>
      <c r="Q579" s="3">
        <v>990</v>
      </c>
      <c r="R579" s="3">
        <v>9</v>
      </c>
      <c r="S579" s="3">
        <v>4</v>
      </c>
      <c r="T579">
        <v>78.66</v>
      </c>
      <c r="U579">
        <v>1.3220000000000001E-2</v>
      </c>
      <c r="V579">
        <v>109</v>
      </c>
      <c r="W579">
        <v>-111.4</v>
      </c>
    </row>
    <row r="580" spans="1:23" x14ac:dyDescent="0.25">
      <c r="A580" s="3">
        <v>990</v>
      </c>
      <c r="B580" s="3">
        <v>10</v>
      </c>
      <c r="C580" s="3">
        <v>1</v>
      </c>
      <c r="D580">
        <v>1.182033096927319E-2</v>
      </c>
      <c r="E580">
        <v>6.8965517241376492E-2</v>
      </c>
      <c r="I580" s="3">
        <v>990</v>
      </c>
      <c r="J580" s="3">
        <v>10</v>
      </c>
      <c r="K580" s="3">
        <v>1</v>
      </c>
      <c r="L580">
        <v>1.0000000000005119E-2</v>
      </c>
      <c r="M580">
        <v>9.9999999999995925E-6</v>
      </c>
      <c r="Q580" s="3">
        <v>990</v>
      </c>
      <c r="R580" s="3">
        <v>10</v>
      </c>
      <c r="S580" s="3">
        <v>1</v>
      </c>
      <c r="T580">
        <v>84.61</v>
      </c>
      <c r="U580">
        <v>1.451E-2</v>
      </c>
      <c r="V580">
        <v>-24</v>
      </c>
      <c r="W580">
        <v>-123.1</v>
      </c>
    </row>
    <row r="581" spans="1:23" x14ac:dyDescent="0.25">
      <c r="A581" s="3">
        <v>990</v>
      </c>
      <c r="B581" s="3">
        <v>10</v>
      </c>
      <c r="C581" s="3">
        <v>2</v>
      </c>
      <c r="I581" s="3">
        <v>990</v>
      </c>
      <c r="J581" s="3">
        <v>10</v>
      </c>
      <c r="K581" s="3">
        <v>2</v>
      </c>
      <c r="Q581" s="3">
        <v>990</v>
      </c>
      <c r="R581" s="3">
        <v>10</v>
      </c>
      <c r="S581" s="3">
        <v>2</v>
      </c>
      <c r="T581">
        <v>84.13</v>
      </c>
      <c r="U581">
        <v>1.486E-2</v>
      </c>
      <c r="V581">
        <v>24.7</v>
      </c>
      <c r="W581">
        <v>23.7</v>
      </c>
    </row>
    <row r="582" spans="1:23" x14ac:dyDescent="0.25">
      <c r="A582" s="3">
        <v>990</v>
      </c>
      <c r="B582" s="3">
        <v>11</v>
      </c>
      <c r="C582" s="3">
        <v>1</v>
      </c>
      <c r="D582">
        <v>4.9504950495039661E-2</v>
      </c>
      <c r="E582">
        <v>0.3597122302158377</v>
      </c>
      <c r="I582" s="3">
        <v>990</v>
      </c>
      <c r="J582" s="3">
        <v>11</v>
      </c>
      <c r="K582" s="3">
        <v>1</v>
      </c>
      <c r="L582">
        <v>-3.9999999999992042E-2</v>
      </c>
      <c r="M582">
        <v>5.0000000000001432E-5</v>
      </c>
      <c r="Q582" s="3">
        <v>990</v>
      </c>
      <c r="R582" s="3">
        <v>11</v>
      </c>
      <c r="S582" s="3">
        <v>1</v>
      </c>
      <c r="T582">
        <v>80.760000000000005</v>
      </c>
      <c r="U582">
        <v>1.3950000000000001E-2</v>
      </c>
      <c r="V582">
        <v>-254.5</v>
      </c>
      <c r="W582">
        <v>-831.7</v>
      </c>
    </row>
    <row r="583" spans="1:23" x14ac:dyDescent="0.25">
      <c r="A583" s="3">
        <v>990</v>
      </c>
      <c r="B583" s="3">
        <v>12</v>
      </c>
      <c r="C583" s="3">
        <v>1</v>
      </c>
      <c r="D583">
        <v>0</v>
      </c>
      <c r="E583">
        <v>0.21276595744679991</v>
      </c>
      <c r="I583" s="3">
        <v>990</v>
      </c>
      <c r="J583" s="3">
        <v>12</v>
      </c>
      <c r="K583" s="3">
        <v>1</v>
      </c>
      <c r="L583">
        <v>0</v>
      </c>
      <c r="M583">
        <v>3.999999999999837E-5</v>
      </c>
      <c r="Q583" s="3">
        <v>990</v>
      </c>
      <c r="R583" s="3">
        <v>12</v>
      </c>
      <c r="S583" s="3">
        <v>1</v>
      </c>
      <c r="T583">
        <v>94</v>
      </c>
      <c r="U583">
        <v>1.8839999999999999E-2</v>
      </c>
      <c r="V583">
        <v>300.5</v>
      </c>
      <c r="W583">
        <v>7.5</v>
      </c>
    </row>
    <row r="584" spans="1:23" x14ac:dyDescent="0.25">
      <c r="A584" s="3">
        <v>990</v>
      </c>
      <c r="B584" s="3">
        <v>12</v>
      </c>
      <c r="C584" s="3">
        <v>2</v>
      </c>
      <c r="I584" s="3">
        <v>990</v>
      </c>
      <c r="J584" s="3">
        <v>12</v>
      </c>
      <c r="K584" s="3">
        <v>2</v>
      </c>
      <c r="Q584" s="3">
        <v>990</v>
      </c>
      <c r="R584" s="3">
        <v>12</v>
      </c>
      <c r="S584" s="3">
        <v>2</v>
      </c>
      <c r="T584">
        <v>94.17</v>
      </c>
      <c r="U584">
        <v>1.985E-2</v>
      </c>
      <c r="V584">
        <v>-2.4</v>
      </c>
      <c r="W584">
        <v>5.0999999999999996</v>
      </c>
    </row>
    <row r="585" spans="1:23" x14ac:dyDescent="0.25">
      <c r="A585" s="3">
        <v>990</v>
      </c>
      <c r="B585" s="3">
        <v>12</v>
      </c>
      <c r="C585" s="3">
        <v>3</v>
      </c>
      <c r="I585" s="3">
        <v>990</v>
      </c>
      <c r="J585" s="3">
        <v>12</v>
      </c>
      <c r="K585" s="3">
        <v>3</v>
      </c>
      <c r="Q585" s="3">
        <v>990</v>
      </c>
      <c r="R585" s="3">
        <v>12</v>
      </c>
      <c r="S585" s="3">
        <v>3</v>
      </c>
      <c r="T585">
        <v>92.36</v>
      </c>
      <c r="U585">
        <v>2.017E-2</v>
      </c>
      <c r="V585">
        <v>-1.8</v>
      </c>
      <c r="W585">
        <v>4.4000000000000004</v>
      </c>
    </row>
    <row r="586" spans="1:23" x14ac:dyDescent="0.25">
      <c r="A586" s="3">
        <v>990</v>
      </c>
      <c r="B586" s="3">
        <v>13</v>
      </c>
      <c r="C586" s="3">
        <v>1</v>
      </c>
      <c r="D586">
        <v>4.4150110375282853E-2</v>
      </c>
      <c r="E586">
        <v>0.14851485148515961</v>
      </c>
      <c r="I586" s="3">
        <v>990</v>
      </c>
      <c r="J586" s="3">
        <v>13</v>
      </c>
      <c r="K586" s="3">
        <v>1</v>
      </c>
      <c r="L586">
        <v>4.0000000000006253E-2</v>
      </c>
      <c r="M586">
        <v>3.000000000000225E-5</v>
      </c>
      <c r="Q586" s="3">
        <v>990</v>
      </c>
      <c r="R586" s="3">
        <v>13</v>
      </c>
      <c r="S586" s="3">
        <v>1</v>
      </c>
      <c r="T586">
        <v>90.64</v>
      </c>
      <c r="U586">
        <v>2.0230000000000001E-2</v>
      </c>
      <c r="V586">
        <v>-2.7</v>
      </c>
      <c r="W586">
        <v>6.4</v>
      </c>
    </row>
    <row r="587" spans="1:23" x14ac:dyDescent="0.25">
      <c r="A587" s="3">
        <v>990</v>
      </c>
      <c r="B587" s="3">
        <v>13</v>
      </c>
      <c r="C587" s="3">
        <v>2</v>
      </c>
      <c r="I587" s="3">
        <v>990</v>
      </c>
      <c r="J587" s="3">
        <v>13</v>
      </c>
      <c r="K587" s="3">
        <v>2</v>
      </c>
      <c r="Q587" s="3">
        <v>990</v>
      </c>
      <c r="R587" s="3">
        <v>13</v>
      </c>
      <c r="S587" s="3">
        <v>2</v>
      </c>
      <c r="T587">
        <v>89.95</v>
      </c>
      <c r="U587">
        <v>2.0209999999999999E-2</v>
      </c>
      <c r="V587">
        <v>-2.2999999999999998</v>
      </c>
      <c r="W587">
        <v>6.1</v>
      </c>
    </row>
    <row r="588" spans="1:23" x14ac:dyDescent="0.25">
      <c r="A588" s="3">
        <v>990</v>
      </c>
      <c r="B588" s="3">
        <v>14</v>
      </c>
      <c r="C588" s="3">
        <v>1</v>
      </c>
      <c r="D588">
        <v>1.113585746101437E-2</v>
      </c>
      <c r="E588">
        <v>4.9504950495047488E-2</v>
      </c>
      <c r="I588" s="3">
        <v>990</v>
      </c>
      <c r="J588" s="3">
        <v>14</v>
      </c>
      <c r="K588" s="3">
        <v>1</v>
      </c>
      <c r="L588">
        <v>-9.9999999999909051E-3</v>
      </c>
      <c r="M588">
        <v>-9.9999999999995925E-6</v>
      </c>
      <c r="Q588" s="3">
        <v>990</v>
      </c>
      <c r="R588" s="3">
        <v>14</v>
      </c>
      <c r="S588" s="3">
        <v>1</v>
      </c>
      <c r="T588">
        <v>89.79</v>
      </c>
      <c r="U588">
        <v>2.019E-2</v>
      </c>
      <c r="V588">
        <v>-1.6</v>
      </c>
      <c r="W588">
        <v>3.9</v>
      </c>
    </row>
    <row r="589" spans="1:23" x14ac:dyDescent="0.25">
      <c r="A589" s="3">
        <v>990</v>
      </c>
      <c r="B589" s="3">
        <v>14</v>
      </c>
      <c r="C589" s="3">
        <v>2</v>
      </c>
      <c r="I589" s="3">
        <v>990</v>
      </c>
      <c r="J589" s="3">
        <v>14</v>
      </c>
      <c r="K589" s="3">
        <v>2</v>
      </c>
      <c r="Q589" s="3">
        <v>990</v>
      </c>
      <c r="R589" s="3">
        <v>14</v>
      </c>
      <c r="S589" s="3">
        <v>2</v>
      </c>
      <c r="T589">
        <v>89.74</v>
      </c>
      <c r="U589">
        <v>2.018E-2</v>
      </c>
      <c r="V589">
        <v>-1.6</v>
      </c>
      <c r="W589">
        <v>3.9</v>
      </c>
    </row>
    <row r="590" spans="1:23" x14ac:dyDescent="0.25">
      <c r="A590" s="3">
        <v>990</v>
      </c>
      <c r="B590" s="3">
        <v>103</v>
      </c>
      <c r="C590" s="3">
        <v>1</v>
      </c>
      <c r="D590">
        <v>4.5662100456628149E-2</v>
      </c>
      <c r="E590">
        <v>4.9504950495047488E-2</v>
      </c>
      <c r="I590" s="3">
        <v>990</v>
      </c>
      <c r="J590" s="3">
        <v>103</v>
      </c>
      <c r="K590" s="3">
        <v>1</v>
      </c>
      <c r="L590">
        <v>4.0000000000006253E-2</v>
      </c>
      <c r="M590">
        <v>9.9999999999995925E-6</v>
      </c>
      <c r="Q590" s="3">
        <v>990</v>
      </c>
      <c r="R590" s="3">
        <v>103</v>
      </c>
      <c r="S590" s="3">
        <v>1</v>
      </c>
      <c r="T590">
        <v>87.64</v>
      </c>
      <c r="U590">
        <v>2.0209999999999999E-2</v>
      </c>
    </row>
    <row r="591" spans="1:23" x14ac:dyDescent="0.25">
      <c r="A591" s="3">
        <v>990</v>
      </c>
      <c r="B591" s="3">
        <v>104</v>
      </c>
      <c r="C591" s="3">
        <v>1</v>
      </c>
      <c r="D591">
        <v>3.3632286995516972E-2</v>
      </c>
      <c r="E591">
        <v>5.0251256281404977E-2</v>
      </c>
      <c r="I591" s="3">
        <v>990</v>
      </c>
      <c r="J591" s="3">
        <v>104</v>
      </c>
      <c r="K591" s="3">
        <v>1</v>
      </c>
      <c r="L591">
        <v>3.000000000000114E-2</v>
      </c>
      <c r="M591">
        <v>-9.9999999999995925E-6</v>
      </c>
      <c r="Q591" s="3">
        <v>990</v>
      </c>
      <c r="R591" s="3">
        <v>104</v>
      </c>
      <c r="S591" s="3">
        <v>1</v>
      </c>
      <c r="T591">
        <v>89.23</v>
      </c>
      <c r="U591">
        <v>1.9890000000000001E-2</v>
      </c>
    </row>
    <row r="592" spans="1:23" x14ac:dyDescent="0.25">
      <c r="A592" s="3">
        <v>990</v>
      </c>
      <c r="B592" s="3">
        <v>110</v>
      </c>
      <c r="C592" s="3">
        <v>1</v>
      </c>
      <c r="D592">
        <v>0</v>
      </c>
      <c r="E592">
        <v>5.7142857142874627E-2</v>
      </c>
      <c r="I592" s="3">
        <v>990</v>
      </c>
      <c r="J592" s="3">
        <v>110</v>
      </c>
      <c r="K592" s="3">
        <v>1</v>
      </c>
      <c r="L592">
        <v>0</v>
      </c>
      <c r="M592">
        <v>-1.000000000000306E-5</v>
      </c>
      <c r="Q592" s="3">
        <v>990</v>
      </c>
      <c r="R592" s="3">
        <v>110</v>
      </c>
      <c r="S592" s="3">
        <v>1</v>
      </c>
      <c r="T592">
        <v>87.5</v>
      </c>
      <c r="U592">
        <v>1.7489999999999999E-2</v>
      </c>
    </row>
    <row r="593" spans="1:21" x14ac:dyDescent="0.25">
      <c r="A593" s="3">
        <v>990</v>
      </c>
      <c r="B593" s="3">
        <v>114</v>
      </c>
      <c r="C593" s="3">
        <v>1</v>
      </c>
      <c r="D593">
        <v>3.303964757709376E-2</v>
      </c>
      <c r="E593">
        <v>0.14851485148515961</v>
      </c>
      <c r="I593" s="3">
        <v>990</v>
      </c>
      <c r="J593" s="3">
        <v>114</v>
      </c>
      <c r="K593" s="3">
        <v>1</v>
      </c>
      <c r="L593">
        <v>-3.000000000000114E-2</v>
      </c>
      <c r="M593">
        <v>3.000000000000225E-5</v>
      </c>
      <c r="Q593" s="3">
        <v>990</v>
      </c>
      <c r="R593" s="3">
        <v>114</v>
      </c>
      <c r="S593" s="3">
        <v>1</v>
      </c>
      <c r="T593">
        <v>90.77</v>
      </c>
      <c r="U593">
        <v>2.0230000000000001E-2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W56"/>
  <sheetViews>
    <sheetView topLeftCell="A7" workbookViewId="0"/>
  </sheetViews>
  <sheetFormatPr defaultRowHeight="15" x14ac:dyDescent="0.25"/>
  <sheetData>
    <row r="1" spans="1:75" x14ac:dyDescent="0.25">
      <c r="A1" s="1" t="s">
        <v>25</v>
      </c>
    </row>
    <row r="2" spans="1:75" x14ac:dyDescent="0.25">
      <c r="A2" s="2" t="s">
        <v>1</v>
      </c>
    </row>
    <row r="3" spans="1:75" x14ac:dyDescent="0.25">
      <c r="A3" t="s">
        <v>2</v>
      </c>
      <c r="T3" t="s">
        <v>3</v>
      </c>
    </row>
    <row r="4" spans="1:75" x14ac:dyDescent="0.25"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181</v>
      </c>
      <c r="I4" s="3" t="s">
        <v>185</v>
      </c>
      <c r="J4" s="3" t="s">
        <v>33</v>
      </c>
      <c r="K4" s="3" t="s">
        <v>34</v>
      </c>
      <c r="L4" s="3" t="s">
        <v>35</v>
      </c>
      <c r="M4" s="3" t="s">
        <v>36</v>
      </c>
      <c r="N4" s="3" t="s">
        <v>37</v>
      </c>
      <c r="O4" s="3" t="s">
        <v>38</v>
      </c>
      <c r="P4" s="3" t="s">
        <v>39</v>
      </c>
      <c r="Q4" s="3" t="s">
        <v>40</v>
      </c>
      <c r="R4" s="3" t="s">
        <v>41</v>
      </c>
      <c r="V4" s="3" t="s">
        <v>26</v>
      </c>
      <c r="W4" s="3" t="s">
        <v>27</v>
      </c>
      <c r="X4" s="3" t="s">
        <v>28</v>
      </c>
      <c r="Y4" s="3" t="s">
        <v>29</v>
      </c>
      <c r="Z4" s="3" t="s">
        <v>30</v>
      </c>
      <c r="AA4" s="3" t="s">
        <v>31</v>
      </c>
      <c r="AB4" s="3" t="s">
        <v>32</v>
      </c>
      <c r="AC4" s="3" t="s">
        <v>33</v>
      </c>
      <c r="AD4" s="3" t="s">
        <v>34</v>
      </c>
      <c r="AE4" s="3" t="s">
        <v>35</v>
      </c>
      <c r="AF4" s="3" t="s">
        <v>36</v>
      </c>
      <c r="AG4" s="3" t="s">
        <v>37</v>
      </c>
      <c r="AH4" s="3" t="s">
        <v>38</v>
      </c>
      <c r="AI4" s="3" t="s">
        <v>39</v>
      </c>
      <c r="AJ4" s="3" t="s">
        <v>40</v>
      </c>
      <c r="AK4" s="3" t="s">
        <v>41</v>
      </c>
    </row>
    <row r="5" spans="1:75" x14ac:dyDescent="0.25">
      <c r="B5" s="3" t="s">
        <v>6</v>
      </c>
      <c r="C5">
        <v>41</v>
      </c>
      <c r="D5">
        <v>41</v>
      </c>
      <c r="E5">
        <v>41</v>
      </c>
      <c r="F5">
        <v>35</v>
      </c>
      <c r="G5">
        <v>32</v>
      </c>
      <c r="H5">
        <v>33</v>
      </c>
      <c r="I5">
        <v>33</v>
      </c>
      <c r="J5">
        <v>20</v>
      </c>
      <c r="K5">
        <v>20</v>
      </c>
      <c r="L5">
        <v>18</v>
      </c>
      <c r="M5">
        <v>20</v>
      </c>
      <c r="N5">
        <v>0</v>
      </c>
      <c r="O5">
        <v>41</v>
      </c>
      <c r="P5">
        <v>41</v>
      </c>
      <c r="Q5">
        <v>41</v>
      </c>
      <c r="R5">
        <v>41</v>
      </c>
      <c r="U5" s="3" t="s">
        <v>6</v>
      </c>
      <c r="V5">
        <v>41</v>
      </c>
      <c r="W5">
        <v>41</v>
      </c>
      <c r="X5">
        <v>41</v>
      </c>
      <c r="Y5">
        <v>41</v>
      </c>
      <c r="Z5">
        <v>41</v>
      </c>
      <c r="AA5">
        <v>41</v>
      </c>
      <c r="AB5">
        <v>41</v>
      </c>
      <c r="AC5">
        <v>41</v>
      </c>
      <c r="AD5">
        <v>41</v>
      </c>
      <c r="AE5">
        <v>41</v>
      </c>
      <c r="AF5">
        <v>41</v>
      </c>
      <c r="AG5">
        <v>0</v>
      </c>
      <c r="AH5">
        <v>41</v>
      </c>
      <c r="AI5">
        <v>41</v>
      </c>
      <c r="AJ5">
        <v>41</v>
      </c>
      <c r="AK5">
        <v>41</v>
      </c>
    </row>
    <row r="6" spans="1:75" x14ac:dyDescent="0.25">
      <c r="B6" s="3" t="s">
        <v>7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O6">
        <v>0</v>
      </c>
      <c r="P6">
        <v>0</v>
      </c>
      <c r="Q6">
        <v>0</v>
      </c>
      <c r="R6">
        <v>1.548586914440746E-3</v>
      </c>
      <c r="U6" s="3" t="s">
        <v>7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H6">
        <v>0</v>
      </c>
      <c r="AI6">
        <v>0</v>
      </c>
      <c r="AJ6">
        <v>0</v>
      </c>
      <c r="AK6">
        <v>2.439024390244175E-5</v>
      </c>
    </row>
    <row r="7" spans="1:75" x14ac:dyDescent="0.25">
      <c r="B7" s="3" t="s">
        <v>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O7">
        <v>0</v>
      </c>
      <c r="P7">
        <v>0</v>
      </c>
      <c r="Q7">
        <v>0</v>
      </c>
      <c r="R7">
        <v>9.9157944056268953E-3</v>
      </c>
      <c r="U7" s="3" t="s">
        <v>8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H7">
        <v>0</v>
      </c>
      <c r="AI7">
        <v>0</v>
      </c>
      <c r="AJ7">
        <v>0</v>
      </c>
      <c r="AK7">
        <v>1.5617376188862349E-4</v>
      </c>
    </row>
    <row r="8" spans="1:75" x14ac:dyDescent="0.25">
      <c r="B8" s="3" t="s">
        <v>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O8">
        <v>0</v>
      </c>
      <c r="P8">
        <v>0</v>
      </c>
      <c r="Q8">
        <v>0</v>
      </c>
      <c r="R8">
        <v>0</v>
      </c>
      <c r="U8" s="3" t="s">
        <v>9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H8">
        <v>0</v>
      </c>
      <c r="AI8">
        <v>0</v>
      </c>
      <c r="AJ8">
        <v>0</v>
      </c>
      <c r="AK8">
        <v>0</v>
      </c>
    </row>
    <row r="9" spans="1:75" x14ac:dyDescent="0.25">
      <c r="B9" s="3" t="s">
        <v>10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O9">
        <v>0</v>
      </c>
      <c r="P9">
        <v>0</v>
      </c>
      <c r="Q9">
        <v>0</v>
      </c>
      <c r="R9">
        <v>0</v>
      </c>
      <c r="U9" s="3" t="s">
        <v>10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H9">
        <v>0</v>
      </c>
      <c r="AI9">
        <v>0</v>
      </c>
      <c r="AJ9">
        <v>0</v>
      </c>
      <c r="AK9">
        <v>0</v>
      </c>
    </row>
    <row r="10" spans="1:75" x14ac:dyDescent="0.25">
      <c r="B10" s="3" t="s">
        <v>11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O10">
        <v>0</v>
      </c>
      <c r="P10">
        <v>0</v>
      </c>
      <c r="Q10">
        <v>0</v>
      </c>
      <c r="R10">
        <v>0</v>
      </c>
      <c r="U10" s="3" t="s">
        <v>11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H10">
        <v>0</v>
      </c>
      <c r="AI10">
        <v>0</v>
      </c>
      <c r="AJ10">
        <v>0</v>
      </c>
      <c r="AK10">
        <v>0</v>
      </c>
    </row>
    <row r="11" spans="1:75" x14ac:dyDescent="0.25">
      <c r="B11" s="3" t="s">
        <v>12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O11">
        <v>0</v>
      </c>
      <c r="P11">
        <v>0</v>
      </c>
      <c r="Q11">
        <v>0</v>
      </c>
      <c r="R11">
        <v>0</v>
      </c>
      <c r="U11" s="3" t="s">
        <v>12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H11">
        <v>0</v>
      </c>
      <c r="AI11">
        <v>0</v>
      </c>
      <c r="AJ11">
        <v>0</v>
      </c>
      <c r="AK11">
        <v>0</v>
      </c>
    </row>
    <row r="12" spans="1:75" x14ac:dyDescent="0.25">
      <c r="B12" s="3" t="s">
        <v>13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O12">
        <v>0</v>
      </c>
      <c r="P12">
        <v>0</v>
      </c>
      <c r="Q12">
        <v>0</v>
      </c>
      <c r="R12">
        <v>6.3492063492070608E-2</v>
      </c>
      <c r="U12" s="3" t="s">
        <v>13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H12">
        <v>0</v>
      </c>
      <c r="AI12">
        <v>0</v>
      </c>
      <c r="AJ12">
        <v>0</v>
      </c>
      <c r="AK12">
        <v>1.0000000000001119E-3</v>
      </c>
    </row>
    <row r="13" spans="1:75" x14ac:dyDescent="0.25">
      <c r="A13" s="2" t="s">
        <v>14</v>
      </c>
    </row>
    <row r="14" spans="1:75" x14ac:dyDescent="0.25">
      <c r="A14" t="s">
        <v>2</v>
      </c>
      <c r="T14" t="s">
        <v>3</v>
      </c>
      <c r="AM14" t="s">
        <v>15</v>
      </c>
      <c r="BF14" t="s">
        <v>16</v>
      </c>
    </row>
    <row r="15" spans="1:75" x14ac:dyDescent="0.25">
      <c r="A15" s="3" t="s">
        <v>17</v>
      </c>
      <c r="B15" s="3" t="s">
        <v>42</v>
      </c>
      <c r="C15" s="3" t="s">
        <v>26</v>
      </c>
      <c r="D15" s="3" t="s">
        <v>27</v>
      </c>
      <c r="E15" s="3" t="s">
        <v>28</v>
      </c>
      <c r="F15" s="3" t="s">
        <v>29</v>
      </c>
      <c r="G15" s="3" t="s">
        <v>30</v>
      </c>
      <c r="H15" s="3" t="s">
        <v>31</v>
      </c>
      <c r="I15" s="3" t="s">
        <v>32</v>
      </c>
      <c r="J15" s="3" t="s">
        <v>33</v>
      </c>
      <c r="K15" s="3" t="s">
        <v>34</v>
      </c>
      <c r="L15" s="3" t="s">
        <v>35</v>
      </c>
      <c r="M15" s="3" t="s">
        <v>36</v>
      </c>
      <c r="N15" s="3" t="s">
        <v>37</v>
      </c>
      <c r="O15" s="3" t="s">
        <v>38</v>
      </c>
      <c r="P15" s="3" t="s">
        <v>39</v>
      </c>
      <c r="Q15" s="3" t="s">
        <v>40</v>
      </c>
      <c r="R15" s="3" t="s">
        <v>41</v>
      </c>
      <c r="T15" s="3" t="s">
        <v>17</v>
      </c>
      <c r="U15" s="3" t="s">
        <v>42</v>
      </c>
      <c r="V15" s="3" t="s">
        <v>26</v>
      </c>
      <c r="W15" s="3" t="s">
        <v>27</v>
      </c>
      <c r="X15" s="3" t="s">
        <v>28</v>
      </c>
      <c r="Y15" s="3" t="s">
        <v>29</v>
      </c>
      <c r="Z15" s="3" t="s">
        <v>30</v>
      </c>
      <c r="AA15" s="3" t="s">
        <v>31</v>
      </c>
      <c r="AB15" s="3" t="s">
        <v>32</v>
      </c>
      <c r="AC15" s="3" t="s">
        <v>33</v>
      </c>
      <c r="AD15" s="3" t="s">
        <v>34</v>
      </c>
      <c r="AE15" s="3" t="s">
        <v>35</v>
      </c>
      <c r="AF15" s="3" t="s">
        <v>36</v>
      </c>
      <c r="AG15" s="3" t="s">
        <v>37</v>
      </c>
      <c r="AH15" s="3" t="s">
        <v>38</v>
      </c>
      <c r="AI15" s="3" t="s">
        <v>39</v>
      </c>
      <c r="AJ15" s="3" t="s">
        <v>40</v>
      </c>
      <c r="AK15" s="3" t="s">
        <v>41</v>
      </c>
      <c r="AM15" s="3" t="s">
        <v>17</v>
      </c>
      <c r="AN15" s="3" t="s">
        <v>42</v>
      </c>
      <c r="AO15" s="3" t="s">
        <v>26</v>
      </c>
      <c r="AP15" s="3" t="s">
        <v>27</v>
      </c>
      <c r="AQ15" s="3" t="s">
        <v>28</v>
      </c>
      <c r="AR15" s="3" t="s">
        <v>29</v>
      </c>
      <c r="AS15" s="3" t="s">
        <v>30</v>
      </c>
      <c r="AT15" s="3" t="s">
        <v>31</v>
      </c>
      <c r="AU15" s="3" t="s">
        <v>32</v>
      </c>
      <c r="AV15" s="3" t="s">
        <v>33</v>
      </c>
      <c r="AW15" s="3" t="s">
        <v>34</v>
      </c>
      <c r="AX15" s="3" t="s">
        <v>35</v>
      </c>
      <c r="AY15" s="3" t="s">
        <v>36</v>
      </c>
      <c r="AZ15" s="3" t="s">
        <v>37</v>
      </c>
      <c r="BA15" s="3" t="s">
        <v>38</v>
      </c>
      <c r="BB15" s="3" t="s">
        <v>39</v>
      </c>
      <c r="BC15" s="3" t="s">
        <v>40</v>
      </c>
      <c r="BD15" s="3" t="s">
        <v>41</v>
      </c>
      <c r="BF15" s="3" t="s">
        <v>17</v>
      </c>
      <c r="BG15" s="3" t="s">
        <v>42</v>
      </c>
      <c r="BH15" s="3" t="s">
        <v>26</v>
      </c>
      <c r="BI15" s="3" t="s">
        <v>27</v>
      </c>
      <c r="BJ15" s="3" t="s">
        <v>28</v>
      </c>
      <c r="BK15" s="3" t="s">
        <v>29</v>
      </c>
      <c r="BL15" s="3" t="s">
        <v>30</v>
      </c>
      <c r="BM15" s="3" t="s">
        <v>31</v>
      </c>
      <c r="BN15" s="3" t="s">
        <v>32</v>
      </c>
      <c r="BO15" s="3" t="s">
        <v>33</v>
      </c>
      <c r="BP15" s="3" t="s">
        <v>34</v>
      </c>
      <c r="BQ15" s="3" t="s">
        <v>35</v>
      </c>
      <c r="BR15" s="3" t="s">
        <v>36</v>
      </c>
      <c r="BS15" s="3" t="s">
        <v>37</v>
      </c>
      <c r="BT15" s="3" t="s">
        <v>38</v>
      </c>
      <c r="BU15" s="3" t="s">
        <v>39</v>
      </c>
      <c r="BV15" s="3" t="s">
        <v>40</v>
      </c>
      <c r="BW15" s="3" t="s">
        <v>41</v>
      </c>
    </row>
    <row r="16" spans="1:75" x14ac:dyDescent="0.25">
      <c r="A16" s="3">
        <v>0</v>
      </c>
      <c r="B16" s="3">
        <v>1</v>
      </c>
      <c r="C16">
        <v>0</v>
      </c>
      <c r="D16">
        <v>0</v>
      </c>
      <c r="E16">
        <v>0</v>
      </c>
      <c r="F16">
        <v>0</v>
      </c>
      <c r="G16">
        <v>0</v>
      </c>
      <c r="J16">
        <v>0</v>
      </c>
      <c r="K16">
        <v>0</v>
      </c>
      <c r="L16">
        <v>0</v>
      </c>
      <c r="O16">
        <v>0</v>
      </c>
      <c r="P16">
        <v>0</v>
      </c>
      <c r="Q16">
        <v>0</v>
      </c>
      <c r="R16">
        <v>0</v>
      </c>
      <c r="T16" s="3">
        <v>0</v>
      </c>
      <c r="U16" s="3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H16">
        <v>0</v>
      </c>
      <c r="AI16">
        <v>0</v>
      </c>
      <c r="AJ16">
        <v>0</v>
      </c>
      <c r="AK16">
        <v>0</v>
      </c>
      <c r="AM16" s="3">
        <v>0</v>
      </c>
      <c r="AN16" s="3">
        <v>1</v>
      </c>
      <c r="AO16">
        <v>1</v>
      </c>
      <c r="AP16">
        <v>1</v>
      </c>
      <c r="AQ16">
        <v>2877.21</v>
      </c>
      <c r="AR16">
        <v>19.25</v>
      </c>
      <c r="AS16">
        <v>3</v>
      </c>
      <c r="AT16">
        <v>0</v>
      </c>
      <c r="AU16">
        <v>0</v>
      </c>
      <c r="AV16">
        <v>5412</v>
      </c>
      <c r="AW16">
        <v>900</v>
      </c>
      <c r="AX16">
        <v>959</v>
      </c>
      <c r="AY16">
        <v>0</v>
      </c>
      <c r="BA16">
        <v>276</v>
      </c>
      <c r="BB16">
        <v>740.1</v>
      </c>
      <c r="BC16">
        <v>0.434</v>
      </c>
      <c r="BD16">
        <v>0.434</v>
      </c>
      <c r="BF16" s="3">
        <v>0</v>
      </c>
      <c r="BG16" s="3">
        <v>1</v>
      </c>
      <c r="BH16">
        <v>1</v>
      </c>
      <c r="BI16">
        <v>1</v>
      </c>
      <c r="BJ16">
        <v>2877.21</v>
      </c>
      <c r="BK16">
        <v>19.25</v>
      </c>
      <c r="BL16">
        <v>3</v>
      </c>
      <c r="BM16">
        <v>0</v>
      </c>
      <c r="BN16">
        <v>0</v>
      </c>
      <c r="BO16">
        <v>5412</v>
      </c>
      <c r="BP16">
        <v>900</v>
      </c>
      <c r="BQ16">
        <v>959</v>
      </c>
      <c r="BR16">
        <v>0</v>
      </c>
      <c r="BT16">
        <v>276</v>
      </c>
      <c r="BU16">
        <v>740.1</v>
      </c>
      <c r="BV16">
        <v>0.434</v>
      </c>
      <c r="BW16">
        <v>0.434</v>
      </c>
    </row>
    <row r="17" spans="1:75" x14ac:dyDescent="0.25">
      <c r="A17" s="3">
        <v>0</v>
      </c>
      <c r="B17" s="3">
        <v>2</v>
      </c>
      <c r="C17">
        <v>0</v>
      </c>
      <c r="D17">
        <v>0</v>
      </c>
      <c r="E17">
        <v>0</v>
      </c>
      <c r="F17">
        <v>0</v>
      </c>
      <c r="G17">
        <v>0</v>
      </c>
      <c r="J17">
        <v>0</v>
      </c>
      <c r="K17">
        <v>0</v>
      </c>
      <c r="L17">
        <v>0</v>
      </c>
      <c r="M17">
        <v>0</v>
      </c>
      <c r="O17">
        <v>0</v>
      </c>
      <c r="P17">
        <v>0</v>
      </c>
      <c r="Q17">
        <v>0</v>
      </c>
      <c r="R17">
        <v>0</v>
      </c>
      <c r="T17" s="3">
        <v>0</v>
      </c>
      <c r="U17" s="3">
        <v>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H17">
        <v>0</v>
      </c>
      <c r="AI17">
        <v>0</v>
      </c>
      <c r="AJ17">
        <v>0</v>
      </c>
      <c r="AK17">
        <v>0</v>
      </c>
      <c r="AM17" s="3">
        <v>0</v>
      </c>
      <c r="AN17" s="3">
        <v>2</v>
      </c>
      <c r="AO17">
        <v>2</v>
      </c>
      <c r="AP17">
        <v>2</v>
      </c>
      <c r="AQ17">
        <v>2744.71</v>
      </c>
      <c r="AR17">
        <v>11</v>
      </c>
      <c r="AS17">
        <v>3</v>
      </c>
      <c r="AT17">
        <v>0</v>
      </c>
      <c r="AU17">
        <v>0</v>
      </c>
      <c r="AV17">
        <v>6693</v>
      </c>
      <c r="AW17">
        <v>900</v>
      </c>
      <c r="AX17">
        <v>756</v>
      </c>
      <c r="AY17">
        <v>10000</v>
      </c>
      <c r="BA17">
        <v>241.6</v>
      </c>
      <c r="BB17">
        <v>751.3</v>
      </c>
      <c r="BC17">
        <v>0.36899999999999999</v>
      </c>
      <c r="BD17">
        <v>0.36899999999999999</v>
      </c>
      <c r="BF17" s="3">
        <v>0</v>
      </c>
      <c r="BG17" s="3">
        <v>2</v>
      </c>
      <c r="BH17">
        <v>2</v>
      </c>
      <c r="BI17">
        <v>2</v>
      </c>
      <c r="BJ17">
        <v>2744.71</v>
      </c>
      <c r="BK17">
        <v>11</v>
      </c>
      <c r="BL17">
        <v>3</v>
      </c>
      <c r="BM17">
        <v>0</v>
      </c>
      <c r="BN17">
        <v>0</v>
      </c>
      <c r="BO17">
        <v>6693</v>
      </c>
      <c r="BP17">
        <v>900</v>
      </c>
      <c r="BQ17">
        <v>756</v>
      </c>
      <c r="BR17">
        <v>10000</v>
      </c>
      <c r="BT17">
        <v>241.6</v>
      </c>
      <c r="BU17">
        <v>751.3</v>
      </c>
      <c r="BV17">
        <v>0.36899999999999999</v>
      </c>
      <c r="BW17">
        <v>0.36899999999999999</v>
      </c>
    </row>
    <row r="18" spans="1:75" x14ac:dyDescent="0.25">
      <c r="A18" s="3">
        <v>180</v>
      </c>
      <c r="B18" s="3">
        <v>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O18">
        <v>0</v>
      </c>
      <c r="P18">
        <v>0</v>
      </c>
      <c r="Q18">
        <v>0</v>
      </c>
      <c r="R18">
        <v>0</v>
      </c>
      <c r="T18" s="3">
        <v>180</v>
      </c>
      <c r="U18" s="3">
        <v>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H18">
        <v>0</v>
      </c>
      <c r="AI18">
        <v>0</v>
      </c>
      <c r="AJ18">
        <v>0</v>
      </c>
      <c r="AK18">
        <v>0</v>
      </c>
      <c r="AM18" s="3">
        <v>180</v>
      </c>
      <c r="AN18" s="3">
        <v>5</v>
      </c>
      <c r="AO18">
        <v>1</v>
      </c>
      <c r="AP18">
        <v>1</v>
      </c>
      <c r="AQ18">
        <v>2787.13</v>
      </c>
      <c r="AR18">
        <v>5.4</v>
      </c>
      <c r="AS18">
        <v>3</v>
      </c>
      <c r="AT18">
        <v>110</v>
      </c>
      <c r="AU18">
        <v>15.79</v>
      </c>
      <c r="AV18">
        <v>5166</v>
      </c>
      <c r="AW18">
        <v>791</v>
      </c>
      <c r="AX18">
        <v>299</v>
      </c>
      <c r="AY18">
        <v>0</v>
      </c>
      <c r="BA18">
        <v>90</v>
      </c>
      <c r="BB18">
        <v>611.9</v>
      </c>
      <c r="BC18">
        <v>0.88500000000000001</v>
      </c>
      <c r="BD18">
        <v>1.413</v>
      </c>
      <c r="BF18" s="3">
        <v>180</v>
      </c>
      <c r="BG18" s="3">
        <v>5</v>
      </c>
      <c r="BH18">
        <v>1</v>
      </c>
      <c r="BI18">
        <v>1</v>
      </c>
      <c r="BJ18">
        <v>2787.13</v>
      </c>
      <c r="BK18">
        <v>5.4</v>
      </c>
      <c r="BL18">
        <v>3</v>
      </c>
      <c r="BM18">
        <v>110</v>
      </c>
      <c r="BN18">
        <v>15.79</v>
      </c>
      <c r="BO18">
        <v>5166</v>
      </c>
      <c r="BP18">
        <v>791</v>
      </c>
      <c r="BQ18">
        <v>299</v>
      </c>
      <c r="BR18">
        <v>0</v>
      </c>
      <c r="BT18">
        <v>90</v>
      </c>
      <c r="BU18">
        <v>611.9</v>
      </c>
      <c r="BV18">
        <v>0.88500000000000001</v>
      </c>
      <c r="BW18">
        <v>1.413</v>
      </c>
    </row>
    <row r="19" spans="1:75" x14ac:dyDescent="0.25">
      <c r="A19" s="3">
        <v>180</v>
      </c>
      <c r="B19" s="3">
        <v>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M19">
        <v>0</v>
      </c>
      <c r="O19">
        <v>0</v>
      </c>
      <c r="P19">
        <v>0</v>
      </c>
      <c r="Q19">
        <v>0</v>
      </c>
      <c r="R19">
        <v>0</v>
      </c>
      <c r="T19" s="3">
        <v>180</v>
      </c>
      <c r="U19" s="3">
        <v>6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H19">
        <v>0</v>
      </c>
      <c r="AI19">
        <v>0</v>
      </c>
      <c r="AJ19">
        <v>0</v>
      </c>
      <c r="AK19">
        <v>0</v>
      </c>
      <c r="AM19" s="3">
        <v>180</v>
      </c>
      <c r="AN19" s="3">
        <v>6</v>
      </c>
      <c r="AO19">
        <v>2</v>
      </c>
      <c r="AP19">
        <v>2</v>
      </c>
      <c r="AQ19">
        <v>2636.93</v>
      </c>
      <c r="AR19">
        <v>23.2</v>
      </c>
      <c r="AS19">
        <v>-2.76</v>
      </c>
      <c r="AT19">
        <v>45</v>
      </c>
      <c r="AU19">
        <v>0.35</v>
      </c>
      <c r="AV19">
        <v>0</v>
      </c>
      <c r="AW19">
        <v>0</v>
      </c>
      <c r="AX19">
        <v>0</v>
      </c>
      <c r="AY19">
        <v>12997</v>
      </c>
      <c r="BA19">
        <v>90</v>
      </c>
      <c r="BB19">
        <v>571.9</v>
      </c>
      <c r="BC19">
        <v>1.5549999999999999</v>
      </c>
      <c r="BD19">
        <v>2.1819999999999999</v>
      </c>
      <c r="BF19" s="3">
        <v>180</v>
      </c>
      <c r="BG19" s="3">
        <v>6</v>
      </c>
      <c r="BH19">
        <v>2</v>
      </c>
      <c r="BI19">
        <v>2</v>
      </c>
      <c r="BJ19">
        <v>2636.93</v>
      </c>
      <c r="BK19">
        <v>23.2</v>
      </c>
      <c r="BL19">
        <v>-2.76</v>
      </c>
      <c r="BM19">
        <v>45</v>
      </c>
      <c r="BN19">
        <v>0.35</v>
      </c>
      <c r="BO19">
        <v>0</v>
      </c>
      <c r="BP19">
        <v>0</v>
      </c>
      <c r="BQ19">
        <v>0</v>
      </c>
      <c r="BR19">
        <v>12997</v>
      </c>
      <c r="BT19">
        <v>90</v>
      </c>
      <c r="BU19">
        <v>571.9</v>
      </c>
      <c r="BV19">
        <v>1.5549999999999999</v>
      </c>
      <c r="BW19">
        <v>2.1819999999999999</v>
      </c>
    </row>
    <row r="20" spans="1:75" x14ac:dyDescent="0.25">
      <c r="A20" s="3">
        <v>270</v>
      </c>
      <c r="B20" s="3">
        <v>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O20">
        <v>0</v>
      </c>
      <c r="P20">
        <v>0</v>
      </c>
      <c r="Q20">
        <v>0</v>
      </c>
      <c r="R20">
        <v>0</v>
      </c>
      <c r="T20" s="3">
        <v>270</v>
      </c>
      <c r="U20" s="3">
        <v>7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H20">
        <v>0</v>
      </c>
      <c r="AI20">
        <v>0</v>
      </c>
      <c r="AJ20">
        <v>0</v>
      </c>
      <c r="AK20">
        <v>0</v>
      </c>
      <c r="AM20" s="3">
        <v>270</v>
      </c>
      <c r="AN20" s="3">
        <v>7</v>
      </c>
      <c r="AO20">
        <v>1</v>
      </c>
      <c r="AP20">
        <v>1</v>
      </c>
      <c r="AQ20">
        <v>2787.13</v>
      </c>
      <c r="AR20">
        <v>5.4</v>
      </c>
      <c r="AS20">
        <v>3</v>
      </c>
      <c r="AT20">
        <v>109</v>
      </c>
      <c r="AU20">
        <v>15.78</v>
      </c>
      <c r="AV20">
        <v>5166</v>
      </c>
      <c r="AW20">
        <v>791</v>
      </c>
      <c r="AX20">
        <v>299</v>
      </c>
      <c r="AY20">
        <v>0</v>
      </c>
      <c r="BA20">
        <v>90</v>
      </c>
      <c r="BB20">
        <v>610.4</v>
      </c>
      <c r="BC20">
        <v>0.88500000000000001</v>
      </c>
      <c r="BD20">
        <v>1.3879999999999999</v>
      </c>
      <c r="BF20" s="3">
        <v>270</v>
      </c>
      <c r="BG20" s="3">
        <v>7</v>
      </c>
      <c r="BH20">
        <v>1</v>
      </c>
      <c r="BI20">
        <v>1</v>
      </c>
      <c r="BJ20">
        <v>2787.13</v>
      </c>
      <c r="BK20">
        <v>5.4</v>
      </c>
      <c r="BL20">
        <v>3</v>
      </c>
      <c r="BM20">
        <v>109</v>
      </c>
      <c r="BN20">
        <v>15.78</v>
      </c>
      <c r="BO20">
        <v>5166</v>
      </c>
      <c r="BP20">
        <v>791</v>
      </c>
      <c r="BQ20">
        <v>299</v>
      </c>
      <c r="BR20">
        <v>0</v>
      </c>
      <c r="BT20">
        <v>90</v>
      </c>
      <c r="BU20">
        <v>610.4</v>
      </c>
      <c r="BV20">
        <v>0.88500000000000001</v>
      </c>
      <c r="BW20">
        <v>1.3879999999999999</v>
      </c>
    </row>
    <row r="21" spans="1:75" x14ac:dyDescent="0.25">
      <c r="A21" s="3">
        <v>270</v>
      </c>
      <c r="B21" s="3">
        <v>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M21">
        <v>0</v>
      </c>
      <c r="O21">
        <v>0</v>
      </c>
      <c r="P21">
        <v>0</v>
      </c>
      <c r="Q21">
        <v>0</v>
      </c>
      <c r="R21">
        <v>0</v>
      </c>
      <c r="T21" s="3">
        <v>270</v>
      </c>
      <c r="U21" s="3">
        <v>8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H21">
        <v>0</v>
      </c>
      <c r="AI21">
        <v>0</v>
      </c>
      <c r="AJ21">
        <v>0</v>
      </c>
      <c r="AK21">
        <v>0</v>
      </c>
      <c r="AM21" s="3">
        <v>270</v>
      </c>
      <c r="AN21" s="3">
        <v>8</v>
      </c>
      <c r="AO21">
        <v>2</v>
      </c>
      <c r="AP21">
        <v>2</v>
      </c>
      <c r="AQ21">
        <v>2636.93</v>
      </c>
      <c r="AR21">
        <v>23.2</v>
      </c>
      <c r="AS21">
        <v>-2.76</v>
      </c>
      <c r="AT21">
        <v>45</v>
      </c>
      <c r="AU21">
        <v>0.35</v>
      </c>
      <c r="AV21">
        <v>0</v>
      </c>
      <c r="AW21">
        <v>0</v>
      </c>
      <c r="AX21">
        <v>0</v>
      </c>
      <c r="AY21">
        <v>13043</v>
      </c>
      <c r="BA21">
        <v>90</v>
      </c>
      <c r="BB21">
        <v>572</v>
      </c>
      <c r="BC21">
        <v>1.5549999999999999</v>
      </c>
      <c r="BD21">
        <v>2.2029999999999998</v>
      </c>
      <c r="BF21" s="3">
        <v>270</v>
      </c>
      <c r="BG21" s="3">
        <v>8</v>
      </c>
      <c r="BH21">
        <v>2</v>
      </c>
      <c r="BI21">
        <v>2</v>
      </c>
      <c r="BJ21">
        <v>2636.93</v>
      </c>
      <c r="BK21">
        <v>23.2</v>
      </c>
      <c r="BL21">
        <v>-2.76</v>
      </c>
      <c r="BM21">
        <v>45</v>
      </c>
      <c r="BN21">
        <v>0.35</v>
      </c>
      <c r="BO21">
        <v>0</v>
      </c>
      <c r="BP21">
        <v>0</v>
      </c>
      <c r="BQ21">
        <v>0</v>
      </c>
      <c r="BR21">
        <v>13043</v>
      </c>
      <c r="BT21">
        <v>90</v>
      </c>
      <c r="BU21">
        <v>572</v>
      </c>
      <c r="BV21">
        <v>1.5549999999999999</v>
      </c>
      <c r="BW21">
        <v>2.2029999999999998</v>
      </c>
    </row>
    <row r="22" spans="1:75" x14ac:dyDescent="0.25">
      <c r="A22" s="3">
        <v>360</v>
      </c>
      <c r="B22" s="3">
        <v>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O22">
        <v>0</v>
      </c>
      <c r="P22">
        <v>0</v>
      </c>
      <c r="Q22">
        <v>0</v>
      </c>
      <c r="R22">
        <v>0</v>
      </c>
      <c r="T22" s="3">
        <v>360</v>
      </c>
      <c r="U22" s="3">
        <v>9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H22">
        <v>0</v>
      </c>
      <c r="AI22">
        <v>0</v>
      </c>
      <c r="AJ22">
        <v>0</v>
      </c>
      <c r="AK22">
        <v>0</v>
      </c>
      <c r="AM22" s="3">
        <v>360</v>
      </c>
      <c r="AN22" s="3">
        <v>9</v>
      </c>
      <c r="AO22">
        <v>1</v>
      </c>
      <c r="AP22">
        <v>1</v>
      </c>
      <c r="AQ22">
        <v>2787.13</v>
      </c>
      <c r="AR22">
        <v>5.4</v>
      </c>
      <c r="AS22">
        <v>3</v>
      </c>
      <c r="AT22">
        <v>105</v>
      </c>
      <c r="AU22">
        <v>15.09</v>
      </c>
      <c r="AV22">
        <v>5166</v>
      </c>
      <c r="AW22">
        <v>791</v>
      </c>
      <c r="AX22">
        <v>299</v>
      </c>
      <c r="AY22">
        <v>0</v>
      </c>
      <c r="BA22">
        <v>90</v>
      </c>
      <c r="BB22">
        <v>612.4</v>
      </c>
      <c r="BC22">
        <v>0.88500000000000001</v>
      </c>
      <c r="BD22">
        <v>1.349</v>
      </c>
      <c r="BF22" s="3">
        <v>360</v>
      </c>
      <c r="BG22" s="3">
        <v>9</v>
      </c>
      <c r="BH22">
        <v>1</v>
      </c>
      <c r="BI22">
        <v>1</v>
      </c>
      <c r="BJ22">
        <v>2787.13</v>
      </c>
      <c r="BK22">
        <v>5.4</v>
      </c>
      <c r="BL22">
        <v>3</v>
      </c>
      <c r="BM22">
        <v>105</v>
      </c>
      <c r="BN22">
        <v>15.09</v>
      </c>
      <c r="BO22">
        <v>5166</v>
      </c>
      <c r="BP22">
        <v>791</v>
      </c>
      <c r="BQ22">
        <v>299</v>
      </c>
      <c r="BR22">
        <v>0</v>
      </c>
      <c r="BT22">
        <v>90</v>
      </c>
      <c r="BU22">
        <v>612.4</v>
      </c>
      <c r="BV22">
        <v>0.88500000000000001</v>
      </c>
      <c r="BW22">
        <v>1.349</v>
      </c>
    </row>
    <row r="23" spans="1:75" x14ac:dyDescent="0.25">
      <c r="A23" s="3">
        <v>360</v>
      </c>
      <c r="B23" s="3">
        <v>10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M23">
        <v>0</v>
      </c>
      <c r="O23">
        <v>0</v>
      </c>
      <c r="P23">
        <v>0</v>
      </c>
      <c r="Q23">
        <v>0</v>
      </c>
      <c r="R23">
        <v>0</v>
      </c>
      <c r="T23" s="3">
        <v>360</v>
      </c>
      <c r="U23" s="3">
        <v>10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H23">
        <v>0</v>
      </c>
      <c r="AI23">
        <v>0</v>
      </c>
      <c r="AJ23">
        <v>0</v>
      </c>
      <c r="AK23">
        <v>0</v>
      </c>
      <c r="AM23" s="3">
        <v>360</v>
      </c>
      <c r="AN23" s="3">
        <v>10</v>
      </c>
      <c r="AO23">
        <v>2</v>
      </c>
      <c r="AP23">
        <v>2</v>
      </c>
      <c r="AQ23">
        <v>2636.93</v>
      </c>
      <c r="AR23">
        <v>23.2</v>
      </c>
      <c r="AS23">
        <v>-2.76</v>
      </c>
      <c r="AT23">
        <v>52</v>
      </c>
      <c r="AU23">
        <v>0.4</v>
      </c>
      <c r="AV23">
        <v>0</v>
      </c>
      <c r="AW23">
        <v>0</v>
      </c>
      <c r="AX23">
        <v>0</v>
      </c>
      <c r="AY23">
        <v>12997</v>
      </c>
      <c r="BA23">
        <v>90</v>
      </c>
      <c r="BB23">
        <v>572</v>
      </c>
      <c r="BC23">
        <v>1.5549999999999999</v>
      </c>
      <c r="BD23">
        <v>2.246</v>
      </c>
      <c r="BF23" s="3">
        <v>360</v>
      </c>
      <c r="BG23" s="3">
        <v>10</v>
      </c>
      <c r="BH23">
        <v>2</v>
      </c>
      <c r="BI23">
        <v>2</v>
      </c>
      <c r="BJ23">
        <v>2636.93</v>
      </c>
      <c r="BK23">
        <v>23.2</v>
      </c>
      <c r="BL23">
        <v>-2.76</v>
      </c>
      <c r="BM23">
        <v>52</v>
      </c>
      <c r="BN23">
        <v>0.4</v>
      </c>
      <c r="BO23">
        <v>0</v>
      </c>
      <c r="BP23">
        <v>0</v>
      </c>
      <c r="BQ23">
        <v>0</v>
      </c>
      <c r="BR23">
        <v>12997</v>
      </c>
      <c r="BT23">
        <v>90</v>
      </c>
      <c r="BU23">
        <v>572</v>
      </c>
      <c r="BV23">
        <v>1.5549999999999999</v>
      </c>
      <c r="BW23">
        <v>2.246</v>
      </c>
    </row>
    <row r="24" spans="1:75" x14ac:dyDescent="0.25">
      <c r="A24" s="3">
        <v>450</v>
      </c>
      <c r="B24" s="3">
        <v>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O24">
        <v>0</v>
      </c>
      <c r="P24">
        <v>0</v>
      </c>
      <c r="Q24">
        <v>0</v>
      </c>
      <c r="R24">
        <v>0</v>
      </c>
      <c r="T24" s="3">
        <v>450</v>
      </c>
      <c r="U24" s="3">
        <v>11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H24">
        <v>0</v>
      </c>
      <c r="AI24">
        <v>0</v>
      </c>
      <c r="AJ24">
        <v>0</v>
      </c>
      <c r="AK24">
        <v>0</v>
      </c>
      <c r="AM24" s="3">
        <v>450</v>
      </c>
      <c r="AN24" s="3">
        <v>11</v>
      </c>
      <c r="AO24">
        <v>1</v>
      </c>
      <c r="AP24">
        <v>1</v>
      </c>
      <c r="AQ24">
        <v>2787.13</v>
      </c>
      <c r="AR24">
        <v>5.4</v>
      </c>
      <c r="AS24">
        <v>3</v>
      </c>
      <c r="AT24">
        <v>105</v>
      </c>
      <c r="AU24">
        <v>15.1</v>
      </c>
      <c r="AV24">
        <v>5166</v>
      </c>
      <c r="AW24">
        <v>791</v>
      </c>
      <c r="AX24">
        <v>299</v>
      </c>
      <c r="AY24">
        <v>0</v>
      </c>
      <c r="BA24">
        <v>90</v>
      </c>
      <c r="BB24">
        <v>609.79999999999995</v>
      </c>
      <c r="BC24">
        <v>0.88500000000000001</v>
      </c>
      <c r="BD24">
        <v>1.3460000000000001</v>
      </c>
      <c r="BF24" s="3">
        <v>450</v>
      </c>
      <c r="BG24" s="3">
        <v>11</v>
      </c>
      <c r="BH24">
        <v>1</v>
      </c>
      <c r="BI24">
        <v>1</v>
      </c>
      <c r="BJ24">
        <v>2787.13</v>
      </c>
      <c r="BK24">
        <v>5.4</v>
      </c>
      <c r="BL24">
        <v>3</v>
      </c>
      <c r="BM24">
        <v>105</v>
      </c>
      <c r="BN24">
        <v>15.1</v>
      </c>
      <c r="BO24">
        <v>5166</v>
      </c>
      <c r="BP24">
        <v>791</v>
      </c>
      <c r="BQ24">
        <v>299</v>
      </c>
      <c r="BR24">
        <v>0</v>
      </c>
      <c r="BT24">
        <v>90</v>
      </c>
      <c r="BU24">
        <v>609.79999999999995</v>
      </c>
      <c r="BV24">
        <v>0.88500000000000001</v>
      </c>
      <c r="BW24">
        <v>1.3460000000000001</v>
      </c>
    </row>
    <row r="25" spans="1:75" x14ac:dyDescent="0.25">
      <c r="A25" s="3">
        <v>450</v>
      </c>
      <c r="B25" s="3">
        <v>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M25">
        <v>0</v>
      </c>
      <c r="O25">
        <v>0</v>
      </c>
      <c r="P25">
        <v>0</v>
      </c>
      <c r="Q25">
        <v>0</v>
      </c>
      <c r="R25">
        <v>0</v>
      </c>
      <c r="T25" s="3">
        <v>450</v>
      </c>
      <c r="U25" s="3">
        <v>12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H25">
        <v>0</v>
      </c>
      <c r="AI25">
        <v>0</v>
      </c>
      <c r="AJ25">
        <v>0</v>
      </c>
      <c r="AK25">
        <v>0</v>
      </c>
      <c r="AM25" s="3">
        <v>450</v>
      </c>
      <c r="AN25" s="3">
        <v>12</v>
      </c>
      <c r="AO25">
        <v>2</v>
      </c>
      <c r="AP25">
        <v>2</v>
      </c>
      <c r="AQ25">
        <v>2636.93</v>
      </c>
      <c r="AR25">
        <v>23.2</v>
      </c>
      <c r="AS25">
        <v>-2.76</v>
      </c>
      <c r="AT25">
        <v>52</v>
      </c>
      <c r="AU25">
        <v>0.4</v>
      </c>
      <c r="AV25">
        <v>0</v>
      </c>
      <c r="AW25">
        <v>0</v>
      </c>
      <c r="AX25">
        <v>0</v>
      </c>
      <c r="AY25">
        <v>12997</v>
      </c>
      <c r="BA25">
        <v>90</v>
      </c>
      <c r="BB25">
        <v>572</v>
      </c>
      <c r="BC25">
        <v>1.5549999999999999</v>
      </c>
      <c r="BD25">
        <v>2.2450000000000001</v>
      </c>
      <c r="BF25" s="3">
        <v>450</v>
      </c>
      <c r="BG25" s="3">
        <v>12</v>
      </c>
      <c r="BH25">
        <v>2</v>
      </c>
      <c r="BI25">
        <v>2</v>
      </c>
      <c r="BJ25">
        <v>2636.93</v>
      </c>
      <c r="BK25">
        <v>23.2</v>
      </c>
      <c r="BL25">
        <v>-2.76</v>
      </c>
      <c r="BM25">
        <v>52</v>
      </c>
      <c r="BN25">
        <v>0.4</v>
      </c>
      <c r="BO25">
        <v>0</v>
      </c>
      <c r="BP25">
        <v>0</v>
      </c>
      <c r="BQ25">
        <v>0</v>
      </c>
      <c r="BR25">
        <v>12997</v>
      </c>
      <c r="BT25">
        <v>90</v>
      </c>
      <c r="BU25">
        <v>572</v>
      </c>
      <c r="BV25">
        <v>1.5549999999999999</v>
      </c>
      <c r="BW25">
        <v>2.2450000000000001</v>
      </c>
    </row>
    <row r="26" spans="1:75" x14ac:dyDescent="0.25">
      <c r="A26" s="3">
        <v>630</v>
      </c>
      <c r="B26" s="3">
        <v>15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O26">
        <v>0</v>
      </c>
      <c r="P26">
        <v>0</v>
      </c>
      <c r="Q26">
        <v>0</v>
      </c>
      <c r="R26">
        <v>0</v>
      </c>
      <c r="T26" s="3">
        <v>630</v>
      </c>
      <c r="U26" s="3">
        <v>15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H26">
        <v>0</v>
      </c>
      <c r="AI26">
        <v>0</v>
      </c>
      <c r="AJ26">
        <v>0</v>
      </c>
      <c r="AK26">
        <v>0</v>
      </c>
      <c r="AM26" s="3">
        <v>630</v>
      </c>
      <c r="AN26" s="3">
        <v>15</v>
      </c>
      <c r="AO26">
        <v>1</v>
      </c>
      <c r="AP26">
        <v>1</v>
      </c>
      <c r="AQ26">
        <v>2787.13</v>
      </c>
      <c r="AR26">
        <v>5.4</v>
      </c>
      <c r="AS26">
        <v>3</v>
      </c>
      <c r="AT26">
        <v>104</v>
      </c>
      <c r="AU26">
        <v>14.98</v>
      </c>
      <c r="AV26">
        <v>5166</v>
      </c>
      <c r="AW26">
        <v>791</v>
      </c>
      <c r="AX26">
        <v>299</v>
      </c>
      <c r="AY26">
        <v>0</v>
      </c>
      <c r="BA26">
        <v>90</v>
      </c>
      <c r="BB26">
        <v>611.4</v>
      </c>
      <c r="BC26">
        <v>0.88500000000000001</v>
      </c>
      <c r="BD26">
        <v>1.36</v>
      </c>
      <c r="BF26" s="3">
        <v>630</v>
      </c>
      <c r="BG26" s="3">
        <v>15</v>
      </c>
      <c r="BH26">
        <v>1</v>
      </c>
      <c r="BI26">
        <v>1</v>
      </c>
      <c r="BJ26">
        <v>2787.13</v>
      </c>
      <c r="BK26">
        <v>5.4</v>
      </c>
      <c r="BL26">
        <v>3</v>
      </c>
      <c r="BM26">
        <v>104</v>
      </c>
      <c r="BN26">
        <v>14.98</v>
      </c>
      <c r="BO26">
        <v>5166</v>
      </c>
      <c r="BP26">
        <v>791</v>
      </c>
      <c r="BQ26">
        <v>299</v>
      </c>
      <c r="BR26">
        <v>0</v>
      </c>
      <c r="BT26">
        <v>90</v>
      </c>
      <c r="BU26">
        <v>611.4</v>
      </c>
      <c r="BV26">
        <v>0.88500000000000001</v>
      </c>
      <c r="BW26">
        <v>1.36</v>
      </c>
    </row>
    <row r="27" spans="1:75" x14ac:dyDescent="0.25">
      <c r="A27" s="3">
        <v>630</v>
      </c>
      <c r="B27" s="3">
        <v>16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M27">
        <v>0</v>
      </c>
      <c r="O27">
        <v>0</v>
      </c>
      <c r="P27">
        <v>0</v>
      </c>
      <c r="Q27">
        <v>0</v>
      </c>
      <c r="R27">
        <v>0</v>
      </c>
      <c r="T27" s="3">
        <v>630</v>
      </c>
      <c r="U27" s="3">
        <v>16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H27">
        <v>0</v>
      </c>
      <c r="AI27">
        <v>0</v>
      </c>
      <c r="AJ27">
        <v>0</v>
      </c>
      <c r="AK27">
        <v>0</v>
      </c>
      <c r="AM27" s="3">
        <v>630</v>
      </c>
      <c r="AN27" s="3">
        <v>16</v>
      </c>
      <c r="AO27">
        <v>2</v>
      </c>
      <c r="AP27">
        <v>2</v>
      </c>
      <c r="AQ27">
        <v>2636.93</v>
      </c>
      <c r="AR27">
        <v>23.2</v>
      </c>
      <c r="AS27">
        <v>-2.76</v>
      </c>
      <c r="AT27">
        <v>53</v>
      </c>
      <c r="AU27">
        <v>0.41</v>
      </c>
      <c r="AV27">
        <v>0</v>
      </c>
      <c r="AW27">
        <v>0</v>
      </c>
      <c r="AX27">
        <v>0</v>
      </c>
      <c r="AY27">
        <v>13043</v>
      </c>
      <c r="BA27">
        <v>90</v>
      </c>
      <c r="BB27">
        <v>571.79999999999995</v>
      </c>
      <c r="BC27">
        <v>1.5549999999999999</v>
      </c>
      <c r="BD27">
        <v>2.2650000000000001</v>
      </c>
      <c r="BF27" s="3">
        <v>630</v>
      </c>
      <c r="BG27" s="3">
        <v>16</v>
      </c>
      <c r="BH27">
        <v>2</v>
      </c>
      <c r="BI27">
        <v>2</v>
      </c>
      <c r="BJ27">
        <v>2636.93</v>
      </c>
      <c r="BK27">
        <v>23.2</v>
      </c>
      <c r="BL27">
        <v>-2.76</v>
      </c>
      <c r="BM27">
        <v>53</v>
      </c>
      <c r="BN27">
        <v>0.41</v>
      </c>
      <c r="BO27">
        <v>0</v>
      </c>
      <c r="BP27">
        <v>0</v>
      </c>
      <c r="BQ27">
        <v>0</v>
      </c>
      <c r="BR27">
        <v>13043</v>
      </c>
      <c r="BT27">
        <v>90</v>
      </c>
      <c r="BU27">
        <v>571.79999999999995</v>
      </c>
      <c r="BV27">
        <v>1.5549999999999999</v>
      </c>
      <c r="BW27">
        <v>2.2650000000000001</v>
      </c>
    </row>
    <row r="28" spans="1:75" x14ac:dyDescent="0.25">
      <c r="A28" s="3">
        <v>720</v>
      </c>
      <c r="B28" s="3">
        <v>17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O28">
        <v>0</v>
      </c>
      <c r="P28">
        <v>0</v>
      </c>
      <c r="Q28">
        <v>0</v>
      </c>
      <c r="R28">
        <v>0</v>
      </c>
      <c r="T28" s="3">
        <v>720</v>
      </c>
      <c r="U28" s="3">
        <v>17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H28">
        <v>0</v>
      </c>
      <c r="AI28">
        <v>0</v>
      </c>
      <c r="AJ28">
        <v>0</v>
      </c>
      <c r="AK28">
        <v>0</v>
      </c>
      <c r="AM28" s="3">
        <v>720</v>
      </c>
      <c r="AN28" s="3">
        <v>17</v>
      </c>
      <c r="AO28">
        <v>1</v>
      </c>
      <c r="AP28">
        <v>1</v>
      </c>
      <c r="AQ28">
        <v>2787.13</v>
      </c>
      <c r="AR28">
        <v>5.4</v>
      </c>
      <c r="AS28">
        <v>3</v>
      </c>
      <c r="AT28">
        <v>104</v>
      </c>
      <c r="AU28">
        <v>14.98</v>
      </c>
      <c r="AV28">
        <v>5166</v>
      </c>
      <c r="AW28">
        <v>791</v>
      </c>
      <c r="AX28">
        <v>299</v>
      </c>
      <c r="AY28">
        <v>0</v>
      </c>
      <c r="BA28">
        <v>90</v>
      </c>
      <c r="BB28">
        <v>611.4</v>
      </c>
      <c r="BC28">
        <v>0.88500000000000001</v>
      </c>
      <c r="BD28">
        <v>1.36</v>
      </c>
      <c r="BF28" s="3">
        <v>720</v>
      </c>
      <c r="BG28" s="3">
        <v>17</v>
      </c>
      <c r="BH28">
        <v>1</v>
      </c>
      <c r="BI28">
        <v>1</v>
      </c>
      <c r="BJ28">
        <v>2787.13</v>
      </c>
      <c r="BK28">
        <v>5.4</v>
      </c>
      <c r="BL28">
        <v>3</v>
      </c>
      <c r="BM28">
        <v>104</v>
      </c>
      <c r="BN28">
        <v>14.98</v>
      </c>
      <c r="BO28">
        <v>5166</v>
      </c>
      <c r="BP28">
        <v>791</v>
      </c>
      <c r="BQ28">
        <v>299</v>
      </c>
      <c r="BR28">
        <v>0</v>
      </c>
      <c r="BT28">
        <v>90</v>
      </c>
      <c r="BU28">
        <v>611.4</v>
      </c>
      <c r="BV28">
        <v>0.88500000000000001</v>
      </c>
      <c r="BW28">
        <v>1.36</v>
      </c>
    </row>
    <row r="29" spans="1:75" x14ac:dyDescent="0.25">
      <c r="A29" s="3">
        <v>720</v>
      </c>
      <c r="B29" s="3">
        <v>18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M29">
        <v>0</v>
      </c>
      <c r="O29">
        <v>0</v>
      </c>
      <c r="P29">
        <v>0</v>
      </c>
      <c r="Q29">
        <v>0</v>
      </c>
      <c r="R29">
        <v>0</v>
      </c>
      <c r="T29" s="3">
        <v>720</v>
      </c>
      <c r="U29" s="3">
        <v>18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H29">
        <v>0</v>
      </c>
      <c r="AI29">
        <v>0</v>
      </c>
      <c r="AJ29">
        <v>0</v>
      </c>
      <c r="AK29">
        <v>0</v>
      </c>
      <c r="AM29" s="3">
        <v>720</v>
      </c>
      <c r="AN29" s="3">
        <v>18</v>
      </c>
      <c r="AO29">
        <v>2</v>
      </c>
      <c r="AP29">
        <v>2</v>
      </c>
      <c r="AQ29">
        <v>2636.93</v>
      </c>
      <c r="AR29">
        <v>23.2</v>
      </c>
      <c r="AS29">
        <v>-2.76</v>
      </c>
      <c r="AT29">
        <v>53</v>
      </c>
      <c r="AU29">
        <v>0.41</v>
      </c>
      <c r="AV29">
        <v>0</v>
      </c>
      <c r="AW29">
        <v>0</v>
      </c>
      <c r="AX29">
        <v>0</v>
      </c>
      <c r="AY29">
        <v>13043</v>
      </c>
      <c r="BA29">
        <v>90</v>
      </c>
      <c r="BB29">
        <v>571.79999999999995</v>
      </c>
      <c r="BC29">
        <v>1.5549999999999999</v>
      </c>
      <c r="BD29">
        <v>2.2650000000000001</v>
      </c>
      <c r="BF29" s="3">
        <v>720</v>
      </c>
      <c r="BG29" s="3">
        <v>18</v>
      </c>
      <c r="BH29">
        <v>2</v>
      </c>
      <c r="BI29">
        <v>2</v>
      </c>
      <c r="BJ29">
        <v>2636.93</v>
      </c>
      <c r="BK29">
        <v>23.2</v>
      </c>
      <c r="BL29">
        <v>-2.76</v>
      </c>
      <c r="BM29">
        <v>53</v>
      </c>
      <c r="BN29">
        <v>0.41</v>
      </c>
      <c r="BO29">
        <v>0</v>
      </c>
      <c r="BP29">
        <v>0</v>
      </c>
      <c r="BQ29">
        <v>0</v>
      </c>
      <c r="BR29">
        <v>13043</v>
      </c>
      <c r="BT29">
        <v>90</v>
      </c>
      <c r="BU29">
        <v>571.79999999999995</v>
      </c>
      <c r="BV29">
        <v>1.5549999999999999</v>
      </c>
      <c r="BW29">
        <v>2.2650000000000001</v>
      </c>
    </row>
    <row r="30" spans="1:75" x14ac:dyDescent="0.25">
      <c r="A30" s="3">
        <v>900</v>
      </c>
      <c r="B30" s="3">
        <v>21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O30">
        <v>0</v>
      </c>
      <c r="P30">
        <v>0</v>
      </c>
      <c r="Q30">
        <v>0</v>
      </c>
      <c r="R30">
        <v>0</v>
      </c>
      <c r="T30" s="3">
        <v>900</v>
      </c>
      <c r="U30" s="3">
        <v>21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H30">
        <v>0</v>
      </c>
      <c r="AI30">
        <v>0</v>
      </c>
      <c r="AJ30">
        <v>0</v>
      </c>
      <c r="AK30">
        <v>0</v>
      </c>
      <c r="AM30" s="3">
        <v>900</v>
      </c>
      <c r="AN30" s="3">
        <v>21</v>
      </c>
      <c r="AO30">
        <v>1</v>
      </c>
      <c r="AP30">
        <v>1</v>
      </c>
      <c r="AQ30">
        <v>2787.13</v>
      </c>
      <c r="AR30">
        <v>5.4</v>
      </c>
      <c r="AS30">
        <v>3</v>
      </c>
      <c r="AT30">
        <v>104</v>
      </c>
      <c r="AU30">
        <v>15.02</v>
      </c>
      <c r="AV30">
        <v>5166</v>
      </c>
      <c r="AW30">
        <v>791</v>
      </c>
      <c r="AX30">
        <v>299</v>
      </c>
      <c r="AY30">
        <v>0</v>
      </c>
      <c r="BA30">
        <v>90</v>
      </c>
      <c r="BB30">
        <v>608.6</v>
      </c>
      <c r="BC30">
        <v>0.88500000000000001</v>
      </c>
      <c r="BD30">
        <v>1.359</v>
      </c>
      <c r="BF30" s="3">
        <v>900</v>
      </c>
      <c r="BG30" s="3">
        <v>21</v>
      </c>
      <c r="BH30">
        <v>1</v>
      </c>
      <c r="BI30">
        <v>1</v>
      </c>
      <c r="BJ30">
        <v>2787.13</v>
      </c>
      <c r="BK30">
        <v>5.4</v>
      </c>
      <c r="BL30">
        <v>3</v>
      </c>
      <c r="BM30">
        <v>104</v>
      </c>
      <c r="BN30">
        <v>15.02</v>
      </c>
      <c r="BO30">
        <v>5166</v>
      </c>
      <c r="BP30">
        <v>791</v>
      </c>
      <c r="BQ30">
        <v>299</v>
      </c>
      <c r="BR30">
        <v>0</v>
      </c>
      <c r="BT30">
        <v>90</v>
      </c>
      <c r="BU30">
        <v>608.6</v>
      </c>
      <c r="BV30">
        <v>0.88500000000000001</v>
      </c>
      <c r="BW30">
        <v>1.359</v>
      </c>
    </row>
    <row r="31" spans="1:75" x14ac:dyDescent="0.25">
      <c r="A31" s="3">
        <v>900</v>
      </c>
      <c r="B31" s="3">
        <v>22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M31">
        <v>0</v>
      </c>
      <c r="O31">
        <v>0</v>
      </c>
      <c r="P31">
        <v>0</v>
      </c>
      <c r="Q31">
        <v>0</v>
      </c>
      <c r="R31">
        <v>0</v>
      </c>
      <c r="T31" s="3">
        <v>900</v>
      </c>
      <c r="U31" s="3">
        <v>22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H31">
        <v>0</v>
      </c>
      <c r="AI31">
        <v>0</v>
      </c>
      <c r="AJ31">
        <v>0</v>
      </c>
      <c r="AK31">
        <v>0</v>
      </c>
      <c r="AM31" s="3">
        <v>900</v>
      </c>
      <c r="AN31" s="3">
        <v>22</v>
      </c>
      <c r="AO31">
        <v>2</v>
      </c>
      <c r="AP31">
        <v>2</v>
      </c>
      <c r="AQ31">
        <v>2636.93</v>
      </c>
      <c r="AR31">
        <v>23.2</v>
      </c>
      <c r="AS31">
        <v>-2.76</v>
      </c>
      <c r="AT31">
        <v>52</v>
      </c>
      <c r="AU31">
        <v>0.41</v>
      </c>
      <c r="AV31">
        <v>0</v>
      </c>
      <c r="AW31">
        <v>0</v>
      </c>
      <c r="AX31">
        <v>0</v>
      </c>
      <c r="AY31">
        <v>12997</v>
      </c>
      <c r="BA31">
        <v>90</v>
      </c>
      <c r="BB31">
        <v>571.79999999999995</v>
      </c>
      <c r="BC31">
        <v>1.5549999999999999</v>
      </c>
      <c r="BD31">
        <v>2.266</v>
      </c>
      <c r="BF31" s="3">
        <v>900</v>
      </c>
      <c r="BG31" s="3">
        <v>22</v>
      </c>
      <c r="BH31">
        <v>2</v>
      </c>
      <c r="BI31">
        <v>2</v>
      </c>
      <c r="BJ31">
        <v>2636.93</v>
      </c>
      <c r="BK31">
        <v>23.2</v>
      </c>
      <c r="BL31">
        <v>-2.76</v>
      </c>
      <c r="BM31">
        <v>52</v>
      </c>
      <c r="BN31">
        <v>0.41</v>
      </c>
      <c r="BO31">
        <v>0</v>
      </c>
      <c r="BP31">
        <v>0</v>
      </c>
      <c r="BQ31">
        <v>0</v>
      </c>
      <c r="BR31">
        <v>12997</v>
      </c>
      <c r="BT31">
        <v>90</v>
      </c>
      <c r="BU31">
        <v>571.79999999999995</v>
      </c>
      <c r="BV31">
        <v>1.5549999999999999</v>
      </c>
      <c r="BW31">
        <v>2.266</v>
      </c>
    </row>
    <row r="32" spans="1:75" x14ac:dyDescent="0.25">
      <c r="A32" s="3">
        <v>910</v>
      </c>
      <c r="B32" s="3">
        <v>21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O32">
        <v>0</v>
      </c>
      <c r="P32">
        <v>0</v>
      </c>
      <c r="Q32">
        <v>0</v>
      </c>
      <c r="R32">
        <v>0</v>
      </c>
      <c r="T32" s="3">
        <v>910</v>
      </c>
      <c r="U32" s="3">
        <v>21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H32">
        <v>0</v>
      </c>
      <c r="AI32">
        <v>0</v>
      </c>
      <c r="AJ32">
        <v>0</v>
      </c>
      <c r="AK32">
        <v>0</v>
      </c>
      <c r="AM32" s="3">
        <v>910</v>
      </c>
      <c r="AN32" s="3">
        <v>21</v>
      </c>
      <c r="AO32">
        <v>1</v>
      </c>
      <c r="AP32">
        <v>1</v>
      </c>
      <c r="AQ32">
        <v>3078.14</v>
      </c>
      <c r="AR32">
        <v>32.380000000000003</v>
      </c>
      <c r="AS32">
        <v>2.02</v>
      </c>
      <c r="AT32">
        <v>1143</v>
      </c>
      <c r="AU32">
        <v>4.58</v>
      </c>
      <c r="AV32">
        <v>3260</v>
      </c>
      <c r="AW32">
        <v>900</v>
      </c>
      <c r="AX32">
        <v>959</v>
      </c>
      <c r="AY32">
        <v>0</v>
      </c>
      <c r="BA32">
        <v>90</v>
      </c>
      <c r="BB32">
        <v>599</v>
      </c>
      <c r="BC32">
        <v>1.4019999999999999</v>
      </c>
      <c r="BD32">
        <v>2.3820000000000001</v>
      </c>
      <c r="BF32" s="3">
        <v>910</v>
      </c>
      <c r="BG32" s="3">
        <v>21</v>
      </c>
      <c r="BH32">
        <v>1</v>
      </c>
      <c r="BI32">
        <v>1</v>
      </c>
      <c r="BJ32">
        <v>3078.14</v>
      </c>
      <c r="BK32">
        <v>32.380000000000003</v>
      </c>
      <c r="BL32">
        <v>2.02</v>
      </c>
      <c r="BM32">
        <v>1143</v>
      </c>
      <c r="BN32">
        <v>4.58</v>
      </c>
      <c r="BO32">
        <v>3260</v>
      </c>
      <c r="BP32">
        <v>900</v>
      </c>
      <c r="BQ32">
        <v>959</v>
      </c>
      <c r="BR32">
        <v>0</v>
      </c>
      <c r="BT32">
        <v>90</v>
      </c>
      <c r="BU32">
        <v>599</v>
      </c>
      <c r="BV32">
        <v>1.4019999999999999</v>
      </c>
      <c r="BW32">
        <v>2.3820000000000001</v>
      </c>
    </row>
    <row r="33" spans="1:75" x14ac:dyDescent="0.25">
      <c r="A33" s="3">
        <v>910</v>
      </c>
      <c r="B33" s="3">
        <v>22</v>
      </c>
      <c r="C33">
        <v>0</v>
      </c>
      <c r="D33">
        <v>0</v>
      </c>
      <c r="E33">
        <v>0</v>
      </c>
      <c r="M33">
        <v>0</v>
      </c>
      <c r="O33">
        <v>0</v>
      </c>
      <c r="P33">
        <v>0</v>
      </c>
      <c r="Q33">
        <v>0</v>
      </c>
      <c r="R33">
        <v>0</v>
      </c>
      <c r="T33" s="3">
        <v>910</v>
      </c>
      <c r="U33" s="3">
        <v>22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H33">
        <v>0</v>
      </c>
      <c r="AI33">
        <v>0</v>
      </c>
      <c r="AJ33">
        <v>0</v>
      </c>
      <c r="AK33">
        <v>0</v>
      </c>
      <c r="AM33" s="3">
        <v>910</v>
      </c>
      <c r="AN33" s="3">
        <v>22</v>
      </c>
      <c r="AO33">
        <v>2</v>
      </c>
      <c r="AP33">
        <v>2</v>
      </c>
      <c r="AQ33">
        <v>2780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13829</v>
      </c>
      <c r="BA33">
        <v>90</v>
      </c>
      <c r="BB33">
        <v>566</v>
      </c>
      <c r="BC33">
        <v>0.40799999999999997</v>
      </c>
      <c r="BD33">
        <v>0.83299999999999996</v>
      </c>
      <c r="BF33" s="3">
        <v>910</v>
      </c>
      <c r="BG33" s="3">
        <v>22</v>
      </c>
      <c r="BH33">
        <v>2</v>
      </c>
      <c r="BI33">
        <v>2</v>
      </c>
      <c r="BJ33">
        <v>2780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13829</v>
      </c>
      <c r="BT33">
        <v>90</v>
      </c>
      <c r="BU33">
        <v>566</v>
      </c>
      <c r="BV33">
        <v>0.40799999999999997</v>
      </c>
      <c r="BW33">
        <v>0.83299999999999996</v>
      </c>
    </row>
    <row r="34" spans="1:75" x14ac:dyDescent="0.25">
      <c r="A34" s="3">
        <v>910</v>
      </c>
      <c r="B34" s="3">
        <v>23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O34">
        <v>0</v>
      </c>
      <c r="P34">
        <v>0</v>
      </c>
      <c r="Q34">
        <v>0</v>
      </c>
      <c r="R34">
        <v>0</v>
      </c>
      <c r="T34" s="3">
        <v>910</v>
      </c>
      <c r="U34" s="3">
        <v>23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H34">
        <v>0</v>
      </c>
      <c r="AI34">
        <v>0</v>
      </c>
      <c r="AJ34">
        <v>0</v>
      </c>
      <c r="AK34">
        <v>0</v>
      </c>
      <c r="AM34" s="3">
        <v>910</v>
      </c>
      <c r="AN34" s="3">
        <v>23</v>
      </c>
      <c r="AO34">
        <v>1</v>
      </c>
      <c r="AP34">
        <v>1</v>
      </c>
      <c r="AQ34">
        <v>213.41</v>
      </c>
      <c r="AR34">
        <v>28.3</v>
      </c>
      <c r="AS34">
        <v>2.19</v>
      </c>
      <c r="AT34">
        <v>337</v>
      </c>
      <c r="AU34">
        <v>1.77</v>
      </c>
      <c r="AV34">
        <v>3744</v>
      </c>
      <c r="AW34">
        <v>900</v>
      </c>
      <c r="AX34">
        <v>959</v>
      </c>
      <c r="AY34">
        <v>0</v>
      </c>
      <c r="BA34">
        <v>90</v>
      </c>
      <c r="BB34">
        <v>617.6</v>
      </c>
      <c r="BC34">
        <v>1.3460000000000001</v>
      </c>
      <c r="BD34">
        <v>2.161</v>
      </c>
      <c r="BF34" s="3">
        <v>910</v>
      </c>
      <c r="BG34" s="3">
        <v>23</v>
      </c>
      <c r="BH34">
        <v>1</v>
      </c>
      <c r="BI34">
        <v>1</v>
      </c>
      <c r="BJ34">
        <v>213.41</v>
      </c>
      <c r="BK34">
        <v>28.3</v>
      </c>
      <c r="BL34">
        <v>2.19</v>
      </c>
      <c r="BM34">
        <v>337</v>
      </c>
      <c r="BN34">
        <v>1.77</v>
      </c>
      <c r="BO34">
        <v>3744</v>
      </c>
      <c r="BP34">
        <v>900</v>
      </c>
      <c r="BQ34">
        <v>959</v>
      </c>
      <c r="BR34">
        <v>0</v>
      </c>
      <c r="BT34">
        <v>90</v>
      </c>
      <c r="BU34">
        <v>617.6</v>
      </c>
      <c r="BV34">
        <v>1.3460000000000001</v>
      </c>
      <c r="BW34">
        <v>2.161</v>
      </c>
    </row>
    <row r="35" spans="1:75" x14ac:dyDescent="0.25">
      <c r="A35" s="3">
        <v>920</v>
      </c>
      <c r="B35" s="3">
        <v>21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O35">
        <v>0</v>
      </c>
      <c r="P35">
        <v>0</v>
      </c>
      <c r="Q35">
        <v>0</v>
      </c>
      <c r="R35">
        <v>0</v>
      </c>
      <c r="T35" s="3">
        <v>920</v>
      </c>
      <c r="U35" s="3">
        <v>21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H35">
        <v>0</v>
      </c>
      <c r="AI35">
        <v>0</v>
      </c>
      <c r="AJ35">
        <v>0</v>
      </c>
      <c r="AK35">
        <v>0</v>
      </c>
      <c r="AM35" s="3">
        <v>920</v>
      </c>
      <c r="AN35" s="3">
        <v>21</v>
      </c>
      <c r="AO35">
        <v>1</v>
      </c>
      <c r="AP35">
        <v>1</v>
      </c>
      <c r="AQ35">
        <v>3674.19</v>
      </c>
      <c r="AR35">
        <v>44.89</v>
      </c>
      <c r="AS35">
        <v>-0.1</v>
      </c>
      <c r="AT35">
        <v>1829</v>
      </c>
      <c r="AU35">
        <v>3.81</v>
      </c>
      <c r="AV35">
        <v>0</v>
      </c>
      <c r="AW35">
        <v>0</v>
      </c>
      <c r="AX35">
        <v>0</v>
      </c>
      <c r="AY35">
        <v>0</v>
      </c>
      <c r="BA35">
        <v>90</v>
      </c>
      <c r="BB35">
        <v>585.9</v>
      </c>
      <c r="BC35">
        <v>0.71099999999999997</v>
      </c>
      <c r="BD35">
        <v>1.825</v>
      </c>
      <c r="BF35" s="3">
        <v>920</v>
      </c>
      <c r="BG35" s="3">
        <v>21</v>
      </c>
      <c r="BH35">
        <v>1</v>
      </c>
      <c r="BI35">
        <v>1</v>
      </c>
      <c r="BJ35">
        <v>3674.19</v>
      </c>
      <c r="BK35">
        <v>44.89</v>
      </c>
      <c r="BL35">
        <v>-0.1</v>
      </c>
      <c r="BM35">
        <v>1829</v>
      </c>
      <c r="BN35">
        <v>3.81</v>
      </c>
      <c r="BO35">
        <v>0</v>
      </c>
      <c r="BP35">
        <v>0</v>
      </c>
      <c r="BQ35">
        <v>0</v>
      </c>
      <c r="BR35">
        <v>0</v>
      </c>
      <c r="BT35">
        <v>90</v>
      </c>
      <c r="BU35">
        <v>585.9</v>
      </c>
      <c r="BV35">
        <v>0.71099999999999997</v>
      </c>
      <c r="BW35">
        <v>1.825</v>
      </c>
    </row>
    <row r="36" spans="1:75" x14ac:dyDescent="0.25">
      <c r="A36" s="3">
        <v>920</v>
      </c>
      <c r="B36" s="3">
        <v>22</v>
      </c>
      <c r="C36">
        <v>0</v>
      </c>
      <c r="D36">
        <v>0</v>
      </c>
      <c r="E36">
        <v>0</v>
      </c>
      <c r="M36">
        <v>0</v>
      </c>
      <c r="O36">
        <v>0</v>
      </c>
      <c r="P36">
        <v>0</v>
      </c>
      <c r="Q36">
        <v>0</v>
      </c>
      <c r="R36">
        <v>0</v>
      </c>
      <c r="T36" s="3">
        <v>920</v>
      </c>
      <c r="U36" s="3">
        <v>22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H36">
        <v>0</v>
      </c>
      <c r="AI36">
        <v>0</v>
      </c>
      <c r="AJ36">
        <v>0</v>
      </c>
      <c r="AK36">
        <v>0</v>
      </c>
      <c r="AM36" s="3">
        <v>920</v>
      </c>
      <c r="AN36" s="3">
        <v>22</v>
      </c>
      <c r="AO36">
        <v>2</v>
      </c>
      <c r="AP36">
        <v>2</v>
      </c>
      <c r="AQ36">
        <v>2780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13829</v>
      </c>
      <c r="BA36">
        <v>90</v>
      </c>
      <c r="BB36">
        <v>560.79999999999995</v>
      </c>
      <c r="BC36">
        <v>0.40799999999999997</v>
      </c>
      <c r="BD36">
        <v>0.82599999999999996</v>
      </c>
      <c r="BF36" s="3">
        <v>920</v>
      </c>
      <c r="BG36" s="3">
        <v>22</v>
      </c>
      <c r="BH36">
        <v>2</v>
      </c>
      <c r="BI36">
        <v>2</v>
      </c>
      <c r="BJ36">
        <v>2780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13829</v>
      </c>
      <c r="BT36">
        <v>90</v>
      </c>
      <c r="BU36">
        <v>560.79999999999995</v>
      </c>
      <c r="BV36">
        <v>0.40799999999999997</v>
      </c>
      <c r="BW36">
        <v>0.82599999999999996</v>
      </c>
    </row>
    <row r="37" spans="1:75" x14ac:dyDescent="0.25">
      <c r="A37" s="3">
        <v>920</v>
      </c>
      <c r="B37" s="3">
        <v>23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O37">
        <v>0</v>
      </c>
      <c r="P37">
        <v>0</v>
      </c>
      <c r="Q37">
        <v>0</v>
      </c>
      <c r="R37">
        <v>0</v>
      </c>
      <c r="T37" s="3">
        <v>920</v>
      </c>
      <c r="U37" s="3">
        <v>23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H37">
        <v>0</v>
      </c>
      <c r="AI37">
        <v>0</v>
      </c>
      <c r="AJ37">
        <v>0</v>
      </c>
      <c r="AK37">
        <v>0</v>
      </c>
      <c r="AM37" s="3">
        <v>920</v>
      </c>
      <c r="AN37" s="3">
        <v>23</v>
      </c>
      <c r="AO37">
        <v>1</v>
      </c>
      <c r="AP37">
        <v>1</v>
      </c>
      <c r="AQ37">
        <v>758.44</v>
      </c>
      <c r="AR37">
        <v>44.59</v>
      </c>
      <c r="AS37">
        <v>1.28</v>
      </c>
      <c r="AT37">
        <v>846</v>
      </c>
      <c r="AU37">
        <v>1.79</v>
      </c>
      <c r="AV37">
        <v>2309</v>
      </c>
      <c r="AW37">
        <v>900</v>
      </c>
      <c r="AX37">
        <v>959</v>
      </c>
      <c r="AY37">
        <v>0</v>
      </c>
      <c r="BA37">
        <v>90</v>
      </c>
      <c r="BB37">
        <v>606.20000000000005</v>
      </c>
      <c r="BC37">
        <v>1.464</v>
      </c>
      <c r="BD37">
        <v>2.4630000000000001</v>
      </c>
      <c r="BF37" s="3">
        <v>920</v>
      </c>
      <c r="BG37" s="3">
        <v>23</v>
      </c>
      <c r="BH37">
        <v>1</v>
      </c>
      <c r="BI37">
        <v>1</v>
      </c>
      <c r="BJ37">
        <v>758.44</v>
      </c>
      <c r="BK37">
        <v>44.59</v>
      </c>
      <c r="BL37">
        <v>1.28</v>
      </c>
      <c r="BM37">
        <v>846</v>
      </c>
      <c r="BN37">
        <v>1.79</v>
      </c>
      <c r="BO37">
        <v>2309</v>
      </c>
      <c r="BP37">
        <v>900</v>
      </c>
      <c r="BQ37">
        <v>959</v>
      </c>
      <c r="BR37">
        <v>0</v>
      </c>
      <c r="BT37">
        <v>90</v>
      </c>
      <c r="BU37">
        <v>606.20000000000005</v>
      </c>
      <c r="BV37">
        <v>1.464</v>
      </c>
      <c r="BW37">
        <v>2.4630000000000001</v>
      </c>
    </row>
    <row r="38" spans="1:75" x14ac:dyDescent="0.25">
      <c r="A38" s="3">
        <v>930</v>
      </c>
      <c r="B38" s="3">
        <v>21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O38">
        <v>0</v>
      </c>
      <c r="P38">
        <v>0</v>
      </c>
      <c r="Q38">
        <v>0</v>
      </c>
      <c r="R38">
        <v>0</v>
      </c>
      <c r="T38" s="3">
        <v>930</v>
      </c>
      <c r="U38" s="3">
        <v>21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H38">
        <v>0</v>
      </c>
      <c r="AI38">
        <v>0</v>
      </c>
      <c r="AJ38">
        <v>0</v>
      </c>
      <c r="AK38">
        <v>0</v>
      </c>
      <c r="AM38" s="3">
        <v>930</v>
      </c>
      <c r="AN38" s="3">
        <v>21</v>
      </c>
      <c r="AO38">
        <v>1</v>
      </c>
      <c r="AP38">
        <v>1</v>
      </c>
      <c r="AQ38">
        <v>4321</v>
      </c>
      <c r="AR38">
        <v>43.32</v>
      </c>
      <c r="AS38">
        <v>-0.14000000000000001</v>
      </c>
      <c r="AT38">
        <v>992</v>
      </c>
      <c r="AU38">
        <v>2.2200000000000002</v>
      </c>
      <c r="AV38">
        <v>0</v>
      </c>
      <c r="AW38">
        <v>0</v>
      </c>
      <c r="AX38">
        <v>0</v>
      </c>
      <c r="AY38">
        <v>0</v>
      </c>
      <c r="BA38">
        <v>90</v>
      </c>
      <c r="BB38">
        <v>573</v>
      </c>
      <c r="BC38">
        <v>0.69899999999999995</v>
      </c>
      <c r="BD38">
        <v>1.6679999999999999</v>
      </c>
      <c r="BF38" s="3">
        <v>930</v>
      </c>
      <c r="BG38" s="3">
        <v>21</v>
      </c>
      <c r="BH38">
        <v>1</v>
      </c>
      <c r="BI38">
        <v>1</v>
      </c>
      <c r="BJ38">
        <v>4321</v>
      </c>
      <c r="BK38">
        <v>43.32</v>
      </c>
      <c r="BL38">
        <v>-0.14000000000000001</v>
      </c>
      <c r="BM38">
        <v>992</v>
      </c>
      <c r="BN38">
        <v>2.2200000000000002</v>
      </c>
      <c r="BO38">
        <v>0</v>
      </c>
      <c r="BP38">
        <v>0</v>
      </c>
      <c r="BQ38">
        <v>0</v>
      </c>
      <c r="BR38">
        <v>0</v>
      </c>
      <c r="BT38">
        <v>90</v>
      </c>
      <c r="BU38">
        <v>573</v>
      </c>
      <c r="BV38">
        <v>0.69899999999999995</v>
      </c>
      <c r="BW38">
        <v>1.6679999999999999</v>
      </c>
    </row>
    <row r="39" spans="1:75" x14ac:dyDescent="0.25">
      <c r="A39" s="3">
        <v>930</v>
      </c>
      <c r="B39" s="3">
        <v>22</v>
      </c>
      <c r="C39">
        <v>0</v>
      </c>
      <c r="D39">
        <v>0</v>
      </c>
      <c r="E39">
        <v>0</v>
      </c>
      <c r="M39">
        <v>0</v>
      </c>
      <c r="O39">
        <v>0</v>
      </c>
      <c r="P39">
        <v>0</v>
      </c>
      <c r="Q39">
        <v>0</v>
      </c>
      <c r="R39">
        <v>0</v>
      </c>
      <c r="T39" s="3">
        <v>930</v>
      </c>
      <c r="U39" s="3">
        <v>22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H39">
        <v>0</v>
      </c>
      <c r="AI39">
        <v>0</v>
      </c>
      <c r="AJ39">
        <v>0</v>
      </c>
      <c r="AK39">
        <v>0</v>
      </c>
      <c r="AM39" s="3">
        <v>930</v>
      </c>
      <c r="AN39" s="3">
        <v>22</v>
      </c>
      <c r="AO39">
        <v>2</v>
      </c>
      <c r="AP39">
        <v>2</v>
      </c>
      <c r="AQ39">
        <v>2780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13829</v>
      </c>
      <c r="BA39">
        <v>90</v>
      </c>
      <c r="BB39">
        <v>555.79999999999995</v>
      </c>
      <c r="BC39">
        <v>0.40799999999999997</v>
      </c>
      <c r="BD39">
        <v>0.82</v>
      </c>
      <c r="BF39" s="3">
        <v>930</v>
      </c>
      <c r="BG39" s="3">
        <v>22</v>
      </c>
      <c r="BH39">
        <v>2</v>
      </c>
      <c r="BI39">
        <v>2</v>
      </c>
      <c r="BJ39">
        <v>2780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13829</v>
      </c>
      <c r="BT39">
        <v>90</v>
      </c>
      <c r="BU39">
        <v>555.79999999999995</v>
      </c>
      <c r="BV39">
        <v>0.40799999999999997</v>
      </c>
      <c r="BW39">
        <v>0.82</v>
      </c>
    </row>
    <row r="40" spans="1:75" x14ac:dyDescent="0.25">
      <c r="A40" s="3">
        <v>930</v>
      </c>
      <c r="B40" s="3">
        <v>23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O40">
        <v>0</v>
      </c>
      <c r="P40">
        <v>0</v>
      </c>
      <c r="Q40">
        <v>0</v>
      </c>
      <c r="R40">
        <v>0</v>
      </c>
      <c r="T40" s="3">
        <v>930</v>
      </c>
      <c r="U40" s="3">
        <v>23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H40">
        <v>0</v>
      </c>
      <c r="AI40">
        <v>0</v>
      </c>
      <c r="AJ40">
        <v>0</v>
      </c>
      <c r="AK40">
        <v>0</v>
      </c>
      <c r="AM40" s="3">
        <v>930</v>
      </c>
      <c r="AN40" s="3">
        <v>23</v>
      </c>
      <c r="AO40">
        <v>1</v>
      </c>
      <c r="AP40">
        <v>1</v>
      </c>
      <c r="AQ40">
        <v>1463.4</v>
      </c>
      <c r="AR40">
        <v>44.94</v>
      </c>
      <c r="AS40">
        <v>-0.2</v>
      </c>
      <c r="AT40">
        <v>828</v>
      </c>
      <c r="AU40">
        <v>1.72</v>
      </c>
      <c r="AV40">
        <v>0</v>
      </c>
      <c r="AW40">
        <v>0</v>
      </c>
      <c r="AX40">
        <v>0</v>
      </c>
      <c r="AY40">
        <v>0</v>
      </c>
      <c r="BA40">
        <v>90</v>
      </c>
      <c r="BB40">
        <v>605.5</v>
      </c>
      <c r="BC40">
        <v>0.68200000000000005</v>
      </c>
      <c r="BD40">
        <v>1.7110000000000001</v>
      </c>
      <c r="BF40" s="3">
        <v>930</v>
      </c>
      <c r="BG40" s="3">
        <v>23</v>
      </c>
      <c r="BH40">
        <v>1</v>
      </c>
      <c r="BI40">
        <v>1</v>
      </c>
      <c r="BJ40">
        <v>1463.4</v>
      </c>
      <c r="BK40">
        <v>44.94</v>
      </c>
      <c r="BL40">
        <v>-0.2</v>
      </c>
      <c r="BM40">
        <v>828</v>
      </c>
      <c r="BN40">
        <v>1.72</v>
      </c>
      <c r="BO40">
        <v>0</v>
      </c>
      <c r="BP40">
        <v>0</v>
      </c>
      <c r="BQ40">
        <v>0</v>
      </c>
      <c r="BR40">
        <v>0</v>
      </c>
      <c r="BT40">
        <v>90</v>
      </c>
      <c r="BU40">
        <v>605.5</v>
      </c>
      <c r="BV40">
        <v>0.68200000000000005</v>
      </c>
      <c r="BW40">
        <v>1.7110000000000001</v>
      </c>
    </row>
    <row r="41" spans="1:75" x14ac:dyDescent="0.25">
      <c r="A41" s="3">
        <v>940</v>
      </c>
      <c r="B41" s="3">
        <v>21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O41">
        <v>0</v>
      </c>
      <c r="P41">
        <v>0</v>
      </c>
      <c r="Q41">
        <v>0</v>
      </c>
      <c r="R41">
        <v>6.3492063492070608E-2</v>
      </c>
      <c r="T41" s="3">
        <v>940</v>
      </c>
      <c r="U41" s="3">
        <v>21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H41">
        <v>0</v>
      </c>
      <c r="AI41">
        <v>0</v>
      </c>
      <c r="AJ41">
        <v>0</v>
      </c>
      <c r="AK41">
        <v>1.0000000000001119E-3</v>
      </c>
      <c r="AM41" s="3">
        <v>940</v>
      </c>
      <c r="AN41" s="3">
        <v>21</v>
      </c>
      <c r="AO41">
        <v>1</v>
      </c>
      <c r="AP41">
        <v>1</v>
      </c>
      <c r="AQ41">
        <v>4946.12</v>
      </c>
      <c r="AR41">
        <v>41.94</v>
      </c>
      <c r="AS41">
        <v>-0.13</v>
      </c>
      <c r="AT41">
        <v>753</v>
      </c>
      <c r="AU41">
        <v>1.8</v>
      </c>
      <c r="AV41">
        <v>0</v>
      </c>
      <c r="AW41">
        <v>0</v>
      </c>
      <c r="AX41">
        <v>0</v>
      </c>
      <c r="AY41">
        <v>0</v>
      </c>
      <c r="BA41">
        <v>90</v>
      </c>
      <c r="BB41">
        <v>561.79999999999995</v>
      </c>
      <c r="BC41">
        <v>0.68799999999999994</v>
      </c>
      <c r="BD41">
        <v>1.5760000000000001</v>
      </c>
      <c r="BF41" s="3">
        <v>940</v>
      </c>
      <c r="BG41" s="3">
        <v>21</v>
      </c>
      <c r="BH41">
        <v>1</v>
      </c>
      <c r="BI41">
        <v>1</v>
      </c>
      <c r="BJ41">
        <v>4946.12</v>
      </c>
      <c r="BK41">
        <v>41.94</v>
      </c>
      <c r="BL41">
        <v>-0.13</v>
      </c>
      <c r="BM41">
        <v>753</v>
      </c>
      <c r="BN41">
        <v>1.8</v>
      </c>
      <c r="BO41">
        <v>0</v>
      </c>
      <c r="BP41">
        <v>0</v>
      </c>
      <c r="BQ41">
        <v>0</v>
      </c>
      <c r="BR41">
        <v>0</v>
      </c>
      <c r="BT41">
        <v>90</v>
      </c>
      <c r="BU41">
        <v>561.79999999999995</v>
      </c>
      <c r="BV41">
        <v>0.68799999999999994</v>
      </c>
      <c r="BW41">
        <v>1.575</v>
      </c>
    </row>
    <row r="42" spans="1:75" x14ac:dyDescent="0.25">
      <c r="A42" s="3">
        <v>940</v>
      </c>
      <c r="B42" s="3">
        <v>22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M42">
        <v>0</v>
      </c>
      <c r="O42">
        <v>0</v>
      </c>
      <c r="P42">
        <v>0</v>
      </c>
      <c r="Q42">
        <v>0</v>
      </c>
      <c r="R42">
        <v>0</v>
      </c>
      <c r="T42" s="3">
        <v>940</v>
      </c>
      <c r="U42" s="3">
        <v>22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H42">
        <v>0</v>
      </c>
      <c r="AI42">
        <v>0</v>
      </c>
      <c r="AJ42">
        <v>0</v>
      </c>
      <c r="AK42">
        <v>0</v>
      </c>
      <c r="AM42" s="3">
        <v>940</v>
      </c>
      <c r="AN42" s="3">
        <v>22</v>
      </c>
      <c r="AO42">
        <v>2</v>
      </c>
      <c r="AP42">
        <v>2</v>
      </c>
      <c r="AQ42">
        <v>2784.95</v>
      </c>
      <c r="AR42">
        <v>4.5</v>
      </c>
      <c r="AS42">
        <v>3</v>
      </c>
      <c r="AT42">
        <v>115</v>
      </c>
      <c r="AU42">
        <v>23.78</v>
      </c>
      <c r="AV42">
        <v>5005</v>
      </c>
      <c r="AW42">
        <v>778</v>
      </c>
      <c r="AX42">
        <v>0</v>
      </c>
      <c r="AY42">
        <v>13770</v>
      </c>
      <c r="BA42">
        <v>90</v>
      </c>
      <c r="BB42">
        <v>550.79999999999995</v>
      </c>
      <c r="BC42">
        <v>0.86399999999999999</v>
      </c>
      <c r="BD42">
        <v>1.157</v>
      </c>
      <c r="BF42" s="3">
        <v>940</v>
      </c>
      <c r="BG42" s="3">
        <v>22</v>
      </c>
      <c r="BH42">
        <v>2</v>
      </c>
      <c r="BI42">
        <v>2</v>
      </c>
      <c r="BJ42">
        <v>2784.95</v>
      </c>
      <c r="BK42">
        <v>4.5</v>
      </c>
      <c r="BL42">
        <v>3</v>
      </c>
      <c r="BM42">
        <v>115</v>
      </c>
      <c r="BN42">
        <v>23.78</v>
      </c>
      <c r="BO42">
        <v>5005</v>
      </c>
      <c r="BP42">
        <v>778</v>
      </c>
      <c r="BQ42">
        <v>0</v>
      </c>
      <c r="BR42">
        <v>13770</v>
      </c>
      <c r="BT42">
        <v>90</v>
      </c>
      <c r="BU42">
        <v>550.79999999999995</v>
      </c>
      <c r="BV42">
        <v>0.86399999999999999</v>
      </c>
      <c r="BW42">
        <v>1.157</v>
      </c>
    </row>
    <row r="43" spans="1:75" x14ac:dyDescent="0.25">
      <c r="A43" s="3">
        <v>940</v>
      </c>
      <c r="B43" s="3">
        <v>23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O43">
        <v>0</v>
      </c>
      <c r="P43">
        <v>0</v>
      </c>
      <c r="Q43">
        <v>0</v>
      </c>
      <c r="R43">
        <v>0</v>
      </c>
      <c r="T43" s="3">
        <v>940</v>
      </c>
      <c r="U43" s="3">
        <v>23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H43">
        <v>0</v>
      </c>
      <c r="AI43">
        <v>0</v>
      </c>
      <c r="AJ43">
        <v>0</v>
      </c>
      <c r="AK43">
        <v>0</v>
      </c>
      <c r="AM43" s="3">
        <v>940</v>
      </c>
      <c r="AN43" s="3">
        <v>23</v>
      </c>
      <c r="AO43">
        <v>1</v>
      </c>
      <c r="AP43">
        <v>1</v>
      </c>
      <c r="AQ43">
        <v>2109.7800000000002</v>
      </c>
      <c r="AR43">
        <v>43.38</v>
      </c>
      <c r="AS43">
        <v>-0.1</v>
      </c>
      <c r="AT43">
        <v>859</v>
      </c>
      <c r="AU43">
        <v>1.92</v>
      </c>
      <c r="AV43">
        <v>0</v>
      </c>
      <c r="AW43">
        <v>0</v>
      </c>
      <c r="AX43">
        <v>0</v>
      </c>
      <c r="AY43">
        <v>0</v>
      </c>
      <c r="BA43">
        <v>90</v>
      </c>
      <c r="BB43">
        <v>593.5</v>
      </c>
      <c r="BC43">
        <v>0.67</v>
      </c>
      <c r="BD43">
        <v>1.6379999999999999</v>
      </c>
      <c r="BF43" s="3">
        <v>940</v>
      </c>
      <c r="BG43" s="3">
        <v>23</v>
      </c>
      <c r="BH43">
        <v>1</v>
      </c>
      <c r="BI43">
        <v>1</v>
      </c>
      <c r="BJ43">
        <v>2109.7800000000002</v>
      </c>
      <c r="BK43">
        <v>43.38</v>
      </c>
      <c r="BL43">
        <v>-0.1</v>
      </c>
      <c r="BM43">
        <v>859</v>
      </c>
      <c r="BN43">
        <v>1.92</v>
      </c>
      <c r="BO43">
        <v>0</v>
      </c>
      <c r="BP43">
        <v>0</v>
      </c>
      <c r="BQ43">
        <v>0</v>
      </c>
      <c r="BR43">
        <v>0</v>
      </c>
      <c r="BT43">
        <v>90</v>
      </c>
      <c r="BU43">
        <v>593.5</v>
      </c>
      <c r="BV43">
        <v>0.67</v>
      </c>
      <c r="BW43">
        <v>1.6379999999999999</v>
      </c>
    </row>
    <row r="44" spans="1:75" x14ac:dyDescent="0.25">
      <c r="A44" s="3">
        <v>950</v>
      </c>
      <c r="B44" s="3">
        <v>22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M44">
        <v>0</v>
      </c>
      <c r="O44">
        <v>0</v>
      </c>
      <c r="P44">
        <v>0</v>
      </c>
      <c r="Q44">
        <v>0</v>
      </c>
      <c r="R44">
        <v>0</v>
      </c>
      <c r="T44" s="3">
        <v>950</v>
      </c>
      <c r="U44" s="3">
        <v>22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H44">
        <v>0</v>
      </c>
      <c r="AI44">
        <v>0</v>
      </c>
      <c r="AJ44">
        <v>0</v>
      </c>
      <c r="AK44">
        <v>0</v>
      </c>
      <c r="AM44" s="3">
        <v>950</v>
      </c>
      <c r="AN44" s="3">
        <v>22</v>
      </c>
      <c r="AO44">
        <v>2</v>
      </c>
      <c r="AP44">
        <v>2</v>
      </c>
      <c r="AQ44">
        <v>3063.99</v>
      </c>
      <c r="AR44">
        <v>31.64</v>
      </c>
      <c r="AS44">
        <v>1.95</v>
      </c>
      <c r="AT44">
        <v>676</v>
      </c>
      <c r="AU44">
        <v>2.84</v>
      </c>
      <c r="AV44">
        <v>3339</v>
      </c>
      <c r="AW44">
        <v>900</v>
      </c>
      <c r="AX44">
        <v>0</v>
      </c>
      <c r="AY44">
        <v>10640</v>
      </c>
      <c r="BA44">
        <v>90</v>
      </c>
      <c r="BB44">
        <v>543.4</v>
      </c>
      <c r="BC44">
        <v>2.4940000000000002</v>
      </c>
      <c r="BD44">
        <v>3.238</v>
      </c>
      <c r="BF44" s="3">
        <v>950</v>
      </c>
      <c r="BG44" s="3">
        <v>22</v>
      </c>
      <c r="BH44">
        <v>2</v>
      </c>
      <c r="BI44">
        <v>2</v>
      </c>
      <c r="BJ44">
        <v>3063.99</v>
      </c>
      <c r="BK44">
        <v>31.64</v>
      </c>
      <c r="BL44">
        <v>1.95</v>
      </c>
      <c r="BM44">
        <v>676</v>
      </c>
      <c r="BN44">
        <v>2.84</v>
      </c>
      <c r="BO44">
        <v>3339</v>
      </c>
      <c r="BP44">
        <v>900</v>
      </c>
      <c r="BQ44">
        <v>0</v>
      </c>
      <c r="BR44">
        <v>10640</v>
      </c>
      <c r="BT44">
        <v>90</v>
      </c>
      <c r="BU44">
        <v>543.4</v>
      </c>
      <c r="BV44">
        <v>2.4940000000000002</v>
      </c>
      <c r="BW44">
        <v>3.238</v>
      </c>
    </row>
    <row r="45" spans="1:75" x14ac:dyDescent="0.25">
      <c r="A45" s="3">
        <v>950</v>
      </c>
      <c r="B45" s="3">
        <v>23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O45">
        <v>0</v>
      </c>
      <c r="P45">
        <v>0</v>
      </c>
      <c r="Q45">
        <v>0</v>
      </c>
      <c r="R45">
        <v>0</v>
      </c>
      <c r="T45" s="3">
        <v>950</v>
      </c>
      <c r="U45" s="3">
        <v>23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H45">
        <v>0</v>
      </c>
      <c r="AI45">
        <v>0</v>
      </c>
      <c r="AJ45">
        <v>0</v>
      </c>
      <c r="AK45">
        <v>0</v>
      </c>
      <c r="AM45" s="3">
        <v>950</v>
      </c>
      <c r="AN45" s="3">
        <v>23</v>
      </c>
      <c r="AO45">
        <v>1</v>
      </c>
      <c r="AP45">
        <v>1</v>
      </c>
      <c r="AQ45">
        <v>2641.74</v>
      </c>
      <c r="AR45">
        <v>23.25</v>
      </c>
      <c r="AS45">
        <v>-2.87</v>
      </c>
      <c r="AT45">
        <v>172</v>
      </c>
      <c r="AU45">
        <v>1.33</v>
      </c>
      <c r="AV45">
        <v>0</v>
      </c>
      <c r="AW45">
        <v>0</v>
      </c>
      <c r="AX45">
        <v>0</v>
      </c>
      <c r="AY45">
        <v>0</v>
      </c>
      <c r="BA45">
        <v>90</v>
      </c>
      <c r="BB45">
        <v>620.5</v>
      </c>
      <c r="BC45">
        <v>3.7130000000000001</v>
      </c>
      <c r="BD45">
        <v>1.31</v>
      </c>
      <c r="BF45" s="3">
        <v>950</v>
      </c>
      <c r="BG45" s="3">
        <v>23</v>
      </c>
      <c r="BH45">
        <v>1</v>
      </c>
      <c r="BI45">
        <v>1</v>
      </c>
      <c r="BJ45">
        <v>2641.74</v>
      </c>
      <c r="BK45">
        <v>23.25</v>
      </c>
      <c r="BL45">
        <v>-2.87</v>
      </c>
      <c r="BM45">
        <v>172</v>
      </c>
      <c r="BN45">
        <v>1.33</v>
      </c>
      <c r="BO45">
        <v>0</v>
      </c>
      <c r="BP45">
        <v>0</v>
      </c>
      <c r="BQ45">
        <v>0</v>
      </c>
      <c r="BR45">
        <v>0</v>
      </c>
      <c r="BT45">
        <v>90</v>
      </c>
      <c r="BU45">
        <v>620.5</v>
      </c>
      <c r="BV45">
        <v>3.7130000000000001</v>
      </c>
      <c r="BW45">
        <v>1.31</v>
      </c>
    </row>
    <row r="46" spans="1:75" x14ac:dyDescent="0.25">
      <c r="A46" s="3">
        <v>950</v>
      </c>
      <c r="B46" s="3">
        <v>24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O46">
        <v>0</v>
      </c>
      <c r="P46">
        <v>0</v>
      </c>
      <c r="Q46">
        <v>0</v>
      </c>
      <c r="R46">
        <v>0</v>
      </c>
      <c r="T46" s="3">
        <v>950</v>
      </c>
      <c r="U46" s="3">
        <v>24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H46">
        <v>0</v>
      </c>
      <c r="AI46">
        <v>0</v>
      </c>
      <c r="AJ46">
        <v>0</v>
      </c>
      <c r="AK46">
        <v>0</v>
      </c>
      <c r="AM46" s="3">
        <v>950</v>
      </c>
      <c r="AN46" s="3">
        <v>24</v>
      </c>
      <c r="AO46">
        <v>2</v>
      </c>
      <c r="AP46">
        <v>2</v>
      </c>
      <c r="AQ46">
        <v>214.07</v>
      </c>
      <c r="AR46">
        <v>28.59</v>
      </c>
      <c r="AS46">
        <v>2.2799999999999998</v>
      </c>
      <c r="AT46">
        <v>344</v>
      </c>
      <c r="AU46">
        <v>1.77</v>
      </c>
      <c r="AV46">
        <v>3706</v>
      </c>
      <c r="AW46">
        <v>900</v>
      </c>
      <c r="AX46">
        <v>959</v>
      </c>
      <c r="AY46">
        <v>10000</v>
      </c>
      <c r="BA46">
        <v>90</v>
      </c>
      <c r="BB46">
        <v>617.5</v>
      </c>
      <c r="BC46">
        <v>1.327</v>
      </c>
      <c r="BD46">
        <v>2.145</v>
      </c>
      <c r="BF46" s="3">
        <v>950</v>
      </c>
      <c r="BG46" s="3">
        <v>24</v>
      </c>
      <c r="BH46">
        <v>2</v>
      </c>
      <c r="BI46">
        <v>2</v>
      </c>
      <c r="BJ46">
        <v>214.07</v>
      </c>
      <c r="BK46">
        <v>28.59</v>
      </c>
      <c r="BL46">
        <v>2.2799999999999998</v>
      </c>
      <c r="BM46">
        <v>344</v>
      </c>
      <c r="BN46">
        <v>1.77</v>
      </c>
      <c r="BO46">
        <v>3706</v>
      </c>
      <c r="BP46">
        <v>900</v>
      </c>
      <c r="BQ46">
        <v>959</v>
      </c>
      <c r="BR46">
        <v>10000</v>
      </c>
      <c r="BT46">
        <v>90</v>
      </c>
      <c r="BU46">
        <v>617.5</v>
      </c>
      <c r="BV46">
        <v>1.327</v>
      </c>
      <c r="BW46">
        <v>2.145</v>
      </c>
    </row>
    <row r="47" spans="1:75" x14ac:dyDescent="0.25">
      <c r="A47" s="3">
        <v>960</v>
      </c>
      <c r="B47" s="3">
        <v>22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O47">
        <v>0</v>
      </c>
      <c r="P47">
        <v>0</v>
      </c>
      <c r="Q47">
        <v>0</v>
      </c>
      <c r="R47">
        <v>0</v>
      </c>
      <c r="T47" s="3">
        <v>960</v>
      </c>
      <c r="U47" s="3">
        <v>22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H47">
        <v>0</v>
      </c>
      <c r="AI47">
        <v>0</v>
      </c>
      <c r="AJ47">
        <v>0</v>
      </c>
      <c r="AK47">
        <v>0</v>
      </c>
      <c r="AM47" s="3">
        <v>960</v>
      </c>
      <c r="AN47" s="3">
        <v>22</v>
      </c>
      <c r="AO47">
        <v>2</v>
      </c>
      <c r="AP47">
        <v>2</v>
      </c>
      <c r="AQ47">
        <v>3647.48</v>
      </c>
      <c r="AR47">
        <v>46.76</v>
      </c>
      <c r="AS47">
        <v>1.24</v>
      </c>
      <c r="AT47">
        <v>1400</v>
      </c>
      <c r="AU47">
        <v>2.69</v>
      </c>
      <c r="AV47">
        <v>2190</v>
      </c>
      <c r="AW47">
        <v>900</v>
      </c>
      <c r="AX47">
        <v>959</v>
      </c>
      <c r="AY47">
        <v>10000</v>
      </c>
      <c r="BA47">
        <v>90</v>
      </c>
      <c r="BB47">
        <v>533.6</v>
      </c>
      <c r="BC47">
        <v>1.494</v>
      </c>
      <c r="BD47">
        <v>2.343</v>
      </c>
      <c r="BF47" s="3">
        <v>960</v>
      </c>
      <c r="BG47" s="3">
        <v>22</v>
      </c>
      <c r="BH47">
        <v>2</v>
      </c>
      <c r="BI47">
        <v>2</v>
      </c>
      <c r="BJ47">
        <v>3647.48</v>
      </c>
      <c r="BK47">
        <v>46.76</v>
      </c>
      <c r="BL47">
        <v>1.24</v>
      </c>
      <c r="BM47">
        <v>1400</v>
      </c>
      <c r="BN47">
        <v>2.69</v>
      </c>
      <c r="BO47">
        <v>2190</v>
      </c>
      <c r="BP47">
        <v>900</v>
      </c>
      <c r="BQ47">
        <v>959</v>
      </c>
      <c r="BR47">
        <v>10000</v>
      </c>
      <c r="BT47">
        <v>90</v>
      </c>
      <c r="BU47">
        <v>533.6</v>
      </c>
      <c r="BV47">
        <v>1.494</v>
      </c>
      <c r="BW47">
        <v>2.343</v>
      </c>
    </row>
    <row r="48" spans="1:75" x14ac:dyDescent="0.25">
      <c r="A48" s="3">
        <v>960</v>
      </c>
      <c r="B48" s="3">
        <v>23</v>
      </c>
      <c r="C48">
        <v>0</v>
      </c>
      <c r="D48">
        <v>0</v>
      </c>
      <c r="E48">
        <v>0</v>
      </c>
      <c r="O48">
        <v>0</v>
      </c>
      <c r="P48">
        <v>0</v>
      </c>
      <c r="Q48">
        <v>0</v>
      </c>
      <c r="R48">
        <v>0</v>
      </c>
      <c r="T48" s="3">
        <v>960</v>
      </c>
      <c r="U48" s="3">
        <v>23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H48">
        <v>0</v>
      </c>
      <c r="AI48">
        <v>0</v>
      </c>
      <c r="AJ48">
        <v>0</v>
      </c>
      <c r="AK48">
        <v>0</v>
      </c>
      <c r="AM48" s="3">
        <v>960</v>
      </c>
      <c r="AN48" s="3">
        <v>23</v>
      </c>
      <c r="AO48">
        <v>1</v>
      </c>
      <c r="AP48">
        <v>1</v>
      </c>
      <c r="AQ48">
        <v>2780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BA48">
        <v>90</v>
      </c>
      <c r="BB48">
        <v>629.70000000000005</v>
      </c>
      <c r="BC48">
        <v>0.40799999999999997</v>
      </c>
      <c r="BD48">
        <v>0.92200000000000004</v>
      </c>
      <c r="BF48" s="3">
        <v>960</v>
      </c>
      <c r="BG48" s="3">
        <v>23</v>
      </c>
      <c r="BH48">
        <v>1</v>
      </c>
      <c r="BI48">
        <v>1</v>
      </c>
      <c r="BJ48">
        <v>2780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90</v>
      </c>
      <c r="BU48">
        <v>629.70000000000005</v>
      </c>
      <c r="BV48">
        <v>0.40799999999999997</v>
      </c>
      <c r="BW48">
        <v>0.92200000000000004</v>
      </c>
    </row>
    <row r="49" spans="1:75" x14ac:dyDescent="0.25">
      <c r="A49" s="3">
        <v>960</v>
      </c>
      <c r="B49" s="3">
        <v>24</v>
      </c>
      <c r="C49">
        <v>0</v>
      </c>
      <c r="D49">
        <v>0</v>
      </c>
      <c r="E49">
        <v>0</v>
      </c>
      <c r="F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O49">
        <v>0</v>
      </c>
      <c r="P49">
        <v>0</v>
      </c>
      <c r="Q49">
        <v>0</v>
      </c>
      <c r="R49">
        <v>0</v>
      </c>
      <c r="T49" s="3">
        <v>960</v>
      </c>
      <c r="U49" s="3">
        <v>24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H49">
        <v>0</v>
      </c>
      <c r="AI49">
        <v>0</v>
      </c>
      <c r="AJ49">
        <v>0</v>
      </c>
      <c r="AK49">
        <v>0</v>
      </c>
      <c r="AM49" s="3">
        <v>960</v>
      </c>
      <c r="AN49" s="3">
        <v>24</v>
      </c>
      <c r="AO49">
        <v>2</v>
      </c>
      <c r="AP49">
        <v>2</v>
      </c>
      <c r="AQ49">
        <v>769.12</v>
      </c>
      <c r="AR49">
        <v>45</v>
      </c>
      <c r="AS49">
        <v>0</v>
      </c>
      <c r="AT49">
        <v>867</v>
      </c>
      <c r="AU49">
        <v>1.8</v>
      </c>
      <c r="AV49">
        <v>101</v>
      </c>
      <c r="AW49">
        <v>190</v>
      </c>
      <c r="AX49">
        <v>43</v>
      </c>
      <c r="AY49">
        <v>10000</v>
      </c>
      <c r="BA49">
        <v>90</v>
      </c>
      <c r="BB49">
        <v>606.1</v>
      </c>
      <c r="BC49">
        <v>0.69299999999999995</v>
      </c>
      <c r="BD49">
        <v>1.706</v>
      </c>
      <c r="BF49" s="3">
        <v>960</v>
      </c>
      <c r="BG49" s="3">
        <v>24</v>
      </c>
      <c r="BH49">
        <v>2</v>
      </c>
      <c r="BI49">
        <v>2</v>
      </c>
      <c r="BJ49">
        <v>769.12</v>
      </c>
      <c r="BK49">
        <v>45</v>
      </c>
      <c r="BL49">
        <v>0</v>
      </c>
      <c r="BM49">
        <v>867</v>
      </c>
      <c r="BN49">
        <v>1.8</v>
      </c>
      <c r="BO49">
        <v>101</v>
      </c>
      <c r="BP49">
        <v>190</v>
      </c>
      <c r="BQ49">
        <v>43</v>
      </c>
      <c r="BR49">
        <v>10000</v>
      </c>
      <c r="BT49">
        <v>90</v>
      </c>
      <c r="BU49">
        <v>606.1</v>
      </c>
      <c r="BV49">
        <v>0.69299999999999995</v>
      </c>
      <c r="BW49">
        <v>1.706</v>
      </c>
    </row>
    <row r="50" spans="1:75" x14ac:dyDescent="0.25">
      <c r="A50" s="3">
        <v>970</v>
      </c>
      <c r="B50" s="3">
        <v>22</v>
      </c>
      <c r="C50">
        <v>0</v>
      </c>
      <c r="D50">
        <v>0</v>
      </c>
      <c r="E50">
        <v>0</v>
      </c>
      <c r="F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O50">
        <v>0</v>
      </c>
      <c r="P50">
        <v>0</v>
      </c>
      <c r="Q50">
        <v>0</v>
      </c>
      <c r="R50">
        <v>0</v>
      </c>
      <c r="T50" s="3">
        <v>970</v>
      </c>
      <c r="U50" s="3">
        <v>22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H50">
        <v>0</v>
      </c>
      <c r="AI50">
        <v>0</v>
      </c>
      <c r="AJ50">
        <v>0</v>
      </c>
      <c r="AK50">
        <v>0</v>
      </c>
      <c r="AM50" s="3">
        <v>970</v>
      </c>
      <c r="AN50" s="3">
        <v>22</v>
      </c>
      <c r="AO50">
        <v>2</v>
      </c>
      <c r="AP50">
        <v>2</v>
      </c>
      <c r="AQ50">
        <v>4374.49</v>
      </c>
      <c r="AR50">
        <v>50</v>
      </c>
      <c r="AS50">
        <v>0</v>
      </c>
      <c r="AT50">
        <v>1327</v>
      </c>
      <c r="AU50">
        <v>2.23</v>
      </c>
      <c r="AV50">
        <v>121</v>
      </c>
      <c r="AW50">
        <v>220</v>
      </c>
      <c r="AX50">
        <v>57</v>
      </c>
      <c r="AY50">
        <v>10000</v>
      </c>
      <c r="BA50">
        <v>90</v>
      </c>
      <c r="BB50">
        <v>523.5</v>
      </c>
      <c r="BC50">
        <v>0.78300000000000003</v>
      </c>
      <c r="BD50">
        <v>1.6439999999999999</v>
      </c>
      <c r="BF50" s="3">
        <v>970</v>
      </c>
      <c r="BG50" s="3">
        <v>22</v>
      </c>
      <c r="BH50">
        <v>2</v>
      </c>
      <c r="BI50">
        <v>2</v>
      </c>
      <c r="BJ50">
        <v>4374.49</v>
      </c>
      <c r="BK50">
        <v>50</v>
      </c>
      <c r="BL50">
        <v>0</v>
      </c>
      <c r="BM50">
        <v>1327</v>
      </c>
      <c r="BN50">
        <v>2.23</v>
      </c>
      <c r="BO50">
        <v>121</v>
      </c>
      <c r="BP50">
        <v>220</v>
      </c>
      <c r="BQ50">
        <v>57</v>
      </c>
      <c r="BR50">
        <v>10000</v>
      </c>
      <c r="BT50">
        <v>90</v>
      </c>
      <c r="BU50">
        <v>523.5</v>
      </c>
      <c r="BV50">
        <v>0.78300000000000003</v>
      </c>
      <c r="BW50">
        <v>1.6439999999999999</v>
      </c>
    </row>
    <row r="51" spans="1:75" x14ac:dyDescent="0.25">
      <c r="A51" s="3">
        <v>970</v>
      </c>
      <c r="B51" s="3">
        <v>23</v>
      </c>
      <c r="C51">
        <v>0</v>
      </c>
      <c r="D51">
        <v>0</v>
      </c>
      <c r="E51">
        <v>0</v>
      </c>
      <c r="O51">
        <v>0</v>
      </c>
      <c r="P51">
        <v>0</v>
      </c>
      <c r="Q51">
        <v>0</v>
      </c>
      <c r="R51">
        <v>0</v>
      </c>
      <c r="T51" s="3">
        <v>970</v>
      </c>
      <c r="U51" s="3">
        <v>23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H51">
        <v>0</v>
      </c>
      <c r="AI51">
        <v>0</v>
      </c>
      <c r="AJ51">
        <v>0</v>
      </c>
      <c r="AK51">
        <v>0</v>
      </c>
      <c r="AM51" s="3">
        <v>970</v>
      </c>
      <c r="AN51" s="3">
        <v>23</v>
      </c>
      <c r="AO51">
        <v>1</v>
      </c>
      <c r="AP51">
        <v>1</v>
      </c>
      <c r="AQ51">
        <v>2780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BA51">
        <v>90</v>
      </c>
      <c r="BB51">
        <v>623.5</v>
      </c>
      <c r="BC51">
        <v>0.40799999999999997</v>
      </c>
      <c r="BD51">
        <v>0.91400000000000003</v>
      </c>
      <c r="BF51" s="3">
        <v>970</v>
      </c>
      <c r="BG51" s="3">
        <v>23</v>
      </c>
      <c r="BH51">
        <v>1</v>
      </c>
      <c r="BI51">
        <v>1</v>
      </c>
      <c r="BJ51">
        <v>2780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90</v>
      </c>
      <c r="BU51">
        <v>623.5</v>
      </c>
      <c r="BV51">
        <v>0.40799999999999997</v>
      </c>
      <c r="BW51">
        <v>0.91400000000000003</v>
      </c>
    </row>
    <row r="52" spans="1:75" x14ac:dyDescent="0.25">
      <c r="A52" s="3">
        <v>970</v>
      </c>
      <c r="B52" s="3">
        <v>24</v>
      </c>
      <c r="C52">
        <v>0</v>
      </c>
      <c r="D52">
        <v>0</v>
      </c>
      <c r="E52">
        <v>0</v>
      </c>
      <c r="F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O52">
        <v>0</v>
      </c>
      <c r="P52">
        <v>0</v>
      </c>
      <c r="Q52">
        <v>0</v>
      </c>
      <c r="R52">
        <v>0</v>
      </c>
      <c r="T52" s="3">
        <v>970</v>
      </c>
      <c r="U52" s="3">
        <v>24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H52">
        <v>0</v>
      </c>
      <c r="AI52">
        <v>0</v>
      </c>
      <c r="AJ52">
        <v>0</v>
      </c>
      <c r="AK52">
        <v>0</v>
      </c>
      <c r="AM52" s="3">
        <v>970</v>
      </c>
      <c r="AN52" s="3">
        <v>24</v>
      </c>
      <c r="AO52">
        <v>2</v>
      </c>
      <c r="AP52">
        <v>2</v>
      </c>
      <c r="AQ52">
        <v>1429.12</v>
      </c>
      <c r="AR52">
        <v>45</v>
      </c>
      <c r="AS52">
        <v>0</v>
      </c>
      <c r="AT52">
        <v>901</v>
      </c>
      <c r="AU52">
        <v>1.87</v>
      </c>
      <c r="AV52">
        <v>104</v>
      </c>
      <c r="AW52">
        <v>192</v>
      </c>
      <c r="AX52">
        <v>44</v>
      </c>
      <c r="AY52">
        <v>10000</v>
      </c>
      <c r="BA52">
        <v>90</v>
      </c>
      <c r="BB52">
        <v>593.79999999999995</v>
      </c>
      <c r="BC52">
        <v>0.69399999999999995</v>
      </c>
      <c r="BD52">
        <v>1.6839999999999999</v>
      </c>
      <c r="BF52" s="3">
        <v>970</v>
      </c>
      <c r="BG52" s="3">
        <v>24</v>
      </c>
      <c r="BH52">
        <v>2</v>
      </c>
      <c r="BI52">
        <v>2</v>
      </c>
      <c r="BJ52">
        <v>1429.12</v>
      </c>
      <c r="BK52">
        <v>45</v>
      </c>
      <c r="BL52">
        <v>0</v>
      </c>
      <c r="BM52">
        <v>901</v>
      </c>
      <c r="BN52">
        <v>1.87</v>
      </c>
      <c r="BO52">
        <v>104</v>
      </c>
      <c r="BP52">
        <v>192</v>
      </c>
      <c r="BQ52">
        <v>44</v>
      </c>
      <c r="BR52">
        <v>10000</v>
      </c>
      <c r="BT52">
        <v>90</v>
      </c>
      <c r="BU52">
        <v>593.79999999999995</v>
      </c>
      <c r="BV52">
        <v>0.69399999999999995</v>
      </c>
      <c r="BW52">
        <v>1.6839999999999999</v>
      </c>
    </row>
    <row r="53" spans="1:75" x14ac:dyDescent="0.25">
      <c r="A53" s="3">
        <v>980</v>
      </c>
      <c r="B53" s="3">
        <v>23</v>
      </c>
      <c r="C53">
        <v>0</v>
      </c>
      <c r="D53">
        <v>0</v>
      </c>
      <c r="E53">
        <v>0</v>
      </c>
      <c r="O53">
        <v>0</v>
      </c>
      <c r="P53">
        <v>0</v>
      </c>
      <c r="Q53">
        <v>0</v>
      </c>
      <c r="R53">
        <v>0</v>
      </c>
      <c r="T53" s="3">
        <v>980</v>
      </c>
      <c r="U53" s="3">
        <v>23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H53">
        <v>0</v>
      </c>
      <c r="AI53">
        <v>0</v>
      </c>
      <c r="AJ53">
        <v>0</v>
      </c>
      <c r="AK53">
        <v>0</v>
      </c>
      <c r="AM53" s="3">
        <v>980</v>
      </c>
      <c r="AN53" s="3">
        <v>23</v>
      </c>
      <c r="AO53">
        <v>1</v>
      </c>
      <c r="AP53">
        <v>1</v>
      </c>
      <c r="AQ53">
        <v>2780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BA53">
        <v>90</v>
      </c>
      <c r="BB53">
        <v>617.29999999999995</v>
      </c>
      <c r="BC53">
        <v>0.40799999999999997</v>
      </c>
      <c r="BD53">
        <v>0.90500000000000003</v>
      </c>
      <c r="BF53" s="3">
        <v>980</v>
      </c>
      <c r="BG53" s="3">
        <v>23</v>
      </c>
      <c r="BH53">
        <v>1</v>
      </c>
      <c r="BI53">
        <v>1</v>
      </c>
      <c r="BJ53">
        <v>2780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90</v>
      </c>
      <c r="BU53">
        <v>617.29999999999995</v>
      </c>
      <c r="BV53">
        <v>0.40799999999999997</v>
      </c>
      <c r="BW53">
        <v>0.90500000000000003</v>
      </c>
    </row>
    <row r="54" spans="1:75" x14ac:dyDescent="0.25">
      <c r="A54" s="3">
        <v>980</v>
      </c>
      <c r="B54" s="3">
        <v>24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M54">
        <v>0</v>
      </c>
      <c r="O54">
        <v>0</v>
      </c>
      <c r="P54">
        <v>0</v>
      </c>
      <c r="Q54">
        <v>0</v>
      </c>
      <c r="R54">
        <v>0</v>
      </c>
      <c r="T54" s="3">
        <v>980</v>
      </c>
      <c r="U54" s="3">
        <v>24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H54">
        <v>0</v>
      </c>
      <c r="AI54">
        <v>0</v>
      </c>
      <c r="AJ54">
        <v>0</v>
      </c>
      <c r="AK54">
        <v>0</v>
      </c>
      <c r="AM54" s="3">
        <v>980</v>
      </c>
      <c r="AN54" s="3">
        <v>24</v>
      </c>
      <c r="AO54">
        <v>2</v>
      </c>
      <c r="AP54">
        <v>2</v>
      </c>
      <c r="AQ54">
        <v>2102.6999999999998</v>
      </c>
      <c r="AR54">
        <v>46.42</v>
      </c>
      <c r="AS54">
        <v>-2.83</v>
      </c>
      <c r="AT54">
        <v>938</v>
      </c>
      <c r="AU54">
        <v>1.83</v>
      </c>
      <c r="AV54">
        <v>0</v>
      </c>
      <c r="AW54">
        <v>0</v>
      </c>
      <c r="AX54">
        <v>0</v>
      </c>
      <c r="AY54">
        <v>10492</v>
      </c>
      <c r="BA54">
        <v>90</v>
      </c>
      <c r="BB54">
        <v>582.1</v>
      </c>
      <c r="BC54">
        <v>2.6709999999999998</v>
      </c>
      <c r="BD54">
        <v>3.722</v>
      </c>
      <c r="BF54" s="3">
        <v>980</v>
      </c>
      <c r="BG54" s="3">
        <v>24</v>
      </c>
      <c r="BH54">
        <v>2</v>
      </c>
      <c r="BI54">
        <v>2</v>
      </c>
      <c r="BJ54">
        <v>2102.6999999999998</v>
      </c>
      <c r="BK54">
        <v>46.42</v>
      </c>
      <c r="BL54">
        <v>-2.83</v>
      </c>
      <c r="BM54">
        <v>938</v>
      </c>
      <c r="BN54">
        <v>1.83</v>
      </c>
      <c r="BO54">
        <v>0</v>
      </c>
      <c r="BP54">
        <v>0</v>
      </c>
      <c r="BQ54">
        <v>0</v>
      </c>
      <c r="BR54">
        <v>10492</v>
      </c>
      <c r="BT54">
        <v>90</v>
      </c>
      <c r="BU54">
        <v>582.1</v>
      </c>
      <c r="BV54">
        <v>2.6709999999999998</v>
      </c>
      <c r="BW54">
        <v>3.722</v>
      </c>
    </row>
    <row r="55" spans="1:75" x14ac:dyDescent="0.25">
      <c r="A55" s="3">
        <v>990</v>
      </c>
      <c r="B55" s="3">
        <v>23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O55">
        <v>0</v>
      </c>
      <c r="P55">
        <v>0</v>
      </c>
      <c r="Q55">
        <v>0</v>
      </c>
      <c r="R55">
        <v>0</v>
      </c>
      <c r="T55" s="3">
        <v>990</v>
      </c>
      <c r="U55" s="3">
        <v>23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H55">
        <v>0</v>
      </c>
      <c r="AI55">
        <v>0</v>
      </c>
      <c r="AJ55">
        <v>0</v>
      </c>
      <c r="AK55">
        <v>0</v>
      </c>
      <c r="AM55" s="3">
        <v>990</v>
      </c>
      <c r="AN55" s="3">
        <v>23</v>
      </c>
      <c r="AO55">
        <v>1</v>
      </c>
      <c r="AP55">
        <v>1</v>
      </c>
      <c r="AQ55">
        <v>2787.13</v>
      </c>
      <c r="AR55">
        <v>5.4</v>
      </c>
      <c r="AS55">
        <v>3</v>
      </c>
      <c r="AT55">
        <v>104</v>
      </c>
      <c r="AU55">
        <v>15.02</v>
      </c>
      <c r="AV55">
        <v>5166</v>
      </c>
      <c r="AW55">
        <v>791</v>
      </c>
      <c r="AX55">
        <v>299</v>
      </c>
      <c r="AY55">
        <v>0</v>
      </c>
      <c r="BA55">
        <v>90</v>
      </c>
      <c r="BB55">
        <v>611.29999999999995</v>
      </c>
      <c r="BC55">
        <v>0.88500000000000001</v>
      </c>
      <c r="BD55">
        <v>1.3620000000000001</v>
      </c>
      <c r="BF55" s="3">
        <v>990</v>
      </c>
      <c r="BG55" s="3">
        <v>23</v>
      </c>
      <c r="BH55">
        <v>1</v>
      </c>
      <c r="BI55">
        <v>1</v>
      </c>
      <c r="BJ55">
        <v>2787.13</v>
      </c>
      <c r="BK55">
        <v>5.4</v>
      </c>
      <c r="BL55">
        <v>3</v>
      </c>
      <c r="BM55">
        <v>104</v>
      </c>
      <c r="BN55">
        <v>15.02</v>
      </c>
      <c r="BO55">
        <v>5166</v>
      </c>
      <c r="BP55">
        <v>791</v>
      </c>
      <c r="BQ55">
        <v>299</v>
      </c>
      <c r="BR55">
        <v>0</v>
      </c>
      <c r="BT55">
        <v>90</v>
      </c>
      <c r="BU55">
        <v>611.29999999999995</v>
      </c>
      <c r="BV55">
        <v>0.88500000000000001</v>
      </c>
      <c r="BW55">
        <v>1.3620000000000001</v>
      </c>
    </row>
    <row r="56" spans="1:75" x14ac:dyDescent="0.25">
      <c r="A56" s="3">
        <v>990</v>
      </c>
      <c r="B56" s="3">
        <v>24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M56">
        <v>0</v>
      </c>
      <c r="O56">
        <v>0</v>
      </c>
      <c r="P56">
        <v>0</v>
      </c>
      <c r="Q56">
        <v>0</v>
      </c>
      <c r="R56">
        <v>0</v>
      </c>
      <c r="T56" s="3">
        <v>990</v>
      </c>
      <c r="U56" s="3">
        <v>24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H56">
        <v>0</v>
      </c>
      <c r="AI56">
        <v>0</v>
      </c>
      <c r="AJ56">
        <v>0</v>
      </c>
      <c r="AK56">
        <v>0</v>
      </c>
      <c r="AM56" s="3">
        <v>990</v>
      </c>
      <c r="AN56" s="3">
        <v>24</v>
      </c>
      <c r="AO56">
        <v>2</v>
      </c>
      <c r="AP56">
        <v>2</v>
      </c>
      <c r="AQ56">
        <v>2636.93</v>
      </c>
      <c r="AR56">
        <v>23.2</v>
      </c>
      <c r="AS56">
        <v>-2.76</v>
      </c>
      <c r="AT56">
        <v>52</v>
      </c>
      <c r="AU56">
        <v>0.41</v>
      </c>
      <c r="AV56">
        <v>0</v>
      </c>
      <c r="AW56">
        <v>0</v>
      </c>
      <c r="AX56">
        <v>0</v>
      </c>
      <c r="AY56">
        <v>12997</v>
      </c>
      <c r="BA56">
        <v>90</v>
      </c>
      <c r="BB56">
        <v>571.79999999999995</v>
      </c>
      <c r="BC56">
        <v>1.5549999999999999</v>
      </c>
      <c r="BD56">
        <v>2.266</v>
      </c>
      <c r="BF56" s="3">
        <v>990</v>
      </c>
      <c r="BG56" s="3">
        <v>24</v>
      </c>
      <c r="BH56">
        <v>2</v>
      </c>
      <c r="BI56">
        <v>2</v>
      </c>
      <c r="BJ56">
        <v>2636.93</v>
      </c>
      <c r="BK56">
        <v>23.2</v>
      </c>
      <c r="BL56">
        <v>-2.76</v>
      </c>
      <c r="BM56">
        <v>52</v>
      </c>
      <c r="BN56">
        <v>0.41</v>
      </c>
      <c r="BO56">
        <v>0</v>
      </c>
      <c r="BP56">
        <v>0</v>
      </c>
      <c r="BQ56">
        <v>0</v>
      </c>
      <c r="BR56">
        <v>12997</v>
      </c>
      <c r="BT56">
        <v>90</v>
      </c>
      <c r="BU56">
        <v>571.79999999999995</v>
      </c>
      <c r="BV56">
        <v>1.5549999999999999</v>
      </c>
      <c r="BW56">
        <v>2.266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W87"/>
  <sheetViews>
    <sheetView workbookViewId="0"/>
  </sheetViews>
  <sheetFormatPr defaultRowHeight="15" x14ac:dyDescent="0.25"/>
  <sheetData>
    <row r="1" spans="1:75" x14ac:dyDescent="0.25">
      <c r="A1" s="1" t="s">
        <v>43</v>
      </c>
    </row>
    <row r="2" spans="1:75" x14ac:dyDescent="0.25">
      <c r="A2" s="2" t="s">
        <v>1</v>
      </c>
    </row>
    <row r="3" spans="1:75" x14ac:dyDescent="0.25">
      <c r="A3" t="s">
        <v>2</v>
      </c>
      <c r="T3" t="s">
        <v>3</v>
      </c>
    </row>
    <row r="4" spans="1:75" x14ac:dyDescent="0.25">
      <c r="C4" s="3" t="s">
        <v>44</v>
      </c>
      <c r="D4" s="3" t="s">
        <v>45</v>
      </c>
      <c r="E4" s="3" t="s">
        <v>46</v>
      </c>
      <c r="F4" s="3" t="s">
        <v>47</v>
      </c>
      <c r="G4" s="3" t="s">
        <v>48</v>
      </c>
      <c r="H4" s="3" t="s">
        <v>49</v>
      </c>
      <c r="I4" s="3" t="s">
        <v>50</v>
      </c>
      <c r="J4" s="3" t="s">
        <v>51</v>
      </c>
      <c r="K4" s="3" t="s">
        <v>52</v>
      </c>
      <c r="L4" s="3" t="s">
        <v>53</v>
      </c>
      <c r="M4" s="3" t="s">
        <v>54</v>
      </c>
      <c r="N4" s="3" t="s">
        <v>55</v>
      </c>
      <c r="O4" s="3" t="s">
        <v>56</v>
      </c>
      <c r="P4" s="3" t="s">
        <v>57</v>
      </c>
      <c r="Q4" s="3" t="s">
        <v>58</v>
      </c>
      <c r="R4" s="3" t="s">
        <v>59</v>
      </c>
      <c r="V4" s="3" t="s">
        <v>44</v>
      </c>
      <c r="W4" s="3" t="s">
        <v>45</v>
      </c>
      <c r="X4" s="3" t="s">
        <v>46</v>
      </c>
      <c r="Y4" s="3" t="s">
        <v>47</v>
      </c>
      <c r="Z4" s="3" t="s">
        <v>48</v>
      </c>
      <c r="AA4" s="3" t="s">
        <v>49</v>
      </c>
      <c r="AB4" s="3" t="s">
        <v>50</v>
      </c>
      <c r="AC4" s="3" t="s">
        <v>51</v>
      </c>
      <c r="AD4" s="3" t="s">
        <v>52</v>
      </c>
      <c r="AE4" s="3" t="s">
        <v>53</v>
      </c>
      <c r="AF4" s="3" t="s">
        <v>54</v>
      </c>
      <c r="AG4" s="3" t="s">
        <v>55</v>
      </c>
      <c r="AH4" s="3" t="s">
        <v>56</v>
      </c>
      <c r="AI4" s="3" t="s">
        <v>57</v>
      </c>
      <c r="AJ4" s="3" t="s">
        <v>58</v>
      </c>
      <c r="AK4" s="3" t="s">
        <v>59</v>
      </c>
    </row>
    <row r="5" spans="1:75" x14ac:dyDescent="0.25">
      <c r="B5" s="3" t="s">
        <v>6</v>
      </c>
      <c r="C5">
        <v>72</v>
      </c>
      <c r="D5">
        <v>72</v>
      </c>
      <c r="E5">
        <v>72</v>
      </c>
      <c r="F5">
        <v>72</v>
      </c>
      <c r="G5">
        <v>56</v>
      </c>
      <c r="H5">
        <v>56</v>
      </c>
      <c r="I5">
        <v>72</v>
      </c>
      <c r="J5">
        <v>72</v>
      </c>
      <c r="K5">
        <v>72</v>
      </c>
      <c r="L5">
        <v>72</v>
      </c>
      <c r="M5">
        <v>56</v>
      </c>
      <c r="N5">
        <v>56</v>
      </c>
      <c r="O5">
        <v>56</v>
      </c>
      <c r="P5">
        <v>56</v>
      </c>
      <c r="Q5">
        <v>16</v>
      </c>
      <c r="R5">
        <v>12</v>
      </c>
      <c r="U5" s="3" t="s">
        <v>6</v>
      </c>
      <c r="V5">
        <v>72</v>
      </c>
      <c r="W5">
        <v>72</v>
      </c>
      <c r="X5">
        <v>72</v>
      </c>
      <c r="Y5">
        <v>72</v>
      </c>
      <c r="Z5">
        <v>72</v>
      </c>
      <c r="AA5">
        <v>72</v>
      </c>
      <c r="AB5">
        <v>72</v>
      </c>
      <c r="AC5">
        <v>72</v>
      </c>
      <c r="AD5">
        <v>72</v>
      </c>
      <c r="AE5">
        <v>72</v>
      </c>
      <c r="AF5">
        <v>72</v>
      </c>
      <c r="AG5">
        <v>72</v>
      </c>
      <c r="AH5">
        <v>72</v>
      </c>
      <c r="AI5">
        <v>72</v>
      </c>
      <c r="AJ5">
        <v>72</v>
      </c>
      <c r="AK5">
        <v>72</v>
      </c>
    </row>
    <row r="6" spans="1:75" x14ac:dyDescent="0.25">
      <c r="B6" s="3" t="s">
        <v>7</v>
      </c>
      <c r="C6">
        <v>6.6743936862241534E-5</v>
      </c>
      <c r="D6">
        <v>0</v>
      </c>
      <c r="E6">
        <v>4.9106907684557386E-4</v>
      </c>
      <c r="F6">
        <v>0</v>
      </c>
      <c r="G6">
        <v>2.5307497679601478E-4</v>
      </c>
      <c r="H6">
        <v>3.947091621559808E-5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U6" s="3" t="s">
        <v>7</v>
      </c>
      <c r="V6">
        <v>5.5555555555228712E-5</v>
      </c>
      <c r="W6">
        <v>0</v>
      </c>
      <c r="X6">
        <v>2.2222222222417149E-4</v>
      </c>
      <c r="Y6">
        <v>0</v>
      </c>
      <c r="Z6">
        <v>8.3333333333829922E-5</v>
      </c>
      <c r="AA6">
        <v>5.5555555555820822E-5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75" x14ac:dyDescent="0.25">
      <c r="B7" s="3" t="s">
        <v>8</v>
      </c>
      <c r="C7">
        <v>2.4134319730545749E-4</v>
      </c>
      <c r="D7">
        <v>0</v>
      </c>
      <c r="E7">
        <v>1.1933926519823541E-3</v>
      </c>
      <c r="F7">
        <v>0</v>
      </c>
      <c r="G7">
        <v>9.0049160603222376E-4</v>
      </c>
      <c r="H7">
        <v>1.480217367063358E-4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U7" s="3" t="s">
        <v>8</v>
      </c>
      <c r="V7">
        <v>2.8526680809258233E-4</v>
      </c>
      <c r="W7">
        <v>0</v>
      </c>
      <c r="X7">
        <v>5.3660965492142261E-4</v>
      </c>
      <c r="Y7">
        <v>0</v>
      </c>
      <c r="Z7">
        <v>3.2501354251429762E-4</v>
      </c>
      <c r="AA7">
        <v>2.3066889195487149E-4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75" x14ac:dyDescent="0.25">
      <c r="B8" s="3" t="s">
        <v>9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U8" s="3" t="s">
        <v>9</v>
      </c>
      <c r="V8">
        <v>-1.0000000000047751E-3</v>
      </c>
      <c r="W8">
        <v>0</v>
      </c>
      <c r="X8">
        <v>-1.0000000000047751E-3</v>
      </c>
      <c r="Y8">
        <v>0</v>
      </c>
      <c r="Z8">
        <v>-9.9999999999766942E-4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75" x14ac:dyDescent="0.25">
      <c r="B9" s="3" t="s">
        <v>10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U9" s="3" t="s">
        <v>10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75" x14ac:dyDescent="0.25">
      <c r="B10" s="3" t="s">
        <v>11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U10" s="3" t="s">
        <v>11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75" x14ac:dyDescent="0.25">
      <c r="B11" s="3" t="s">
        <v>12</v>
      </c>
      <c r="C11">
        <v>0</v>
      </c>
      <c r="D11">
        <v>0</v>
      </c>
      <c r="E11">
        <v>2.342485423829057E-4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U11" s="3" t="s">
        <v>12</v>
      </c>
      <c r="V11">
        <v>0</v>
      </c>
      <c r="W11">
        <v>0</v>
      </c>
      <c r="X11">
        <v>2.4999999999408828E-4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75" x14ac:dyDescent="0.25">
      <c r="B12" s="3" t="s">
        <v>13</v>
      </c>
      <c r="C12">
        <v>1.1757236579170579E-3</v>
      </c>
      <c r="D12">
        <v>0</v>
      </c>
      <c r="E12">
        <v>4.2817383857898612E-3</v>
      </c>
      <c r="F12">
        <v>0</v>
      </c>
      <c r="G12">
        <v>5.6721497447400427E-3</v>
      </c>
      <c r="H12">
        <v>7.2910211075409201E-4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U12" s="3" t="s">
        <v>13</v>
      </c>
      <c r="V12">
        <v>1.0000000000047751E-3</v>
      </c>
      <c r="W12">
        <v>0</v>
      </c>
      <c r="X12">
        <v>1.9999999999953388E-3</v>
      </c>
      <c r="Y12">
        <v>0</v>
      </c>
      <c r="Z12">
        <v>1.0000000000047751E-3</v>
      </c>
      <c r="AA12">
        <v>1.0000000000047751E-3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75" x14ac:dyDescent="0.25">
      <c r="A13" s="2" t="s">
        <v>14</v>
      </c>
    </row>
    <row r="14" spans="1:75" x14ac:dyDescent="0.25">
      <c r="A14" t="s">
        <v>2</v>
      </c>
      <c r="T14" t="s">
        <v>3</v>
      </c>
      <c r="AM14" t="s">
        <v>15</v>
      </c>
      <c r="BF14" t="s">
        <v>16</v>
      </c>
    </row>
    <row r="15" spans="1:75" x14ac:dyDescent="0.25">
      <c r="A15" s="3" t="s">
        <v>17</v>
      </c>
      <c r="B15" s="3" t="s">
        <v>18</v>
      </c>
      <c r="C15" s="3" t="s">
        <v>44</v>
      </c>
      <c r="D15" s="3" t="s">
        <v>45</v>
      </c>
      <c r="E15" s="3" t="s">
        <v>46</v>
      </c>
      <c r="F15" s="3" t="s">
        <v>47</v>
      </c>
      <c r="G15" s="3" t="s">
        <v>48</v>
      </c>
      <c r="H15" s="3" t="s">
        <v>49</v>
      </c>
      <c r="I15" s="3" t="s">
        <v>50</v>
      </c>
      <c r="J15" s="3" t="s">
        <v>51</v>
      </c>
      <c r="K15" s="3" t="s">
        <v>52</v>
      </c>
      <c r="L15" s="3" t="s">
        <v>53</v>
      </c>
      <c r="M15" s="3" t="s">
        <v>54</v>
      </c>
      <c r="N15" s="3" t="s">
        <v>55</v>
      </c>
      <c r="O15" s="3" t="s">
        <v>56</v>
      </c>
      <c r="P15" s="3" t="s">
        <v>57</v>
      </c>
      <c r="Q15" s="3" t="s">
        <v>58</v>
      </c>
      <c r="R15" s="3" t="s">
        <v>59</v>
      </c>
      <c r="T15" s="3" t="s">
        <v>17</v>
      </c>
      <c r="U15" s="3" t="s">
        <v>18</v>
      </c>
      <c r="V15" s="3" t="s">
        <v>44</v>
      </c>
      <c r="W15" s="3" t="s">
        <v>45</v>
      </c>
      <c r="X15" s="3" t="s">
        <v>46</v>
      </c>
      <c r="Y15" s="3" t="s">
        <v>47</v>
      </c>
      <c r="Z15" s="3" t="s">
        <v>48</v>
      </c>
      <c r="AA15" s="3" t="s">
        <v>49</v>
      </c>
      <c r="AB15" s="3" t="s">
        <v>50</v>
      </c>
      <c r="AC15" s="3" t="s">
        <v>51</v>
      </c>
      <c r="AD15" s="3" t="s">
        <v>52</v>
      </c>
      <c r="AE15" s="3" t="s">
        <v>53</v>
      </c>
      <c r="AF15" s="3" t="s">
        <v>54</v>
      </c>
      <c r="AG15" s="3" t="s">
        <v>55</v>
      </c>
      <c r="AH15" s="3" t="s">
        <v>56</v>
      </c>
      <c r="AI15" s="3" t="s">
        <v>57</v>
      </c>
      <c r="AJ15" s="3" t="s">
        <v>58</v>
      </c>
      <c r="AK15" s="3" t="s">
        <v>59</v>
      </c>
      <c r="AM15" s="3" t="s">
        <v>17</v>
      </c>
      <c r="AN15" s="3" t="s">
        <v>18</v>
      </c>
      <c r="AO15" s="3" t="s">
        <v>44</v>
      </c>
      <c r="AP15" s="3" t="s">
        <v>45</v>
      </c>
      <c r="AQ15" s="3" t="s">
        <v>46</v>
      </c>
      <c r="AR15" s="3" t="s">
        <v>47</v>
      </c>
      <c r="AS15" s="3" t="s">
        <v>48</v>
      </c>
      <c r="AT15" s="3" t="s">
        <v>49</v>
      </c>
      <c r="AU15" s="3" t="s">
        <v>50</v>
      </c>
      <c r="AV15" s="3" t="s">
        <v>51</v>
      </c>
      <c r="AW15" s="3" t="s">
        <v>52</v>
      </c>
      <c r="AX15" s="3" t="s">
        <v>53</v>
      </c>
      <c r="AY15" s="3" t="s">
        <v>54</v>
      </c>
      <c r="AZ15" s="3" t="s">
        <v>55</v>
      </c>
      <c r="BA15" s="3" t="s">
        <v>56</v>
      </c>
      <c r="BB15" s="3" t="s">
        <v>57</v>
      </c>
      <c r="BC15" s="3" t="s">
        <v>58</v>
      </c>
      <c r="BD15" s="3" t="s">
        <v>59</v>
      </c>
      <c r="BF15" s="3" t="s">
        <v>17</v>
      </c>
      <c r="BG15" s="3" t="s">
        <v>18</v>
      </c>
      <c r="BH15" s="3" t="s">
        <v>44</v>
      </c>
      <c r="BI15" s="3" t="s">
        <v>45</v>
      </c>
      <c r="BJ15" s="3" t="s">
        <v>46</v>
      </c>
      <c r="BK15" s="3" t="s">
        <v>47</v>
      </c>
      <c r="BL15" s="3" t="s">
        <v>48</v>
      </c>
      <c r="BM15" s="3" t="s">
        <v>49</v>
      </c>
      <c r="BN15" s="3" t="s">
        <v>50</v>
      </c>
      <c r="BO15" s="3" t="s">
        <v>51</v>
      </c>
      <c r="BP15" s="3" t="s">
        <v>52</v>
      </c>
      <c r="BQ15" s="3" t="s">
        <v>53</v>
      </c>
      <c r="BR15" s="3" t="s">
        <v>54</v>
      </c>
      <c r="BS15" s="3" t="s">
        <v>55</v>
      </c>
      <c r="BT15" s="3" t="s">
        <v>56</v>
      </c>
      <c r="BU15" s="3" t="s">
        <v>57</v>
      </c>
      <c r="BV15" s="3" t="s">
        <v>58</v>
      </c>
      <c r="BW15" s="3" t="s">
        <v>59</v>
      </c>
    </row>
    <row r="16" spans="1:75" x14ac:dyDescent="0.25">
      <c r="A16" s="3">
        <v>360</v>
      </c>
      <c r="B16" s="3">
        <v>1</v>
      </c>
      <c r="C16">
        <v>0</v>
      </c>
      <c r="D16">
        <v>0</v>
      </c>
      <c r="E16">
        <v>0</v>
      </c>
      <c r="F16">
        <v>0</v>
      </c>
      <c r="G16">
        <v>0</v>
      </c>
      <c r="I16">
        <v>0</v>
      </c>
      <c r="J16">
        <v>0</v>
      </c>
      <c r="K16">
        <v>0</v>
      </c>
      <c r="L16">
        <v>0</v>
      </c>
      <c r="M16">
        <v>0</v>
      </c>
      <c r="O16">
        <v>0</v>
      </c>
      <c r="T16" s="3">
        <v>360</v>
      </c>
      <c r="U16" s="3">
        <v>1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 s="3">
        <v>360</v>
      </c>
      <c r="AN16" s="3">
        <v>1</v>
      </c>
      <c r="AO16">
        <v>447.88799999999998</v>
      </c>
      <c r="AP16">
        <v>302.10000000000002</v>
      </c>
      <c r="AQ16">
        <v>26.405000000000001</v>
      </c>
      <c r="AR16">
        <v>277.7</v>
      </c>
      <c r="AS16">
        <v>166.309</v>
      </c>
      <c r="AT16">
        <v>0</v>
      </c>
      <c r="AU16">
        <v>1493</v>
      </c>
      <c r="AV16">
        <v>302.10000000000002</v>
      </c>
      <c r="AW16">
        <v>88</v>
      </c>
      <c r="AX16">
        <v>277.7</v>
      </c>
      <c r="AY16">
        <v>554</v>
      </c>
      <c r="AZ16">
        <v>0</v>
      </c>
      <c r="BA16">
        <v>100</v>
      </c>
      <c r="BB16">
        <v>0</v>
      </c>
      <c r="BC16">
        <v>0</v>
      </c>
      <c r="BD16">
        <v>0</v>
      </c>
      <c r="BF16" s="3">
        <v>360</v>
      </c>
      <c r="BG16" s="3">
        <v>1</v>
      </c>
      <c r="BH16">
        <v>447.88799999999998</v>
      </c>
      <c r="BI16">
        <v>302.10000000000002</v>
      </c>
      <c r="BJ16">
        <v>26.405000000000001</v>
      </c>
      <c r="BK16">
        <v>277.7</v>
      </c>
      <c r="BL16">
        <v>166.309</v>
      </c>
      <c r="BM16">
        <v>0</v>
      </c>
      <c r="BN16">
        <v>1493</v>
      </c>
      <c r="BO16">
        <v>302.10000000000002</v>
      </c>
      <c r="BP16">
        <v>88</v>
      </c>
      <c r="BQ16">
        <v>277.7</v>
      </c>
      <c r="BR16">
        <v>554</v>
      </c>
      <c r="BS16">
        <v>0</v>
      </c>
      <c r="BT16">
        <v>100</v>
      </c>
      <c r="BU16">
        <v>0</v>
      </c>
      <c r="BV16">
        <v>0</v>
      </c>
      <c r="BW16">
        <v>0</v>
      </c>
    </row>
    <row r="17" spans="1:75" x14ac:dyDescent="0.25">
      <c r="A17" s="3">
        <v>360</v>
      </c>
      <c r="B17" s="3">
        <v>2</v>
      </c>
      <c r="C17">
        <v>0</v>
      </c>
      <c r="D17">
        <v>0</v>
      </c>
      <c r="E17">
        <v>0</v>
      </c>
      <c r="F17">
        <v>0</v>
      </c>
      <c r="G17">
        <v>0</v>
      </c>
      <c r="I17">
        <v>0</v>
      </c>
      <c r="J17">
        <v>0</v>
      </c>
      <c r="K17">
        <v>0</v>
      </c>
      <c r="L17">
        <v>0</v>
      </c>
      <c r="M17">
        <v>0</v>
      </c>
      <c r="O17">
        <v>0</v>
      </c>
      <c r="T17" s="3">
        <v>360</v>
      </c>
      <c r="U17" s="3">
        <v>2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 s="3">
        <v>360</v>
      </c>
      <c r="AN17" s="3">
        <v>2</v>
      </c>
      <c r="AO17">
        <v>447.88799999999998</v>
      </c>
      <c r="AP17">
        <v>302.10000000000002</v>
      </c>
      <c r="AQ17">
        <v>26.405000000000001</v>
      </c>
      <c r="AR17">
        <v>277.7</v>
      </c>
      <c r="AS17">
        <v>166.309</v>
      </c>
      <c r="AT17">
        <v>0</v>
      </c>
      <c r="AU17">
        <v>1792</v>
      </c>
      <c r="AV17">
        <v>302.10000000000002</v>
      </c>
      <c r="AW17">
        <v>106</v>
      </c>
      <c r="AX17">
        <v>277.7</v>
      </c>
      <c r="AY17">
        <v>665</v>
      </c>
      <c r="AZ17">
        <v>0</v>
      </c>
      <c r="BA17">
        <v>100</v>
      </c>
      <c r="BB17">
        <v>0</v>
      </c>
      <c r="BC17">
        <v>0</v>
      </c>
      <c r="BD17">
        <v>0</v>
      </c>
      <c r="BF17" s="3">
        <v>360</v>
      </c>
      <c r="BG17" s="3">
        <v>2</v>
      </c>
      <c r="BH17">
        <v>447.88799999999998</v>
      </c>
      <c r="BI17">
        <v>302.10000000000002</v>
      </c>
      <c r="BJ17">
        <v>26.405000000000001</v>
      </c>
      <c r="BK17">
        <v>277.7</v>
      </c>
      <c r="BL17">
        <v>166.309</v>
      </c>
      <c r="BM17">
        <v>0</v>
      </c>
      <c r="BN17">
        <v>1792</v>
      </c>
      <c r="BO17">
        <v>302.10000000000002</v>
      </c>
      <c r="BP17">
        <v>106</v>
      </c>
      <c r="BQ17">
        <v>277.7</v>
      </c>
      <c r="BR17">
        <v>665</v>
      </c>
      <c r="BS17">
        <v>0</v>
      </c>
      <c r="BT17">
        <v>100</v>
      </c>
      <c r="BU17">
        <v>0</v>
      </c>
      <c r="BV17">
        <v>0</v>
      </c>
      <c r="BW17">
        <v>0</v>
      </c>
    </row>
    <row r="18" spans="1:75" x14ac:dyDescent="0.25">
      <c r="A18" s="3">
        <v>360</v>
      </c>
      <c r="B18" s="3">
        <v>3</v>
      </c>
      <c r="C18">
        <v>0</v>
      </c>
      <c r="D18">
        <v>0</v>
      </c>
      <c r="E18">
        <v>0</v>
      </c>
      <c r="F18">
        <v>0</v>
      </c>
      <c r="G18">
        <v>0</v>
      </c>
      <c r="I18">
        <v>0</v>
      </c>
      <c r="J18">
        <v>0</v>
      </c>
      <c r="K18">
        <v>0</v>
      </c>
      <c r="L18">
        <v>0</v>
      </c>
      <c r="M18">
        <v>0</v>
      </c>
      <c r="O18">
        <v>0</v>
      </c>
      <c r="T18" s="3">
        <v>360</v>
      </c>
      <c r="U18" s="3">
        <v>3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 s="3">
        <v>360</v>
      </c>
      <c r="AN18" s="3">
        <v>3</v>
      </c>
      <c r="AO18">
        <v>447.88799999999998</v>
      </c>
      <c r="AP18">
        <v>302.10000000000002</v>
      </c>
      <c r="AQ18">
        <v>26.405000000000001</v>
      </c>
      <c r="AR18">
        <v>277.7</v>
      </c>
      <c r="AS18">
        <v>166.309</v>
      </c>
      <c r="AT18">
        <v>0</v>
      </c>
      <c r="AU18">
        <v>1991</v>
      </c>
      <c r="AV18">
        <v>302.10000000000002</v>
      </c>
      <c r="AW18">
        <v>117</v>
      </c>
      <c r="AX18">
        <v>277.7</v>
      </c>
      <c r="AY18">
        <v>739</v>
      </c>
      <c r="AZ18">
        <v>0</v>
      </c>
      <c r="BA18">
        <v>100</v>
      </c>
      <c r="BB18">
        <v>0</v>
      </c>
      <c r="BC18">
        <v>0</v>
      </c>
      <c r="BD18">
        <v>0</v>
      </c>
      <c r="BF18" s="3">
        <v>360</v>
      </c>
      <c r="BG18" s="3">
        <v>3</v>
      </c>
      <c r="BH18">
        <v>447.88799999999998</v>
      </c>
      <c r="BI18">
        <v>302.10000000000002</v>
      </c>
      <c r="BJ18">
        <v>26.405000000000001</v>
      </c>
      <c r="BK18">
        <v>277.7</v>
      </c>
      <c r="BL18">
        <v>166.309</v>
      </c>
      <c r="BM18">
        <v>0</v>
      </c>
      <c r="BN18">
        <v>1991</v>
      </c>
      <c r="BO18">
        <v>302.10000000000002</v>
      </c>
      <c r="BP18">
        <v>117</v>
      </c>
      <c r="BQ18">
        <v>277.7</v>
      </c>
      <c r="BR18">
        <v>739</v>
      </c>
      <c r="BS18">
        <v>0</v>
      </c>
      <c r="BT18">
        <v>100</v>
      </c>
      <c r="BU18">
        <v>0</v>
      </c>
      <c r="BV18">
        <v>0</v>
      </c>
      <c r="BW18">
        <v>0</v>
      </c>
    </row>
    <row r="19" spans="1:75" x14ac:dyDescent="0.25">
      <c r="A19" s="3">
        <v>360</v>
      </c>
      <c r="B19" s="3">
        <v>4</v>
      </c>
      <c r="C19">
        <v>0</v>
      </c>
      <c r="D19">
        <v>0</v>
      </c>
      <c r="E19">
        <v>0</v>
      </c>
      <c r="F19">
        <v>0</v>
      </c>
      <c r="H19">
        <v>0</v>
      </c>
      <c r="I19">
        <v>0</v>
      </c>
      <c r="J19">
        <v>0</v>
      </c>
      <c r="K19">
        <v>0</v>
      </c>
      <c r="L19">
        <v>0</v>
      </c>
      <c r="N19">
        <v>0</v>
      </c>
      <c r="P19">
        <v>0</v>
      </c>
      <c r="T19" s="3">
        <v>360</v>
      </c>
      <c r="U19" s="3">
        <v>4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 s="3">
        <v>360</v>
      </c>
      <c r="AN19" s="3">
        <v>4</v>
      </c>
      <c r="AO19">
        <v>-147.71299999999999</v>
      </c>
      <c r="AP19">
        <v>300.10000000000002</v>
      </c>
      <c r="AQ19">
        <v>-597.76499999999999</v>
      </c>
      <c r="AR19">
        <v>334.5</v>
      </c>
      <c r="AS19">
        <v>0</v>
      </c>
      <c r="AT19">
        <v>-287.97199999999998</v>
      </c>
      <c r="AU19">
        <v>-657</v>
      </c>
      <c r="AV19">
        <v>300.10000000000002</v>
      </c>
      <c r="AW19">
        <v>-2657</v>
      </c>
      <c r="AX19">
        <v>334.5</v>
      </c>
      <c r="AY19">
        <v>0</v>
      </c>
      <c r="AZ19">
        <v>-1280</v>
      </c>
      <c r="BA19">
        <v>0</v>
      </c>
      <c r="BB19">
        <v>100</v>
      </c>
      <c r="BC19">
        <v>0</v>
      </c>
      <c r="BD19">
        <v>0</v>
      </c>
      <c r="BF19" s="3">
        <v>360</v>
      </c>
      <c r="BG19" s="3">
        <v>4</v>
      </c>
      <c r="BH19">
        <v>-147.71299999999999</v>
      </c>
      <c r="BI19">
        <v>300.10000000000002</v>
      </c>
      <c r="BJ19">
        <v>-597.76499999999999</v>
      </c>
      <c r="BK19">
        <v>334.5</v>
      </c>
      <c r="BL19">
        <v>0</v>
      </c>
      <c r="BM19">
        <v>-287.97199999999998</v>
      </c>
      <c r="BN19">
        <v>-657</v>
      </c>
      <c r="BO19">
        <v>300.10000000000002</v>
      </c>
      <c r="BP19">
        <v>-2657</v>
      </c>
      <c r="BQ19">
        <v>334.5</v>
      </c>
      <c r="BR19">
        <v>0</v>
      </c>
      <c r="BS19">
        <v>-1280</v>
      </c>
      <c r="BT19">
        <v>0</v>
      </c>
      <c r="BU19">
        <v>100</v>
      </c>
      <c r="BV19">
        <v>0</v>
      </c>
      <c r="BW19">
        <v>0</v>
      </c>
    </row>
    <row r="20" spans="1:75" x14ac:dyDescent="0.25">
      <c r="A20" s="3">
        <v>360</v>
      </c>
      <c r="B20" s="3">
        <v>5</v>
      </c>
      <c r="C20">
        <v>0</v>
      </c>
      <c r="D20">
        <v>0</v>
      </c>
      <c r="E20">
        <v>1.6583472910976179E-3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T20" s="3">
        <v>360</v>
      </c>
      <c r="U20" s="3">
        <v>5</v>
      </c>
      <c r="V20">
        <v>0</v>
      </c>
      <c r="W20">
        <v>0</v>
      </c>
      <c r="X20">
        <v>1.0000000000047751E-3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 s="3">
        <v>360</v>
      </c>
      <c r="AN20" s="3">
        <v>5</v>
      </c>
      <c r="AO20">
        <v>410.072</v>
      </c>
      <c r="AP20">
        <v>311.3</v>
      </c>
      <c r="AQ20">
        <v>-60.3</v>
      </c>
      <c r="AR20">
        <v>358.9</v>
      </c>
      <c r="AS20">
        <v>145.584</v>
      </c>
      <c r="AT20">
        <v>-10.38</v>
      </c>
      <c r="AU20">
        <v>1823</v>
      </c>
      <c r="AV20">
        <v>311.3</v>
      </c>
      <c r="AW20">
        <v>-268</v>
      </c>
      <c r="AX20">
        <v>358.9</v>
      </c>
      <c r="AY20">
        <v>647</v>
      </c>
      <c r="AZ20">
        <v>-46</v>
      </c>
      <c r="BA20">
        <v>73.5</v>
      </c>
      <c r="BB20">
        <v>26.5</v>
      </c>
      <c r="BC20">
        <v>0</v>
      </c>
      <c r="BD20">
        <v>0</v>
      </c>
      <c r="BF20" s="3">
        <v>360</v>
      </c>
      <c r="BG20" s="3">
        <v>5</v>
      </c>
      <c r="BH20">
        <v>410.072</v>
      </c>
      <c r="BI20">
        <v>311.3</v>
      </c>
      <c r="BJ20">
        <v>-60.301000000000002</v>
      </c>
      <c r="BK20">
        <v>358.9</v>
      </c>
      <c r="BL20">
        <v>145.584</v>
      </c>
      <c r="BM20">
        <v>-10.38</v>
      </c>
      <c r="BN20">
        <v>1823</v>
      </c>
      <c r="BO20">
        <v>311.3</v>
      </c>
      <c r="BP20">
        <v>-268</v>
      </c>
      <c r="BQ20">
        <v>358.9</v>
      </c>
      <c r="BR20">
        <v>647</v>
      </c>
      <c r="BS20">
        <v>-46</v>
      </c>
      <c r="BT20">
        <v>73.5</v>
      </c>
      <c r="BU20">
        <v>26.5</v>
      </c>
      <c r="BV20">
        <v>0</v>
      </c>
      <c r="BW20">
        <v>0</v>
      </c>
    </row>
    <row r="21" spans="1:75" x14ac:dyDescent="0.25">
      <c r="A21" s="3">
        <v>360</v>
      </c>
      <c r="B21" s="3">
        <v>6</v>
      </c>
      <c r="C21">
        <v>0</v>
      </c>
      <c r="D21">
        <v>0</v>
      </c>
      <c r="E21">
        <v>0</v>
      </c>
      <c r="F21">
        <v>0</v>
      </c>
      <c r="H21">
        <v>0</v>
      </c>
      <c r="I21">
        <v>0</v>
      </c>
      <c r="J21">
        <v>0</v>
      </c>
      <c r="K21">
        <v>0</v>
      </c>
      <c r="L21">
        <v>0</v>
      </c>
      <c r="N21">
        <v>0</v>
      </c>
      <c r="P21">
        <v>0</v>
      </c>
      <c r="T21" s="3">
        <v>360</v>
      </c>
      <c r="U21" s="3">
        <v>6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 s="3">
        <v>360</v>
      </c>
      <c r="AN21" s="3">
        <v>6</v>
      </c>
      <c r="AO21">
        <v>-71.509</v>
      </c>
      <c r="AP21">
        <v>294.89999999999998</v>
      </c>
      <c r="AQ21">
        <v>-442.125</v>
      </c>
      <c r="AR21">
        <v>330.9</v>
      </c>
      <c r="AS21">
        <v>0</v>
      </c>
      <c r="AT21">
        <v>-262.34899999999999</v>
      </c>
      <c r="AU21">
        <v>-318</v>
      </c>
      <c r="AV21">
        <v>294.89999999999998</v>
      </c>
      <c r="AW21">
        <v>-1965</v>
      </c>
      <c r="AX21">
        <v>330.9</v>
      </c>
      <c r="AY21">
        <v>0</v>
      </c>
      <c r="AZ21">
        <v>-1166</v>
      </c>
      <c r="BA21">
        <v>0</v>
      </c>
      <c r="BB21">
        <v>100</v>
      </c>
      <c r="BC21">
        <v>0</v>
      </c>
      <c r="BD21">
        <v>0</v>
      </c>
      <c r="BF21" s="3">
        <v>360</v>
      </c>
      <c r="BG21" s="3">
        <v>6</v>
      </c>
      <c r="BH21">
        <v>-71.509</v>
      </c>
      <c r="BI21">
        <v>294.89999999999998</v>
      </c>
      <c r="BJ21">
        <v>-442.125</v>
      </c>
      <c r="BK21">
        <v>330.9</v>
      </c>
      <c r="BL21">
        <v>0</v>
      </c>
      <c r="BM21">
        <v>-262.34899999999999</v>
      </c>
      <c r="BN21">
        <v>-318</v>
      </c>
      <c r="BO21">
        <v>294.89999999999998</v>
      </c>
      <c r="BP21">
        <v>-1965</v>
      </c>
      <c r="BQ21">
        <v>330.9</v>
      </c>
      <c r="BR21">
        <v>0</v>
      </c>
      <c r="BS21">
        <v>-1166</v>
      </c>
      <c r="BT21">
        <v>0</v>
      </c>
      <c r="BU21">
        <v>100</v>
      </c>
      <c r="BV21">
        <v>0</v>
      </c>
      <c r="BW21">
        <v>0</v>
      </c>
    </row>
    <row r="22" spans="1:75" x14ac:dyDescent="0.25">
      <c r="A22" s="3">
        <v>360</v>
      </c>
      <c r="B22" s="3">
        <v>7</v>
      </c>
      <c r="C22">
        <v>0</v>
      </c>
      <c r="D22">
        <v>0</v>
      </c>
      <c r="E22">
        <v>2.6454606540011349E-4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T22" s="3">
        <v>360</v>
      </c>
      <c r="U22" s="3">
        <v>7</v>
      </c>
      <c r="V22">
        <v>0</v>
      </c>
      <c r="W22">
        <v>0</v>
      </c>
      <c r="X22">
        <v>9.9999999997635314E-4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 s="3">
        <v>360</v>
      </c>
      <c r="AN22" s="3">
        <v>7</v>
      </c>
      <c r="AO22">
        <v>184.46799999999999</v>
      </c>
      <c r="AP22">
        <v>310.89999999999998</v>
      </c>
      <c r="AQ22">
        <v>-378.005</v>
      </c>
      <c r="AR22">
        <v>356.9</v>
      </c>
      <c r="AS22">
        <v>30.449000000000002</v>
      </c>
      <c r="AT22">
        <v>-157.59399999999999</v>
      </c>
      <c r="AU22">
        <v>264</v>
      </c>
      <c r="AV22">
        <v>310.89999999999998</v>
      </c>
      <c r="AW22">
        <v>-540</v>
      </c>
      <c r="AX22">
        <v>356.9</v>
      </c>
      <c r="AY22">
        <v>43</v>
      </c>
      <c r="AZ22">
        <v>-225</v>
      </c>
      <c r="BA22">
        <v>31</v>
      </c>
      <c r="BB22">
        <v>69</v>
      </c>
      <c r="BC22">
        <v>0</v>
      </c>
      <c r="BD22">
        <v>0</v>
      </c>
      <c r="BF22" s="3">
        <v>360</v>
      </c>
      <c r="BG22" s="3">
        <v>7</v>
      </c>
      <c r="BH22">
        <v>184.46799999999999</v>
      </c>
      <c r="BI22">
        <v>310.89999999999998</v>
      </c>
      <c r="BJ22">
        <v>-378.00599999999997</v>
      </c>
      <c r="BK22">
        <v>356.9</v>
      </c>
      <c r="BL22">
        <v>30.449000000000002</v>
      </c>
      <c r="BM22">
        <v>-157.59399999999999</v>
      </c>
      <c r="BN22">
        <v>264</v>
      </c>
      <c r="BO22">
        <v>310.89999999999998</v>
      </c>
      <c r="BP22">
        <v>-540</v>
      </c>
      <c r="BQ22">
        <v>356.9</v>
      </c>
      <c r="BR22">
        <v>43</v>
      </c>
      <c r="BS22">
        <v>-225</v>
      </c>
      <c r="BT22">
        <v>31</v>
      </c>
      <c r="BU22">
        <v>69</v>
      </c>
      <c r="BV22">
        <v>0</v>
      </c>
      <c r="BW22">
        <v>0</v>
      </c>
    </row>
    <row r="23" spans="1:75" x14ac:dyDescent="0.25">
      <c r="A23" s="3">
        <v>360</v>
      </c>
      <c r="B23" s="3">
        <v>8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T23" s="3">
        <v>360</v>
      </c>
      <c r="U23" s="3">
        <v>8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 s="3">
        <v>360</v>
      </c>
      <c r="AN23" s="3">
        <v>8</v>
      </c>
      <c r="AO23">
        <v>84.039000000000001</v>
      </c>
      <c r="AP23">
        <v>312.89999999999998</v>
      </c>
      <c r="AQ23">
        <v>-113.185</v>
      </c>
      <c r="AR23">
        <v>323.7</v>
      </c>
      <c r="AS23">
        <v>10.787000000000001</v>
      </c>
      <c r="AT23">
        <v>-29.663</v>
      </c>
      <c r="AU23">
        <v>187</v>
      </c>
      <c r="AV23">
        <v>312.89999999999998</v>
      </c>
      <c r="AW23">
        <v>-252</v>
      </c>
      <c r="AX23">
        <v>323.7</v>
      </c>
      <c r="AY23">
        <v>24</v>
      </c>
      <c r="AZ23">
        <v>-66</v>
      </c>
      <c r="BA23">
        <v>30.1</v>
      </c>
      <c r="BB23">
        <v>69.900000000000006</v>
      </c>
      <c r="BC23">
        <v>0</v>
      </c>
      <c r="BD23">
        <v>0</v>
      </c>
      <c r="BF23" s="3">
        <v>360</v>
      </c>
      <c r="BG23" s="3">
        <v>8</v>
      </c>
      <c r="BH23">
        <v>84.039000000000001</v>
      </c>
      <c r="BI23">
        <v>312.89999999999998</v>
      </c>
      <c r="BJ23">
        <v>-113.185</v>
      </c>
      <c r="BK23">
        <v>323.7</v>
      </c>
      <c r="BL23">
        <v>10.787000000000001</v>
      </c>
      <c r="BM23">
        <v>-29.663</v>
      </c>
      <c r="BN23">
        <v>187</v>
      </c>
      <c r="BO23">
        <v>312.89999999999998</v>
      </c>
      <c r="BP23">
        <v>-252</v>
      </c>
      <c r="BQ23">
        <v>323.7</v>
      </c>
      <c r="BR23">
        <v>24</v>
      </c>
      <c r="BS23">
        <v>-66</v>
      </c>
      <c r="BT23">
        <v>30.1</v>
      </c>
      <c r="BU23">
        <v>69.900000000000006</v>
      </c>
      <c r="BV23">
        <v>0</v>
      </c>
      <c r="BW23">
        <v>0</v>
      </c>
    </row>
    <row r="24" spans="1:75" x14ac:dyDescent="0.25">
      <c r="A24" s="3">
        <v>360</v>
      </c>
      <c r="B24" s="3">
        <v>9</v>
      </c>
      <c r="C24">
        <v>0</v>
      </c>
      <c r="D24">
        <v>0</v>
      </c>
      <c r="E24">
        <v>2.368775745575371E-4</v>
      </c>
      <c r="F24">
        <v>0</v>
      </c>
      <c r="G24">
        <v>0</v>
      </c>
      <c r="H24">
        <v>7.2910211075409201E-4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T24" s="3">
        <v>360</v>
      </c>
      <c r="U24" s="3">
        <v>9</v>
      </c>
      <c r="V24">
        <v>0</v>
      </c>
      <c r="W24">
        <v>0</v>
      </c>
      <c r="X24">
        <v>9.9999999997635314E-4</v>
      </c>
      <c r="Y24">
        <v>0</v>
      </c>
      <c r="Z24">
        <v>0</v>
      </c>
      <c r="AA24">
        <v>1.0000000000047751E-3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 s="3">
        <v>360</v>
      </c>
      <c r="AN24" s="3">
        <v>9</v>
      </c>
      <c r="AO24">
        <v>116.408</v>
      </c>
      <c r="AP24">
        <v>308.5</v>
      </c>
      <c r="AQ24">
        <v>-422.15800000000002</v>
      </c>
      <c r="AR24">
        <v>356.9</v>
      </c>
      <c r="AS24">
        <v>28.885000000000002</v>
      </c>
      <c r="AT24">
        <v>-137.154</v>
      </c>
      <c r="AU24">
        <v>166</v>
      </c>
      <c r="AV24">
        <v>308.5</v>
      </c>
      <c r="AW24">
        <v>-603</v>
      </c>
      <c r="AX24">
        <v>356.9</v>
      </c>
      <c r="AY24">
        <v>41</v>
      </c>
      <c r="AZ24">
        <v>-196</v>
      </c>
      <c r="BA24">
        <v>37.6</v>
      </c>
      <c r="BB24">
        <v>62.4</v>
      </c>
      <c r="BC24">
        <v>0</v>
      </c>
      <c r="BD24">
        <v>0</v>
      </c>
      <c r="BF24" s="3">
        <v>360</v>
      </c>
      <c r="BG24" s="3">
        <v>9</v>
      </c>
      <c r="BH24">
        <v>116.408</v>
      </c>
      <c r="BI24">
        <v>308.5</v>
      </c>
      <c r="BJ24">
        <v>-422.15899999999999</v>
      </c>
      <c r="BK24">
        <v>356.9</v>
      </c>
      <c r="BL24">
        <v>28.885000000000002</v>
      </c>
      <c r="BM24">
        <v>-137.155</v>
      </c>
      <c r="BN24">
        <v>166</v>
      </c>
      <c r="BO24">
        <v>308.5</v>
      </c>
      <c r="BP24">
        <v>-603</v>
      </c>
      <c r="BQ24">
        <v>356.9</v>
      </c>
      <c r="BR24">
        <v>41</v>
      </c>
      <c r="BS24">
        <v>-196</v>
      </c>
      <c r="BT24">
        <v>37.6</v>
      </c>
      <c r="BU24">
        <v>62.4</v>
      </c>
      <c r="BV24">
        <v>0</v>
      </c>
      <c r="BW24">
        <v>0</v>
      </c>
    </row>
    <row r="25" spans="1:75" x14ac:dyDescent="0.25">
      <c r="A25" s="3">
        <v>360</v>
      </c>
      <c r="B25" s="3">
        <v>10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T25" s="3">
        <v>360</v>
      </c>
      <c r="U25" s="3">
        <v>10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 s="3">
        <v>360</v>
      </c>
      <c r="AN25" s="3">
        <v>10</v>
      </c>
      <c r="AO25">
        <v>103.28700000000001</v>
      </c>
      <c r="AP25">
        <v>283.7</v>
      </c>
      <c r="AQ25">
        <v>-84.64</v>
      </c>
      <c r="AR25">
        <v>348.5</v>
      </c>
      <c r="AS25">
        <v>23.988</v>
      </c>
      <c r="AT25">
        <v>-14.487</v>
      </c>
      <c r="AU25">
        <v>230</v>
      </c>
      <c r="AV25">
        <v>283.7</v>
      </c>
      <c r="AW25">
        <v>-188</v>
      </c>
      <c r="AX25">
        <v>348.5</v>
      </c>
      <c r="AY25">
        <v>53</v>
      </c>
      <c r="AZ25">
        <v>-32</v>
      </c>
      <c r="BA25">
        <v>58.4</v>
      </c>
      <c r="BB25">
        <v>41.6</v>
      </c>
      <c r="BC25">
        <v>0</v>
      </c>
      <c r="BD25">
        <v>0</v>
      </c>
      <c r="BF25" s="3">
        <v>360</v>
      </c>
      <c r="BG25" s="3">
        <v>10</v>
      </c>
      <c r="BH25">
        <v>103.28700000000001</v>
      </c>
      <c r="BI25">
        <v>283.7</v>
      </c>
      <c r="BJ25">
        <v>-84.64</v>
      </c>
      <c r="BK25">
        <v>348.5</v>
      </c>
      <c r="BL25">
        <v>23.988</v>
      </c>
      <c r="BM25">
        <v>-14.487</v>
      </c>
      <c r="BN25">
        <v>230</v>
      </c>
      <c r="BO25">
        <v>283.7</v>
      </c>
      <c r="BP25">
        <v>-188</v>
      </c>
      <c r="BQ25">
        <v>348.5</v>
      </c>
      <c r="BR25">
        <v>53</v>
      </c>
      <c r="BS25">
        <v>-32</v>
      </c>
      <c r="BT25">
        <v>58.4</v>
      </c>
      <c r="BU25">
        <v>41.6</v>
      </c>
      <c r="BV25">
        <v>0</v>
      </c>
      <c r="BW25">
        <v>0</v>
      </c>
    </row>
    <row r="26" spans="1:75" x14ac:dyDescent="0.25">
      <c r="A26" s="3">
        <v>360</v>
      </c>
      <c r="B26" s="3">
        <v>11</v>
      </c>
      <c r="C26">
        <v>7.6705351732756627E-4</v>
      </c>
      <c r="D26">
        <v>0</v>
      </c>
      <c r="E26">
        <v>0</v>
      </c>
      <c r="F26">
        <v>0</v>
      </c>
      <c r="G26">
        <v>2.63803519140205E-3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T26" s="3">
        <v>360</v>
      </c>
      <c r="U26" s="3">
        <v>11</v>
      </c>
      <c r="V26">
        <v>1.0000000000047751E-3</v>
      </c>
      <c r="W26">
        <v>0</v>
      </c>
      <c r="X26">
        <v>0</v>
      </c>
      <c r="Y26">
        <v>0</v>
      </c>
      <c r="Z26">
        <v>1.0000000000047751E-3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 s="3">
        <v>360</v>
      </c>
      <c r="AN26" s="3">
        <v>11</v>
      </c>
      <c r="AO26">
        <v>130.37</v>
      </c>
      <c r="AP26">
        <v>294.89999999999998</v>
      </c>
      <c r="AQ26">
        <v>-430.60700000000003</v>
      </c>
      <c r="AR26">
        <v>351.7</v>
      </c>
      <c r="AS26">
        <v>37.908000000000001</v>
      </c>
      <c r="AT26">
        <v>-136.67699999999999</v>
      </c>
      <c r="AU26">
        <v>186</v>
      </c>
      <c r="AV26">
        <v>294.89999999999998</v>
      </c>
      <c r="AW26">
        <v>-615</v>
      </c>
      <c r="AX26">
        <v>351.7</v>
      </c>
      <c r="AY26">
        <v>54</v>
      </c>
      <c r="AZ26">
        <v>-195</v>
      </c>
      <c r="BA26">
        <v>42.5</v>
      </c>
      <c r="BB26">
        <v>57.5</v>
      </c>
      <c r="BC26">
        <v>0</v>
      </c>
      <c r="BD26">
        <v>0</v>
      </c>
      <c r="BF26" s="3">
        <v>360</v>
      </c>
      <c r="BG26" s="3">
        <v>11</v>
      </c>
      <c r="BH26">
        <v>130.369</v>
      </c>
      <c r="BI26">
        <v>294.89999999999998</v>
      </c>
      <c r="BJ26">
        <v>-430.60700000000003</v>
      </c>
      <c r="BK26">
        <v>351.7</v>
      </c>
      <c r="BL26">
        <v>37.906999999999996</v>
      </c>
      <c r="BM26">
        <v>-136.67699999999999</v>
      </c>
      <c r="BN26">
        <v>186</v>
      </c>
      <c r="BO26">
        <v>294.89999999999998</v>
      </c>
      <c r="BP26">
        <v>-615</v>
      </c>
      <c r="BQ26">
        <v>351.7</v>
      </c>
      <c r="BR26">
        <v>54</v>
      </c>
      <c r="BS26">
        <v>-195</v>
      </c>
      <c r="BT26">
        <v>42.5</v>
      </c>
      <c r="BU26">
        <v>57.5</v>
      </c>
      <c r="BV26">
        <v>0</v>
      </c>
      <c r="BW26">
        <v>0</v>
      </c>
    </row>
    <row r="27" spans="1:75" x14ac:dyDescent="0.25">
      <c r="A27" s="3">
        <v>360</v>
      </c>
      <c r="B27" s="3">
        <v>12</v>
      </c>
      <c r="C27">
        <v>7.6705351732756627E-4</v>
      </c>
      <c r="D27">
        <v>0</v>
      </c>
      <c r="E27">
        <v>0</v>
      </c>
      <c r="F27">
        <v>0</v>
      </c>
      <c r="G27">
        <v>2.63803519140205E-3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T27" s="3">
        <v>360</v>
      </c>
      <c r="U27" s="3">
        <v>12</v>
      </c>
      <c r="V27">
        <v>1.0000000000047751E-3</v>
      </c>
      <c r="W27">
        <v>0</v>
      </c>
      <c r="X27">
        <v>0</v>
      </c>
      <c r="Y27">
        <v>0</v>
      </c>
      <c r="Z27">
        <v>1.0000000000047751E-3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 s="3">
        <v>360</v>
      </c>
      <c r="AN27" s="3">
        <v>12</v>
      </c>
      <c r="AO27">
        <v>130.37</v>
      </c>
      <c r="AP27">
        <v>294.89999999999998</v>
      </c>
      <c r="AQ27">
        <v>-430.60700000000003</v>
      </c>
      <c r="AR27">
        <v>351.7</v>
      </c>
      <c r="AS27">
        <v>37.908000000000001</v>
      </c>
      <c r="AT27">
        <v>-136.67699999999999</v>
      </c>
      <c r="AU27">
        <v>326</v>
      </c>
      <c r="AV27">
        <v>294.89999999999998</v>
      </c>
      <c r="AW27">
        <v>-1077</v>
      </c>
      <c r="AX27">
        <v>351.7</v>
      </c>
      <c r="AY27">
        <v>95</v>
      </c>
      <c r="AZ27">
        <v>-342</v>
      </c>
      <c r="BA27">
        <v>42.5</v>
      </c>
      <c r="BB27">
        <v>57.5</v>
      </c>
      <c r="BC27">
        <v>0</v>
      </c>
      <c r="BD27">
        <v>0</v>
      </c>
      <c r="BF27" s="3">
        <v>360</v>
      </c>
      <c r="BG27" s="3">
        <v>12</v>
      </c>
      <c r="BH27">
        <v>130.369</v>
      </c>
      <c r="BI27">
        <v>294.89999999999998</v>
      </c>
      <c r="BJ27">
        <v>-430.60700000000003</v>
      </c>
      <c r="BK27">
        <v>351.7</v>
      </c>
      <c r="BL27">
        <v>37.906999999999996</v>
      </c>
      <c r="BM27">
        <v>-136.67699999999999</v>
      </c>
      <c r="BN27">
        <v>326</v>
      </c>
      <c r="BO27">
        <v>294.89999999999998</v>
      </c>
      <c r="BP27">
        <v>-1077</v>
      </c>
      <c r="BQ27">
        <v>351.7</v>
      </c>
      <c r="BR27">
        <v>95</v>
      </c>
      <c r="BS27">
        <v>-342</v>
      </c>
      <c r="BT27">
        <v>42.5</v>
      </c>
      <c r="BU27">
        <v>57.5</v>
      </c>
      <c r="BV27">
        <v>0</v>
      </c>
      <c r="BW27">
        <v>0</v>
      </c>
    </row>
    <row r="28" spans="1:75" x14ac:dyDescent="0.25">
      <c r="A28" s="3">
        <v>360</v>
      </c>
      <c r="B28" s="3">
        <v>13</v>
      </c>
      <c r="C28">
        <v>0</v>
      </c>
      <c r="D28">
        <v>0</v>
      </c>
      <c r="E28">
        <v>0</v>
      </c>
      <c r="F28">
        <v>0</v>
      </c>
      <c r="H28">
        <v>0</v>
      </c>
      <c r="I28">
        <v>0</v>
      </c>
      <c r="J28">
        <v>0</v>
      </c>
      <c r="K28">
        <v>0</v>
      </c>
      <c r="L28">
        <v>0</v>
      </c>
      <c r="N28">
        <v>0</v>
      </c>
      <c r="P28">
        <v>0</v>
      </c>
      <c r="T28" s="3">
        <v>360</v>
      </c>
      <c r="U28" s="3">
        <v>13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 s="3">
        <v>360</v>
      </c>
      <c r="AN28" s="3">
        <v>13</v>
      </c>
      <c r="AO28">
        <v>-2.3969999999999998</v>
      </c>
      <c r="AP28">
        <v>294.89999999999998</v>
      </c>
      <c r="AQ28">
        <v>-561.83199999999999</v>
      </c>
      <c r="AR28">
        <v>352.1</v>
      </c>
      <c r="AS28">
        <v>0</v>
      </c>
      <c r="AT28">
        <v>-235.59100000000001</v>
      </c>
      <c r="AU28">
        <v>-6</v>
      </c>
      <c r="AV28">
        <v>294.89999999999998</v>
      </c>
      <c r="AW28">
        <v>-1405</v>
      </c>
      <c r="AX28">
        <v>352.1</v>
      </c>
      <c r="AY28">
        <v>0</v>
      </c>
      <c r="AZ28">
        <v>-589</v>
      </c>
      <c r="BA28">
        <v>0</v>
      </c>
      <c r="BB28">
        <v>100</v>
      </c>
      <c r="BC28">
        <v>0</v>
      </c>
      <c r="BD28">
        <v>0</v>
      </c>
      <c r="BF28" s="3">
        <v>360</v>
      </c>
      <c r="BG28" s="3">
        <v>13</v>
      </c>
      <c r="BH28">
        <v>-2.3969999999999998</v>
      </c>
      <c r="BI28">
        <v>294.89999999999998</v>
      </c>
      <c r="BJ28">
        <v>-561.83199999999999</v>
      </c>
      <c r="BK28">
        <v>352.1</v>
      </c>
      <c r="BL28">
        <v>0</v>
      </c>
      <c r="BM28">
        <v>-235.59100000000001</v>
      </c>
      <c r="BN28">
        <v>-6</v>
      </c>
      <c r="BO28">
        <v>294.89999999999998</v>
      </c>
      <c r="BP28">
        <v>-1405</v>
      </c>
      <c r="BQ28">
        <v>352.1</v>
      </c>
      <c r="BR28">
        <v>0</v>
      </c>
      <c r="BS28">
        <v>-589</v>
      </c>
      <c r="BT28">
        <v>0</v>
      </c>
      <c r="BU28">
        <v>100</v>
      </c>
      <c r="BV28">
        <v>0</v>
      </c>
      <c r="BW28">
        <v>0</v>
      </c>
    </row>
    <row r="29" spans="1:75" x14ac:dyDescent="0.25">
      <c r="A29" s="3">
        <v>360</v>
      </c>
      <c r="B29" s="3">
        <v>14</v>
      </c>
      <c r="C29">
        <v>0</v>
      </c>
      <c r="D29">
        <v>0</v>
      </c>
      <c r="E29">
        <v>0</v>
      </c>
      <c r="F29">
        <v>0</v>
      </c>
      <c r="H29">
        <v>0</v>
      </c>
      <c r="I29">
        <v>0</v>
      </c>
      <c r="J29">
        <v>0</v>
      </c>
      <c r="K29">
        <v>0</v>
      </c>
      <c r="L29">
        <v>0</v>
      </c>
      <c r="N29">
        <v>0</v>
      </c>
      <c r="P29">
        <v>0</v>
      </c>
      <c r="T29" s="3">
        <v>360</v>
      </c>
      <c r="U29" s="3">
        <v>14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 s="3">
        <v>360</v>
      </c>
      <c r="AN29" s="3">
        <v>14</v>
      </c>
      <c r="AO29">
        <v>-2.3969999999999998</v>
      </c>
      <c r="AP29">
        <v>294.89999999999998</v>
      </c>
      <c r="AQ29">
        <v>-561.83199999999999</v>
      </c>
      <c r="AR29">
        <v>352.1</v>
      </c>
      <c r="AS29">
        <v>0</v>
      </c>
      <c r="AT29">
        <v>-235.59100000000001</v>
      </c>
      <c r="AU29">
        <v>-3</v>
      </c>
      <c r="AV29">
        <v>294.89999999999998</v>
      </c>
      <c r="AW29">
        <v>-803</v>
      </c>
      <c r="AX29">
        <v>352.1</v>
      </c>
      <c r="AY29">
        <v>0</v>
      </c>
      <c r="AZ29">
        <v>-337</v>
      </c>
      <c r="BA29">
        <v>0</v>
      </c>
      <c r="BB29">
        <v>100</v>
      </c>
      <c r="BC29">
        <v>0</v>
      </c>
      <c r="BD29">
        <v>0</v>
      </c>
      <c r="BF29" s="3">
        <v>360</v>
      </c>
      <c r="BG29" s="3">
        <v>14</v>
      </c>
      <c r="BH29">
        <v>-2.3969999999999998</v>
      </c>
      <c r="BI29">
        <v>294.89999999999998</v>
      </c>
      <c r="BJ29">
        <v>-561.83199999999999</v>
      </c>
      <c r="BK29">
        <v>352.1</v>
      </c>
      <c r="BL29">
        <v>0</v>
      </c>
      <c r="BM29">
        <v>-235.59100000000001</v>
      </c>
      <c r="BN29">
        <v>-3</v>
      </c>
      <c r="BO29">
        <v>294.89999999999998</v>
      </c>
      <c r="BP29">
        <v>-803</v>
      </c>
      <c r="BQ29">
        <v>352.1</v>
      </c>
      <c r="BR29">
        <v>0</v>
      </c>
      <c r="BS29">
        <v>-337</v>
      </c>
      <c r="BT29">
        <v>0</v>
      </c>
      <c r="BU29">
        <v>100</v>
      </c>
      <c r="BV29">
        <v>0</v>
      </c>
      <c r="BW29">
        <v>0</v>
      </c>
    </row>
    <row r="30" spans="1:75" x14ac:dyDescent="0.25">
      <c r="A30" s="3">
        <v>360</v>
      </c>
      <c r="B30" s="3">
        <v>103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T30" s="3">
        <v>360</v>
      </c>
      <c r="U30" s="3">
        <v>103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 s="3">
        <v>360</v>
      </c>
      <c r="AN30" s="3">
        <v>103</v>
      </c>
      <c r="AO30">
        <v>259.94400000000002</v>
      </c>
      <c r="AP30">
        <v>301.7</v>
      </c>
      <c r="AQ30">
        <v>-94.028999999999996</v>
      </c>
      <c r="AR30">
        <v>312.89999999999998</v>
      </c>
      <c r="AS30">
        <v>50.991</v>
      </c>
      <c r="AT30">
        <v>-19.885999999999999</v>
      </c>
      <c r="AU30">
        <v>1300</v>
      </c>
      <c r="AV30">
        <v>301.7</v>
      </c>
      <c r="AW30">
        <v>-470</v>
      </c>
      <c r="AX30">
        <v>312.89999999999998</v>
      </c>
      <c r="AY30">
        <v>255</v>
      </c>
      <c r="AZ30">
        <v>-99</v>
      </c>
      <c r="BA30">
        <v>55.8</v>
      </c>
      <c r="BB30">
        <v>44.2</v>
      </c>
      <c r="BC30">
        <v>1000</v>
      </c>
      <c r="BD30">
        <v>8</v>
      </c>
      <c r="BF30" s="3">
        <v>360</v>
      </c>
      <c r="BG30" s="3">
        <v>103</v>
      </c>
      <c r="BH30">
        <v>259.94400000000002</v>
      </c>
      <c r="BI30">
        <v>301.7</v>
      </c>
      <c r="BJ30">
        <v>-94.028999999999996</v>
      </c>
      <c r="BK30">
        <v>312.89999999999998</v>
      </c>
      <c r="BL30">
        <v>50.991</v>
      </c>
      <c r="BM30">
        <v>-19.885999999999999</v>
      </c>
      <c r="BN30">
        <v>1300</v>
      </c>
      <c r="BO30">
        <v>301.7</v>
      </c>
      <c r="BP30">
        <v>-470</v>
      </c>
      <c r="BQ30">
        <v>312.89999999999998</v>
      </c>
      <c r="BR30">
        <v>255</v>
      </c>
      <c r="BS30">
        <v>-99</v>
      </c>
      <c r="BT30">
        <v>55.8</v>
      </c>
      <c r="BU30">
        <v>44.2</v>
      </c>
      <c r="BV30">
        <v>1000</v>
      </c>
      <c r="BW30">
        <v>8</v>
      </c>
    </row>
    <row r="31" spans="1:75" x14ac:dyDescent="0.25">
      <c r="A31" s="3">
        <v>360</v>
      </c>
      <c r="B31" s="3">
        <v>104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T31" s="3">
        <v>360</v>
      </c>
      <c r="U31" s="3">
        <v>104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 s="3">
        <v>360</v>
      </c>
      <c r="AN31" s="3">
        <v>104</v>
      </c>
      <c r="AO31">
        <v>126.051</v>
      </c>
      <c r="AP31">
        <v>325.7</v>
      </c>
      <c r="AQ31">
        <v>-186.03200000000001</v>
      </c>
      <c r="AR31">
        <v>334.9</v>
      </c>
      <c r="AS31">
        <v>17.553000000000001</v>
      </c>
      <c r="AT31">
        <v>-43.177</v>
      </c>
      <c r="AU31">
        <v>950</v>
      </c>
      <c r="AV31">
        <v>325.7</v>
      </c>
      <c r="AW31">
        <v>-1402</v>
      </c>
      <c r="AX31">
        <v>334.9</v>
      </c>
      <c r="AY31">
        <v>132</v>
      </c>
      <c r="AZ31">
        <v>-325</v>
      </c>
      <c r="BA31">
        <v>28.8</v>
      </c>
      <c r="BB31">
        <v>71.2</v>
      </c>
      <c r="BC31">
        <v>1000</v>
      </c>
      <c r="BD31">
        <v>15.9</v>
      </c>
      <c r="BF31" s="3">
        <v>360</v>
      </c>
      <c r="BG31" s="3">
        <v>104</v>
      </c>
      <c r="BH31">
        <v>126.051</v>
      </c>
      <c r="BI31">
        <v>325.7</v>
      </c>
      <c r="BJ31">
        <v>-186.03200000000001</v>
      </c>
      <c r="BK31">
        <v>334.9</v>
      </c>
      <c r="BL31">
        <v>17.553000000000001</v>
      </c>
      <c r="BM31">
        <v>-43.177</v>
      </c>
      <c r="BN31">
        <v>950</v>
      </c>
      <c r="BO31">
        <v>325.7</v>
      </c>
      <c r="BP31">
        <v>-1402</v>
      </c>
      <c r="BQ31">
        <v>334.9</v>
      </c>
      <c r="BR31">
        <v>132</v>
      </c>
      <c r="BS31">
        <v>-325</v>
      </c>
      <c r="BT31">
        <v>28.8</v>
      </c>
      <c r="BU31">
        <v>71.2</v>
      </c>
      <c r="BV31">
        <v>1000</v>
      </c>
      <c r="BW31">
        <v>15.9</v>
      </c>
    </row>
    <row r="32" spans="1:75" x14ac:dyDescent="0.25">
      <c r="A32" s="3">
        <v>360</v>
      </c>
      <c r="B32" s="3">
        <v>110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T32" s="3">
        <v>360</v>
      </c>
      <c r="U32" s="3">
        <v>110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 s="3">
        <v>360</v>
      </c>
      <c r="AN32" s="3">
        <v>110</v>
      </c>
      <c r="AO32">
        <v>85.367000000000004</v>
      </c>
      <c r="AP32">
        <v>348.9</v>
      </c>
      <c r="AQ32">
        <v>-117.33199999999999</v>
      </c>
      <c r="AR32">
        <v>287.3</v>
      </c>
      <c r="AS32">
        <v>19.501000000000001</v>
      </c>
      <c r="AT32">
        <v>-47.877000000000002</v>
      </c>
      <c r="AU32">
        <v>885</v>
      </c>
      <c r="AV32">
        <v>348.9</v>
      </c>
      <c r="AW32">
        <v>-1216</v>
      </c>
      <c r="AX32">
        <v>287.3</v>
      </c>
      <c r="AY32">
        <v>202</v>
      </c>
      <c r="AZ32">
        <v>-496</v>
      </c>
      <c r="BA32">
        <v>33.6</v>
      </c>
      <c r="BB32">
        <v>66.400000000000006</v>
      </c>
      <c r="BC32">
        <v>1000</v>
      </c>
      <c r="BD32">
        <v>0</v>
      </c>
      <c r="BF32" s="3">
        <v>360</v>
      </c>
      <c r="BG32" s="3">
        <v>110</v>
      </c>
      <c r="BH32">
        <v>85.367000000000004</v>
      </c>
      <c r="BI32">
        <v>348.9</v>
      </c>
      <c r="BJ32">
        <v>-117.33199999999999</v>
      </c>
      <c r="BK32">
        <v>287.3</v>
      </c>
      <c r="BL32">
        <v>19.501000000000001</v>
      </c>
      <c r="BM32">
        <v>-47.877000000000002</v>
      </c>
      <c r="BN32">
        <v>885</v>
      </c>
      <c r="BO32">
        <v>348.9</v>
      </c>
      <c r="BP32">
        <v>-1216</v>
      </c>
      <c r="BQ32">
        <v>287.3</v>
      </c>
      <c r="BR32">
        <v>202</v>
      </c>
      <c r="BS32">
        <v>-496</v>
      </c>
      <c r="BT32">
        <v>33.6</v>
      </c>
      <c r="BU32">
        <v>66.400000000000006</v>
      </c>
      <c r="BV32">
        <v>1000</v>
      </c>
      <c r="BW32">
        <v>0</v>
      </c>
    </row>
    <row r="33" spans="1:75" x14ac:dyDescent="0.25">
      <c r="A33" s="3">
        <v>360</v>
      </c>
      <c r="B33" s="3">
        <v>114</v>
      </c>
      <c r="C33">
        <v>0</v>
      </c>
      <c r="D33">
        <v>0</v>
      </c>
      <c r="E33">
        <v>0</v>
      </c>
      <c r="F33">
        <v>0</v>
      </c>
      <c r="G33">
        <v>7.3088195525889657E-4</v>
      </c>
      <c r="I33">
        <v>0</v>
      </c>
      <c r="J33">
        <v>0</v>
      </c>
      <c r="K33">
        <v>0</v>
      </c>
      <c r="L33">
        <v>0</v>
      </c>
      <c r="M33">
        <v>0</v>
      </c>
      <c r="O33">
        <v>0</v>
      </c>
      <c r="Q33">
        <v>0</v>
      </c>
      <c r="R33">
        <v>0</v>
      </c>
      <c r="T33" s="3">
        <v>360</v>
      </c>
      <c r="U33" s="3">
        <v>114</v>
      </c>
      <c r="V33">
        <v>0</v>
      </c>
      <c r="W33">
        <v>0</v>
      </c>
      <c r="X33">
        <v>0</v>
      </c>
      <c r="Y33">
        <v>0</v>
      </c>
      <c r="Z33">
        <v>1.0000000000047751E-3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 s="3">
        <v>360</v>
      </c>
      <c r="AN33" s="3">
        <v>114</v>
      </c>
      <c r="AO33">
        <v>144.90199999999999</v>
      </c>
      <c r="AP33">
        <v>341.7</v>
      </c>
      <c r="AQ33">
        <v>118.322</v>
      </c>
      <c r="AR33">
        <v>290.10000000000002</v>
      </c>
      <c r="AS33">
        <v>136.822</v>
      </c>
      <c r="AT33">
        <v>0</v>
      </c>
      <c r="AU33">
        <v>966</v>
      </c>
      <c r="AV33">
        <v>341.7</v>
      </c>
      <c r="AW33">
        <v>789</v>
      </c>
      <c r="AX33">
        <v>290.10000000000002</v>
      </c>
      <c r="AY33">
        <v>912</v>
      </c>
      <c r="AZ33">
        <v>0</v>
      </c>
      <c r="BA33">
        <v>100</v>
      </c>
      <c r="BB33">
        <v>0</v>
      </c>
      <c r="BC33">
        <v>1000</v>
      </c>
      <c r="BD33">
        <v>92.9</v>
      </c>
      <c r="BF33" s="3">
        <v>360</v>
      </c>
      <c r="BG33" s="3">
        <v>114</v>
      </c>
      <c r="BH33">
        <v>144.90199999999999</v>
      </c>
      <c r="BI33">
        <v>341.7</v>
      </c>
      <c r="BJ33">
        <v>118.322</v>
      </c>
      <c r="BK33">
        <v>290.10000000000002</v>
      </c>
      <c r="BL33">
        <v>136.821</v>
      </c>
      <c r="BM33">
        <v>0</v>
      </c>
      <c r="BN33">
        <v>966</v>
      </c>
      <c r="BO33">
        <v>341.7</v>
      </c>
      <c r="BP33">
        <v>789</v>
      </c>
      <c r="BQ33">
        <v>290.10000000000002</v>
      </c>
      <c r="BR33">
        <v>912</v>
      </c>
      <c r="BS33">
        <v>0</v>
      </c>
      <c r="BT33">
        <v>100</v>
      </c>
      <c r="BU33">
        <v>0</v>
      </c>
      <c r="BV33">
        <v>1000</v>
      </c>
      <c r="BW33">
        <v>92.9</v>
      </c>
    </row>
    <row r="34" spans="1:75" x14ac:dyDescent="0.25">
      <c r="A34" s="3">
        <v>450</v>
      </c>
      <c r="B34" s="3">
        <v>1</v>
      </c>
      <c r="C34">
        <v>0</v>
      </c>
      <c r="D34">
        <v>0</v>
      </c>
      <c r="E34">
        <v>3.8454143434002012E-3</v>
      </c>
      <c r="F34">
        <v>0</v>
      </c>
      <c r="G34">
        <v>6.0186940637907828E-4</v>
      </c>
      <c r="I34">
        <v>0</v>
      </c>
      <c r="J34">
        <v>0</v>
      </c>
      <c r="K34">
        <v>0</v>
      </c>
      <c r="L34">
        <v>0</v>
      </c>
      <c r="M34">
        <v>0</v>
      </c>
      <c r="O34">
        <v>0</v>
      </c>
      <c r="T34" s="3">
        <v>450</v>
      </c>
      <c r="U34" s="3">
        <v>1</v>
      </c>
      <c r="V34">
        <v>0</v>
      </c>
      <c r="W34">
        <v>0</v>
      </c>
      <c r="X34">
        <v>1.0000000000012219E-3</v>
      </c>
      <c r="Y34">
        <v>0</v>
      </c>
      <c r="Z34">
        <v>1.0000000000047751E-3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 s="3">
        <v>450</v>
      </c>
      <c r="AN34" s="3">
        <v>1</v>
      </c>
      <c r="AO34">
        <v>447.51900000000001</v>
      </c>
      <c r="AP34">
        <v>392.1</v>
      </c>
      <c r="AQ34">
        <v>26.006</v>
      </c>
      <c r="AR34">
        <v>367.7</v>
      </c>
      <c r="AS34">
        <v>166.15</v>
      </c>
      <c r="AT34">
        <v>0</v>
      </c>
      <c r="AU34">
        <v>1492</v>
      </c>
      <c r="AV34">
        <v>392.1</v>
      </c>
      <c r="AW34">
        <v>87</v>
      </c>
      <c r="AX34">
        <v>367.7</v>
      </c>
      <c r="AY34">
        <v>554</v>
      </c>
      <c r="AZ34">
        <v>0</v>
      </c>
      <c r="BA34">
        <v>100</v>
      </c>
      <c r="BB34">
        <v>0</v>
      </c>
      <c r="BC34">
        <v>0</v>
      </c>
      <c r="BD34">
        <v>0</v>
      </c>
      <c r="BF34" s="3">
        <v>450</v>
      </c>
      <c r="BG34" s="3">
        <v>1</v>
      </c>
      <c r="BH34">
        <v>447.51900000000001</v>
      </c>
      <c r="BI34">
        <v>392.1</v>
      </c>
      <c r="BJ34">
        <v>26.004999999999999</v>
      </c>
      <c r="BK34">
        <v>367.7</v>
      </c>
      <c r="BL34">
        <v>166.149</v>
      </c>
      <c r="BM34">
        <v>0</v>
      </c>
      <c r="BN34">
        <v>1492</v>
      </c>
      <c r="BO34">
        <v>392.1</v>
      </c>
      <c r="BP34">
        <v>87</v>
      </c>
      <c r="BQ34">
        <v>367.7</v>
      </c>
      <c r="BR34">
        <v>554</v>
      </c>
      <c r="BS34">
        <v>0</v>
      </c>
      <c r="BT34">
        <v>100</v>
      </c>
      <c r="BU34">
        <v>0</v>
      </c>
      <c r="BV34">
        <v>0</v>
      </c>
      <c r="BW34">
        <v>0</v>
      </c>
    </row>
    <row r="35" spans="1:75" x14ac:dyDescent="0.25">
      <c r="A35" s="3">
        <v>450</v>
      </c>
      <c r="B35" s="3">
        <v>2</v>
      </c>
      <c r="C35">
        <v>0</v>
      </c>
      <c r="D35">
        <v>0</v>
      </c>
      <c r="E35">
        <v>3.8454143434002012E-3</v>
      </c>
      <c r="F35">
        <v>0</v>
      </c>
      <c r="G35">
        <v>6.0186940637907828E-4</v>
      </c>
      <c r="I35">
        <v>0</v>
      </c>
      <c r="J35">
        <v>0</v>
      </c>
      <c r="K35">
        <v>0</v>
      </c>
      <c r="L35">
        <v>0</v>
      </c>
      <c r="M35">
        <v>0</v>
      </c>
      <c r="O35">
        <v>0</v>
      </c>
      <c r="T35" s="3">
        <v>450</v>
      </c>
      <c r="U35" s="3">
        <v>2</v>
      </c>
      <c r="V35">
        <v>0</v>
      </c>
      <c r="W35">
        <v>0</v>
      </c>
      <c r="X35">
        <v>1.0000000000012219E-3</v>
      </c>
      <c r="Y35">
        <v>0</v>
      </c>
      <c r="Z35">
        <v>1.0000000000047751E-3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 s="3">
        <v>450</v>
      </c>
      <c r="AN35" s="3">
        <v>2</v>
      </c>
      <c r="AO35">
        <v>447.51900000000001</v>
      </c>
      <c r="AP35">
        <v>392.1</v>
      </c>
      <c r="AQ35">
        <v>26.006</v>
      </c>
      <c r="AR35">
        <v>367.7</v>
      </c>
      <c r="AS35">
        <v>166.15</v>
      </c>
      <c r="AT35">
        <v>0</v>
      </c>
      <c r="AU35">
        <v>1790</v>
      </c>
      <c r="AV35">
        <v>392.1</v>
      </c>
      <c r="AW35">
        <v>104</v>
      </c>
      <c r="AX35">
        <v>367.7</v>
      </c>
      <c r="AY35">
        <v>665</v>
      </c>
      <c r="AZ35">
        <v>0</v>
      </c>
      <c r="BA35">
        <v>100</v>
      </c>
      <c r="BB35">
        <v>0</v>
      </c>
      <c r="BC35">
        <v>0</v>
      </c>
      <c r="BD35">
        <v>0</v>
      </c>
      <c r="BF35" s="3">
        <v>450</v>
      </c>
      <c r="BG35" s="3">
        <v>2</v>
      </c>
      <c r="BH35">
        <v>447.51900000000001</v>
      </c>
      <c r="BI35">
        <v>392.1</v>
      </c>
      <c r="BJ35">
        <v>26.004999999999999</v>
      </c>
      <c r="BK35">
        <v>367.7</v>
      </c>
      <c r="BL35">
        <v>166.149</v>
      </c>
      <c r="BM35">
        <v>0</v>
      </c>
      <c r="BN35">
        <v>1790</v>
      </c>
      <c r="BO35">
        <v>392.1</v>
      </c>
      <c r="BP35">
        <v>104</v>
      </c>
      <c r="BQ35">
        <v>367.7</v>
      </c>
      <c r="BR35">
        <v>665</v>
      </c>
      <c r="BS35">
        <v>0</v>
      </c>
      <c r="BT35">
        <v>100</v>
      </c>
      <c r="BU35">
        <v>0</v>
      </c>
      <c r="BV35">
        <v>0</v>
      </c>
      <c r="BW35">
        <v>0</v>
      </c>
    </row>
    <row r="36" spans="1:75" x14ac:dyDescent="0.25">
      <c r="A36" s="3">
        <v>450</v>
      </c>
      <c r="B36" s="3">
        <v>3</v>
      </c>
      <c r="C36">
        <v>0</v>
      </c>
      <c r="D36">
        <v>0</v>
      </c>
      <c r="E36">
        <v>3.8454143434002012E-3</v>
      </c>
      <c r="F36">
        <v>0</v>
      </c>
      <c r="G36">
        <v>6.0186940637907828E-4</v>
      </c>
      <c r="I36">
        <v>0</v>
      </c>
      <c r="J36">
        <v>0</v>
      </c>
      <c r="K36">
        <v>0</v>
      </c>
      <c r="L36">
        <v>0</v>
      </c>
      <c r="M36">
        <v>0</v>
      </c>
      <c r="O36">
        <v>0</v>
      </c>
      <c r="T36" s="3">
        <v>450</v>
      </c>
      <c r="U36" s="3">
        <v>3</v>
      </c>
      <c r="V36">
        <v>0</v>
      </c>
      <c r="W36">
        <v>0</v>
      </c>
      <c r="X36">
        <v>1.0000000000012219E-3</v>
      </c>
      <c r="Y36">
        <v>0</v>
      </c>
      <c r="Z36">
        <v>1.0000000000047751E-3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 s="3">
        <v>450</v>
      </c>
      <c r="AN36" s="3">
        <v>3</v>
      </c>
      <c r="AO36">
        <v>447.51900000000001</v>
      </c>
      <c r="AP36">
        <v>392.1</v>
      </c>
      <c r="AQ36">
        <v>26.006</v>
      </c>
      <c r="AR36">
        <v>367.7</v>
      </c>
      <c r="AS36">
        <v>166.15</v>
      </c>
      <c r="AT36">
        <v>0</v>
      </c>
      <c r="AU36">
        <v>1989</v>
      </c>
      <c r="AV36">
        <v>392.1</v>
      </c>
      <c r="AW36">
        <v>116</v>
      </c>
      <c r="AX36">
        <v>367.7</v>
      </c>
      <c r="AY36">
        <v>738</v>
      </c>
      <c r="AZ36">
        <v>0</v>
      </c>
      <c r="BA36">
        <v>100</v>
      </c>
      <c r="BB36">
        <v>0</v>
      </c>
      <c r="BC36">
        <v>0</v>
      </c>
      <c r="BD36">
        <v>0</v>
      </c>
      <c r="BF36" s="3">
        <v>450</v>
      </c>
      <c r="BG36" s="3">
        <v>3</v>
      </c>
      <c r="BH36">
        <v>447.51900000000001</v>
      </c>
      <c r="BI36">
        <v>392.1</v>
      </c>
      <c r="BJ36">
        <v>26.004999999999999</v>
      </c>
      <c r="BK36">
        <v>367.7</v>
      </c>
      <c r="BL36">
        <v>166.149</v>
      </c>
      <c r="BM36">
        <v>0</v>
      </c>
      <c r="BN36">
        <v>1989</v>
      </c>
      <c r="BO36">
        <v>392.1</v>
      </c>
      <c r="BP36">
        <v>116</v>
      </c>
      <c r="BQ36">
        <v>367.7</v>
      </c>
      <c r="BR36">
        <v>738</v>
      </c>
      <c r="BS36">
        <v>0</v>
      </c>
      <c r="BT36">
        <v>100</v>
      </c>
      <c r="BU36">
        <v>0</v>
      </c>
      <c r="BV36">
        <v>0</v>
      </c>
      <c r="BW36">
        <v>0</v>
      </c>
    </row>
    <row r="37" spans="1:75" x14ac:dyDescent="0.25">
      <c r="A37" s="3">
        <v>450</v>
      </c>
      <c r="B37" s="3">
        <v>4</v>
      </c>
      <c r="C37">
        <v>6.7763991570483017E-4</v>
      </c>
      <c r="D37">
        <v>0</v>
      </c>
      <c r="E37">
        <v>0</v>
      </c>
      <c r="F37">
        <v>0</v>
      </c>
      <c r="H37">
        <v>0</v>
      </c>
      <c r="I37">
        <v>0</v>
      </c>
      <c r="J37">
        <v>0</v>
      </c>
      <c r="K37">
        <v>0</v>
      </c>
      <c r="L37">
        <v>0</v>
      </c>
      <c r="N37">
        <v>0</v>
      </c>
      <c r="P37">
        <v>0</v>
      </c>
      <c r="T37" s="3">
        <v>450</v>
      </c>
      <c r="U37" s="3">
        <v>4</v>
      </c>
      <c r="V37">
        <v>-1.0000000000047751E-3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 s="3">
        <v>450</v>
      </c>
      <c r="AN37" s="3">
        <v>4</v>
      </c>
      <c r="AO37">
        <v>-147.572</v>
      </c>
      <c r="AP37">
        <v>390.1</v>
      </c>
      <c r="AQ37">
        <v>-597.67200000000003</v>
      </c>
      <c r="AR37">
        <v>424.5</v>
      </c>
      <c r="AS37">
        <v>0</v>
      </c>
      <c r="AT37">
        <v>-287.75099999999998</v>
      </c>
      <c r="AU37">
        <v>-656</v>
      </c>
      <c r="AV37">
        <v>390.1</v>
      </c>
      <c r="AW37">
        <v>-2656</v>
      </c>
      <c r="AX37">
        <v>424.5</v>
      </c>
      <c r="AY37">
        <v>0</v>
      </c>
      <c r="AZ37">
        <v>-1279</v>
      </c>
      <c r="BA37">
        <v>0</v>
      </c>
      <c r="BB37">
        <v>100</v>
      </c>
      <c r="BC37">
        <v>0</v>
      </c>
      <c r="BD37">
        <v>0</v>
      </c>
      <c r="BF37" s="3">
        <v>450</v>
      </c>
      <c r="BG37" s="3">
        <v>4</v>
      </c>
      <c r="BH37">
        <v>-147.571</v>
      </c>
      <c r="BI37">
        <v>390.1</v>
      </c>
      <c r="BJ37">
        <v>-597.67200000000003</v>
      </c>
      <c r="BK37">
        <v>424.5</v>
      </c>
      <c r="BL37">
        <v>0</v>
      </c>
      <c r="BM37">
        <v>-287.75099999999998</v>
      </c>
      <c r="BN37">
        <v>-656</v>
      </c>
      <c r="BO37">
        <v>390.1</v>
      </c>
      <c r="BP37">
        <v>-2656</v>
      </c>
      <c r="BQ37">
        <v>424.5</v>
      </c>
      <c r="BR37">
        <v>0</v>
      </c>
      <c r="BS37">
        <v>-1279</v>
      </c>
      <c r="BT37">
        <v>0</v>
      </c>
      <c r="BU37">
        <v>100</v>
      </c>
      <c r="BV37">
        <v>0</v>
      </c>
      <c r="BW37">
        <v>0</v>
      </c>
    </row>
    <row r="38" spans="1:75" x14ac:dyDescent="0.25">
      <c r="A38" s="3">
        <v>450</v>
      </c>
      <c r="B38" s="3">
        <v>5</v>
      </c>
      <c r="C38">
        <v>2.4402564220871349E-4</v>
      </c>
      <c r="D38">
        <v>0</v>
      </c>
      <c r="E38">
        <v>3.3189512114094569E-3</v>
      </c>
      <c r="F38">
        <v>0</v>
      </c>
      <c r="G38">
        <v>6.8748839863655572E-4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T38" s="3">
        <v>450</v>
      </c>
      <c r="U38" s="3">
        <v>5</v>
      </c>
      <c r="V38">
        <v>9.9999999997635314E-4</v>
      </c>
      <c r="W38">
        <v>0</v>
      </c>
      <c r="X38">
        <v>1.9999999999953388E-3</v>
      </c>
      <c r="Y38">
        <v>0</v>
      </c>
      <c r="Z38">
        <v>1.0000000000047751E-3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M38" s="3">
        <v>450</v>
      </c>
      <c r="AN38" s="3">
        <v>5</v>
      </c>
      <c r="AO38">
        <v>409.79399999999998</v>
      </c>
      <c r="AP38">
        <v>401.3</v>
      </c>
      <c r="AQ38">
        <v>-60.258000000000003</v>
      </c>
      <c r="AR38">
        <v>448.9</v>
      </c>
      <c r="AS38">
        <v>145.458</v>
      </c>
      <c r="AT38">
        <v>-10.456</v>
      </c>
      <c r="AU38">
        <v>1821</v>
      </c>
      <c r="AV38">
        <v>401.3</v>
      </c>
      <c r="AW38">
        <v>-268</v>
      </c>
      <c r="AX38">
        <v>448.9</v>
      </c>
      <c r="AY38">
        <v>646</v>
      </c>
      <c r="AZ38">
        <v>-46</v>
      </c>
      <c r="BA38">
        <v>73.5</v>
      </c>
      <c r="BB38">
        <v>26.5</v>
      </c>
      <c r="BC38">
        <v>0</v>
      </c>
      <c r="BD38">
        <v>0</v>
      </c>
      <c r="BF38" s="3">
        <v>450</v>
      </c>
      <c r="BG38" s="3">
        <v>5</v>
      </c>
      <c r="BH38">
        <v>409.79300000000001</v>
      </c>
      <c r="BI38">
        <v>401.3</v>
      </c>
      <c r="BJ38">
        <v>-60.26</v>
      </c>
      <c r="BK38">
        <v>448.9</v>
      </c>
      <c r="BL38">
        <v>145.45699999999999</v>
      </c>
      <c r="BM38">
        <v>-10.456</v>
      </c>
      <c r="BN38">
        <v>1821</v>
      </c>
      <c r="BO38">
        <v>401.3</v>
      </c>
      <c r="BP38">
        <v>-268</v>
      </c>
      <c r="BQ38">
        <v>448.9</v>
      </c>
      <c r="BR38">
        <v>646</v>
      </c>
      <c r="BS38">
        <v>-46</v>
      </c>
      <c r="BT38">
        <v>73.5</v>
      </c>
      <c r="BU38">
        <v>26.5</v>
      </c>
      <c r="BV38">
        <v>0</v>
      </c>
      <c r="BW38">
        <v>0</v>
      </c>
    </row>
    <row r="39" spans="1:75" x14ac:dyDescent="0.25">
      <c r="A39" s="3">
        <v>450</v>
      </c>
      <c r="B39" s="3">
        <v>6</v>
      </c>
      <c r="C39">
        <v>0</v>
      </c>
      <c r="D39">
        <v>0</v>
      </c>
      <c r="E39">
        <v>0</v>
      </c>
      <c r="F39">
        <v>0</v>
      </c>
      <c r="H39">
        <v>0</v>
      </c>
      <c r="I39">
        <v>0</v>
      </c>
      <c r="J39">
        <v>0</v>
      </c>
      <c r="K39">
        <v>0</v>
      </c>
      <c r="L39">
        <v>0</v>
      </c>
      <c r="N39">
        <v>0</v>
      </c>
      <c r="P39">
        <v>0</v>
      </c>
      <c r="T39" s="3">
        <v>450</v>
      </c>
      <c r="U39" s="3">
        <v>6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 s="3">
        <v>450</v>
      </c>
      <c r="AN39" s="3">
        <v>6</v>
      </c>
      <c r="AO39">
        <v>-71.59</v>
      </c>
      <c r="AP39">
        <v>384.9</v>
      </c>
      <c r="AQ39">
        <v>-442.21699999999998</v>
      </c>
      <c r="AR39">
        <v>420.9</v>
      </c>
      <c r="AS39">
        <v>0</v>
      </c>
      <c r="AT39">
        <v>-262.47399999999999</v>
      </c>
      <c r="AU39">
        <v>-318</v>
      </c>
      <c r="AV39">
        <v>384.9</v>
      </c>
      <c r="AW39">
        <v>-1965</v>
      </c>
      <c r="AX39">
        <v>420.9</v>
      </c>
      <c r="AY39">
        <v>0</v>
      </c>
      <c r="AZ39">
        <v>-1167</v>
      </c>
      <c r="BA39">
        <v>0</v>
      </c>
      <c r="BB39">
        <v>100</v>
      </c>
      <c r="BC39">
        <v>0</v>
      </c>
      <c r="BD39">
        <v>0</v>
      </c>
      <c r="BF39" s="3">
        <v>450</v>
      </c>
      <c r="BG39" s="3">
        <v>6</v>
      </c>
      <c r="BH39">
        <v>-71.59</v>
      </c>
      <c r="BI39">
        <v>384.9</v>
      </c>
      <c r="BJ39">
        <v>-442.21699999999998</v>
      </c>
      <c r="BK39">
        <v>420.9</v>
      </c>
      <c r="BL39">
        <v>0</v>
      </c>
      <c r="BM39">
        <v>-262.47399999999999</v>
      </c>
      <c r="BN39">
        <v>-318</v>
      </c>
      <c r="BO39">
        <v>384.9</v>
      </c>
      <c r="BP39">
        <v>-1965</v>
      </c>
      <c r="BQ39">
        <v>420.9</v>
      </c>
      <c r="BR39">
        <v>0</v>
      </c>
      <c r="BS39">
        <v>-1167</v>
      </c>
      <c r="BT39">
        <v>0</v>
      </c>
      <c r="BU39">
        <v>100</v>
      </c>
      <c r="BV39">
        <v>0</v>
      </c>
      <c r="BW39">
        <v>0</v>
      </c>
    </row>
    <row r="40" spans="1:75" x14ac:dyDescent="0.25">
      <c r="A40" s="3">
        <v>450</v>
      </c>
      <c r="B40" s="3">
        <v>7</v>
      </c>
      <c r="C40">
        <v>0</v>
      </c>
      <c r="D40">
        <v>0</v>
      </c>
      <c r="E40">
        <v>2.64548164955398E-4</v>
      </c>
      <c r="F40">
        <v>0</v>
      </c>
      <c r="G40">
        <v>0</v>
      </c>
      <c r="H40">
        <v>6.3362120857211857E-4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T40" s="3">
        <v>450</v>
      </c>
      <c r="U40" s="3">
        <v>7</v>
      </c>
      <c r="V40">
        <v>0</v>
      </c>
      <c r="W40">
        <v>0</v>
      </c>
      <c r="X40">
        <v>9.9999999997635314E-4</v>
      </c>
      <c r="Y40">
        <v>0</v>
      </c>
      <c r="Z40">
        <v>0</v>
      </c>
      <c r="AA40">
        <v>1.0000000000047751E-3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 s="3">
        <v>450</v>
      </c>
      <c r="AN40" s="3">
        <v>7</v>
      </c>
      <c r="AO40">
        <v>184.13</v>
      </c>
      <c r="AP40">
        <v>400.9</v>
      </c>
      <c r="AQ40">
        <v>-378.00200000000001</v>
      </c>
      <c r="AR40">
        <v>446.9</v>
      </c>
      <c r="AS40">
        <v>30.35</v>
      </c>
      <c r="AT40">
        <v>-157.822</v>
      </c>
      <c r="AU40">
        <v>263</v>
      </c>
      <c r="AV40">
        <v>400.9</v>
      </c>
      <c r="AW40">
        <v>-540</v>
      </c>
      <c r="AX40">
        <v>446.9</v>
      </c>
      <c r="AY40">
        <v>43</v>
      </c>
      <c r="AZ40">
        <v>-225</v>
      </c>
      <c r="BA40">
        <v>31</v>
      </c>
      <c r="BB40">
        <v>69</v>
      </c>
      <c r="BC40">
        <v>0</v>
      </c>
      <c r="BD40">
        <v>0</v>
      </c>
      <c r="BF40" s="3">
        <v>450</v>
      </c>
      <c r="BG40" s="3">
        <v>7</v>
      </c>
      <c r="BH40">
        <v>184.13</v>
      </c>
      <c r="BI40">
        <v>400.9</v>
      </c>
      <c r="BJ40">
        <v>-378.00299999999999</v>
      </c>
      <c r="BK40">
        <v>446.9</v>
      </c>
      <c r="BL40">
        <v>30.35</v>
      </c>
      <c r="BM40">
        <v>-157.82300000000001</v>
      </c>
      <c r="BN40">
        <v>263</v>
      </c>
      <c r="BO40">
        <v>400.9</v>
      </c>
      <c r="BP40">
        <v>-540</v>
      </c>
      <c r="BQ40">
        <v>446.9</v>
      </c>
      <c r="BR40">
        <v>43</v>
      </c>
      <c r="BS40">
        <v>-225</v>
      </c>
      <c r="BT40">
        <v>31</v>
      </c>
      <c r="BU40">
        <v>69</v>
      </c>
      <c r="BV40">
        <v>0</v>
      </c>
      <c r="BW40">
        <v>0</v>
      </c>
    </row>
    <row r="41" spans="1:75" x14ac:dyDescent="0.25">
      <c r="A41" s="3">
        <v>450</v>
      </c>
      <c r="B41" s="3">
        <v>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T41" s="3">
        <v>450</v>
      </c>
      <c r="U41" s="3">
        <v>8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 s="3">
        <v>450</v>
      </c>
      <c r="AN41" s="3">
        <v>8</v>
      </c>
      <c r="AO41">
        <v>84.06</v>
      </c>
      <c r="AP41">
        <v>402.9</v>
      </c>
      <c r="AQ41">
        <v>-113.276</v>
      </c>
      <c r="AR41">
        <v>413.7</v>
      </c>
      <c r="AS41">
        <v>10.808</v>
      </c>
      <c r="AT41">
        <v>-29.635999999999999</v>
      </c>
      <c r="AU41">
        <v>187</v>
      </c>
      <c r="AV41">
        <v>402.9</v>
      </c>
      <c r="AW41">
        <v>-252</v>
      </c>
      <c r="AX41">
        <v>413.7</v>
      </c>
      <c r="AY41">
        <v>24</v>
      </c>
      <c r="AZ41">
        <v>-66</v>
      </c>
      <c r="BA41">
        <v>30.1</v>
      </c>
      <c r="BB41">
        <v>69.900000000000006</v>
      </c>
      <c r="BC41">
        <v>0</v>
      </c>
      <c r="BD41">
        <v>0</v>
      </c>
      <c r="BF41" s="3">
        <v>450</v>
      </c>
      <c r="BG41" s="3">
        <v>8</v>
      </c>
      <c r="BH41">
        <v>84.06</v>
      </c>
      <c r="BI41">
        <v>402.9</v>
      </c>
      <c r="BJ41">
        <v>-113.276</v>
      </c>
      <c r="BK41">
        <v>413.7</v>
      </c>
      <c r="BL41">
        <v>10.808</v>
      </c>
      <c r="BM41">
        <v>-29.635999999999999</v>
      </c>
      <c r="BN41">
        <v>187</v>
      </c>
      <c r="BO41">
        <v>402.9</v>
      </c>
      <c r="BP41">
        <v>-252</v>
      </c>
      <c r="BQ41">
        <v>413.7</v>
      </c>
      <c r="BR41">
        <v>24</v>
      </c>
      <c r="BS41">
        <v>-66</v>
      </c>
      <c r="BT41">
        <v>30.1</v>
      </c>
      <c r="BU41">
        <v>69.900000000000006</v>
      </c>
      <c r="BV41">
        <v>0</v>
      </c>
      <c r="BW41">
        <v>0</v>
      </c>
    </row>
    <row r="42" spans="1:75" x14ac:dyDescent="0.25">
      <c r="A42" s="3">
        <v>450</v>
      </c>
      <c r="B42" s="3">
        <v>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T42" s="3">
        <v>450</v>
      </c>
      <c r="U42" s="3">
        <v>9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 s="3">
        <v>450</v>
      </c>
      <c r="AN42" s="3">
        <v>9</v>
      </c>
      <c r="AO42">
        <v>116.068</v>
      </c>
      <c r="AP42">
        <v>398.5</v>
      </c>
      <c r="AQ42">
        <v>-422.18599999999998</v>
      </c>
      <c r="AR42">
        <v>446.9</v>
      </c>
      <c r="AS42">
        <v>28.763999999999999</v>
      </c>
      <c r="AT42">
        <v>-137.40799999999999</v>
      </c>
      <c r="AU42">
        <v>166</v>
      </c>
      <c r="AV42">
        <v>398.5</v>
      </c>
      <c r="AW42">
        <v>-603</v>
      </c>
      <c r="AX42">
        <v>446.9</v>
      </c>
      <c r="AY42">
        <v>41</v>
      </c>
      <c r="AZ42">
        <v>-196</v>
      </c>
      <c r="BA42">
        <v>37.6</v>
      </c>
      <c r="BB42">
        <v>62.4</v>
      </c>
      <c r="BC42">
        <v>0</v>
      </c>
      <c r="BD42">
        <v>0</v>
      </c>
      <c r="BF42" s="3">
        <v>450</v>
      </c>
      <c r="BG42" s="3">
        <v>9</v>
      </c>
      <c r="BH42">
        <v>116.068</v>
      </c>
      <c r="BI42">
        <v>398.5</v>
      </c>
      <c r="BJ42">
        <v>-422.18599999999998</v>
      </c>
      <c r="BK42">
        <v>446.9</v>
      </c>
      <c r="BL42">
        <v>28.763999999999999</v>
      </c>
      <c r="BM42">
        <v>-137.40799999999999</v>
      </c>
      <c r="BN42">
        <v>166</v>
      </c>
      <c r="BO42">
        <v>398.5</v>
      </c>
      <c r="BP42">
        <v>-603</v>
      </c>
      <c r="BQ42">
        <v>446.9</v>
      </c>
      <c r="BR42">
        <v>41</v>
      </c>
      <c r="BS42">
        <v>-196</v>
      </c>
      <c r="BT42">
        <v>37.6</v>
      </c>
      <c r="BU42">
        <v>62.4</v>
      </c>
      <c r="BV42">
        <v>0</v>
      </c>
      <c r="BW42">
        <v>0</v>
      </c>
    </row>
    <row r="43" spans="1:75" x14ac:dyDescent="0.25">
      <c r="A43" s="3">
        <v>450</v>
      </c>
      <c r="B43" s="3">
        <v>10</v>
      </c>
      <c r="C43">
        <v>0</v>
      </c>
      <c r="D43">
        <v>0</v>
      </c>
      <c r="E43">
        <v>1.1813907331767301E-3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T43" s="3">
        <v>450</v>
      </c>
      <c r="U43" s="3">
        <v>10</v>
      </c>
      <c r="V43">
        <v>0</v>
      </c>
      <c r="W43">
        <v>0</v>
      </c>
      <c r="X43">
        <v>-1.0000000000047751E-3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 s="3">
        <v>450</v>
      </c>
      <c r="AN43" s="3">
        <v>10</v>
      </c>
      <c r="AO43">
        <v>103.37</v>
      </c>
      <c r="AP43">
        <v>373.7</v>
      </c>
      <c r="AQ43">
        <v>-84.647000000000006</v>
      </c>
      <c r="AR43">
        <v>438.5</v>
      </c>
      <c r="AS43">
        <v>24.004000000000001</v>
      </c>
      <c r="AT43">
        <v>-14.488</v>
      </c>
      <c r="AU43">
        <v>230</v>
      </c>
      <c r="AV43">
        <v>373.7</v>
      </c>
      <c r="AW43">
        <v>-188</v>
      </c>
      <c r="AX43">
        <v>438.5</v>
      </c>
      <c r="AY43">
        <v>53</v>
      </c>
      <c r="AZ43">
        <v>-32</v>
      </c>
      <c r="BA43">
        <v>58.4</v>
      </c>
      <c r="BB43">
        <v>41.6</v>
      </c>
      <c r="BC43">
        <v>0</v>
      </c>
      <c r="BD43">
        <v>0</v>
      </c>
      <c r="BF43" s="3">
        <v>450</v>
      </c>
      <c r="BG43" s="3">
        <v>10</v>
      </c>
      <c r="BH43">
        <v>103.37</v>
      </c>
      <c r="BI43">
        <v>373.7</v>
      </c>
      <c r="BJ43">
        <v>-84.646000000000001</v>
      </c>
      <c r="BK43">
        <v>438.5</v>
      </c>
      <c r="BL43">
        <v>24.004000000000001</v>
      </c>
      <c r="BM43">
        <v>-14.488</v>
      </c>
      <c r="BN43">
        <v>230</v>
      </c>
      <c r="BO43">
        <v>373.7</v>
      </c>
      <c r="BP43">
        <v>-188</v>
      </c>
      <c r="BQ43">
        <v>438.5</v>
      </c>
      <c r="BR43">
        <v>53</v>
      </c>
      <c r="BS43">
        <v>-32</v>
      </c>
      <c r="BT43">
        <v>58.4</v>
      </c>
      <c r="BU43">
        <v>41.6</v>
      </c>
      <c r="BV43">
        <v>0</v>
      </c>
      <c r="BW43">
        <v>0</v>
      </c>
    </row>
    <row r="44" spans="1:75" x14ac:dyDescent="0.25">
      <c r="A44" s="3">
        <v>450</v>
      </c>
      <c r="B44" s="3">
        <v>11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T44" s="3">
        <v>450</v>
      </c>
      <c r="U44" s="3">
        <v>11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 s="3">
        <v>450</v>
      </c>
      <c r="AN44" s="3">
        <v>11</v>
      </c>
      <c r="AO44">
        <v>130.07</v>
      </c>
      <c r="AP44">
        <v>384.9</v>
      </c>
      <c r="AQ44">
        <v>-430.67399999999998</v>
      </c>
      <c r="AR44">
        <v>441.7</v>
      </c>
      <c r="AS44">
        <v>37.758000000000003</v>
      </c>
      <c r="AT44">
        <v>-136.886</v>
      </c>
      <c r="AU44">
        <v>186</v>
      </c>
      <c r="AV44">
        <v>384.9</v>
      </c>
      <c r="AW44">
        <v>-615</v>
      </c>
      <c r="AX44">
        <v>441.7</v>
      </c>
      <c r="AY44">
        <v>54</v>
      </c>
      <c r="AZ44">
        <v>-196</v>
      </c>
      <c r="BA44">
        <v>42.5</v>
      </c>
      <c r="BB44">
        <v>57.5</v>
      </c>
      <c r="BC44">
        <v>0</v>
      </c>
      <c r="BD44">
        <v>0</v>
      </c>
      <c r="BF44" s="3">
        <v>450</v>
      </c>
      <c r="BG44" s="3">
        <v>11</v>
      </c>
      <c r="BH44">
        <v>130.07</v>
      </c>
      <c r="BI44">
        <v>384.9</v>
      </c>
      <c r="BJ44">
        <v>-430.67399999999998</v>
      </c>
      <c r="BK44">
        <v>441.7</v>
      </c>
      <c r="BL44">
        <v>37.758000000000003</v>
      </c>
      <c r="BM44">
        <v>-136.886</v>
      </c>
      <c r="BN44">
        <v>186</v>
      </c>
      <c r="BO44">
        <v>384.9</v>
      </c>
      <c r="BP44">
        <v>-615</v>
      </c>
      <c r="BQ44">
        <v>441.7</v>
      </c>
      <c r="BR44">
        <v>54</v>
      </c>
      <c r="BS44">
        <v>-196</v>
      </c>
      <c r="BT44">
        <v>42.5</v>
      </c>
      <c r="BU44">
        <v>57.5</v>
      </c>
      <c r="BV44">
        <v>0</v>
      </c>
      <c r="BW44">
        <v>0</v>
      </c>
    </row>
    <row r="45" spans="1:75" x14ac:dyDescent="0.25">
      <c r="A45" s="3">
        <v>450</v>
      </c>
      <c r="B45" s="3">
        <v>12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T45" s="3">
        <v>450</v>
      </c>
      <c r="U45" s="3">
        <v>12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 s="3">
        <v>450</v>
      </c>
      <c r="AN45" s="3">
        <v>12</v>
      </c>
      <c r="AO45">
        <v>130.07</v>
      </c>
      <c r="AP45">
        <v>384.9</v>
      </c>
      <c r="AQ45">
        <v>-430.67399999999998</v>
      </c>
      <c r="AR45">
        <v>441.7</v>
      </c>
      <c r="AS45">
        <v>37.758000000000003</v>
      </c>
      <c r="AT45">
        <v>-136.886</v>
      </c>
      <c r="AU45">
        <v>325</v>
      </c>
      <c r="AV45">
        <v>384.9</v>
      </c>
      <c r="AW45">
        <v>-1077</v>
      </c>
      <c r="AX45">
        <v>441.7</v>
      </c>
      <c r="AY45">
        <v>94</v>
      </c>
      <c r="AZ45">
        <v>-342</v>
      </c>
      <c r="BA45">
        <v>42.5</v>
      </c>
      <c r="BB45">
        <v>57.5</v>
      </c>
      <c r="BC45">
        <v>0</v>
      </c>
      <c r="BD45">
        <v>0</v>
      </c>
      <c r="BF45" s="3">
        <v>450</v>
      </c>
      <c r="BG45" s="3">
        <v>12</v>
      </c>
      <c r="BH45">
        <v>130.07</v>
      </c>
      <c r="BI45">
        <v>384.9</v>
      </c>
      <c r="BJ45">
        <v>-430.67399999999998</v>
      </c>
      <c r="BK45">
        <v>441.7</v>
      </c>
      <c r="BL45">
        <v>37.758000000000003</v>
      </c>
      <c r="BM45">
        <v>-136.886</v>
      </c>
      <c r="BN45">
        <v>325</v>
      </c>
      <c r="BO45">
        <v>384.9</v>
      </c>
      <c r="BP45">
        <v>-1077</v>
      </c>
      <c r="BQ45">
        <v>441.7</v>
      </c>
      <c r="BR45">
        <v>94</v>
      </c>
      <c r="BS45">
        <v>-342</v>
      </c>
      <c r="BT45">
        <v>42.5</v>
      </c>
      <c r="BU45">
        <v>57.5</v>
      </c>
      <c r="BV45">
        <v>0</v>
      </c>
      <c r="BW45">
        <v>0</v>
      </c>
    </row>
    <row r="46" spans="1:75" x14ac:dyDescent="0.25">
      <c r="A46" s="3">
        <v>450</v>
      </c>
      <c r="B46" s="3">
        <v>13</v>
      </c>
      <c r="C46">
        <v>0</v>
      </c>
      <c r="D46">
        <v>0</v>
      </c>
      <c r="E46">
        <v>1.779685600902016E-4</v>
      </c>
      <c r="F46">
        <v>0</v>
      </c>
      <c r="H46">
        <v>4.2382399437364097E-4</v>
      </c>
      <c r="I46">
        <v>0</v>
      </c>
      <c r="J46">
        <v>0</v>
      </c>
      <c r="K46">
        <v>0</v>
      </c>
      <c r="L46">
        <v>0</v>
      </c>
      <c r="N46">
        <v>0</v>
      </c>
      <c r="P46">
        <v>0</v>
      </c>
      <c r="T46" s="3">
        <v>450</v>
      </c>
      <c r="U46" s="3">
        <v>13</v>
      </c>
      <c r="V46">
        <v>0</v>
      </c>
      <c r="W46">
        <v>0</v>
      </c>
      <c r="X46">
        <v>1.00000000009004E-3</v>
      </c>
      <c r="Y46">
        <v>0</v>
      </c>
      <c r="Z46">
        <v>0</v>
      </c>
      <c r="AA46">
        <v>1.0000000000047751E-3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 s="3">
        <v>450</v>
      </c>
      <c r="AN46" s="3">
        <v>13</v>
      </c>
      <c r="AO46">
        <v>-2.6619999999999999</v>
      </c>
      <c r="AP46">
        <v>384.9</v>
      </c>
      <c r="AQ46">
        <v>-561.89599999999996</v>
      </c>
      <c r="AR46">
        <v>442.1</v>
      </c>
      <c r="AS46">
        <v>0</v>
      </c>
      <c r="AT46">
        <v>-235.946</v>
      </c>
      <c r="AU46">
        <v>-7</v>
      </c>
      <c r="AV46">
        <v>384.9</v>
      </c>
      <c r="AW46">
        <v>-1405</v>
      </c>
      <c r="AX46">
        <v>442.1</v>
      </c>
      <c r="AY46">
        <v>0</v>
      </c>
      <c r="AZ46">
        <v>-590</v>
      </c>
      <c r="BA46">
        <v>0</v>
      </c>
      <c r="BB46">
        <v>100</v>
      </c>
      <c r="BC46">
        <v>0</v>
      </c>
      <c r="BD46">
        <v>0</v>
      </c>
      <c r="BF46" s="3">
        <v>450</v>
      </c>
      <c r="BG46" s="3">
        <v>13</v>
      </c>
      <c r="BH46">
        <v>-2.6619999999999999</v>
      </c>
      <c r="BI46">
        <v>384.9</v>
      </c>
      <c r="BJ46">
        <v>-561.89700000000005</v>
      </c>
      <c r="BK46">
        <v>442.1</v>
      </c>
      <c r="BL46">
        <v>0</v>
      </c>
      <c r="BM46">
        <v>-235.947</v>
      </c>
      <c r="BN46">
        <v>-7</v>
      </c>
      <c r="BO46">
        <v>384.9</v>
      </c>
      <c r="BP46">
        <v>-1405</v>
      </c>
      <c r="BQ46">
        <v>442.1</v>
      </c>
      <c r="BR46">
        <v>0</v>
      </c>
      <c r="BS46">
        <v>-590</v>
      </c>
      <c r="BT46">
        <v>0</v>
      </c>
      <c r="BU46">
        <v>100</v>
      </c>
      <c r="BV46">
        <v>0</v>
      </c>
      <c r="BW46">
        <v>0</v>
      </c>
    </row>
    <row r="47" spans="1:75" x14ac:dyDescent="0.25">
      <c r="A47" s="3">
        <v>450</v>
      </c>
      <c r="B47" s="3">
        <v>14</v>
      </c>
      <c r="C47">
        <v>0</v>
      </c>
      <c r="D47">
        <v>0</v>
      </c>
      <c r="E47">
        <v>1.779685600902016E-4</v>
      </c>
      <c r="F47">
        <v>0</v>
      </c>
      <c r="H47">
        <v>4.2382399437364097E-4</v>
      </c>
      <c r="I47">
        <v>0</v>
      </c>
      <c r="J47">
        <v>0</v>
      </c>
      <c r="K47">
        <v>0</v>
      </c>
      <c r="L47">
        <v>0</v>
      </c>
      <c r="N47">
        <v>0</v>
      </c>
      <c r="P47">
        <v>0</v>
      </c>
      <c r="T47" s="3">
        <v>450</v>
      </c>
      <c r="U47" s="3">
        <v>14</v>
      </c>
      <c r="V47">
        <v>0</v>
      </c>
      <c r="W47">
        <v>0</v>
      </c>
      <c r="X47">
        <v>1.00000000009004E-3</v>
      </c>
      <c r="Y47">
        <v>0</v>
      </c>
      <c r="Z47">
        <v>0</v>
      </c>
      <c r="AA47">
        <v>1.0000000000047751E-3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 s="3">
        <v>450</v>
      </c>
      <c r="AN47" s="3">
        <v>14</v>
      </c>
      <c r="AO47">
        <v>-2.6619999999999999</v>
      </c>
      <c r="AP47">
        <v>384.9</v>
      </c>
      <c r="AQ47">
        <v>-561.89599999999996</v>
      </c>
      <c r="AR47">
        <v>442.1</v>
      </c>
      <c r="AS47">
        <v>0</v>
      </c>
      <c r="AT47">
        <v>-235.946</v>
      </c>
      <c r="AU47">
        <v>-4</v>
      </c>
      <c r="AV47">
        <v>384.9</v>
      </c>
      <c r="AW47">
        <v>-803</v>
      </c>
      <c r="AX47">
        <v>442.1</v>
      </c>
      <c r="AY47">
        <v>0</v>
      </c>
      <c r="AZ47">
        <v>-337</v>
      </c>
      <c r="BA47">
        <v>0</v>
      </c>
      <c r="BB47">
        <v>100</v>
      </c>
      <c r="BC47">
        <v>0</v>
      </c>
      <c r="BD47">
        <v>0</v>
      </c>
      <c r="BF47" s="3">
        <v>450</v>
      </c>
      <c r="BG47" s="3">
        <v>14</v>
      </c>
      <c r="BH47">
        <v>-2.6619999999999999</v>
      </c>
      <c r="BI47">
        <v>384.9</v>
      </c>
      <c r="BJ47">
        <v>-561.89700000000005</v>
      </c>
      <c r="BK47">
        <v>442.1</v>
      </c>
      <c r="BL47">
        <v>0</v>
      </c>
      <c r="BM47">
        <v>-235.947</v>
      </c>
      <c r="BN47">
        <v>-4</v>
      </c>
      <c r="BO47">
        <v>384.9</v>
      </c>
      <c r="BP47">
        <v>-803</v>
      </c>
      <c r="BQ47">
        <v>442.1</v>
      </c>
      <c r="BR47">
        <v>0</v>
      </c>
      <c r="BS47">
        <v>-337</v>
      </c>
      <c r="BT47">
        <v>0</v>
      </c>
      <c r="BU47">
        <v>100</v>
      </c>
      <c r="BV47">
        <v>0</v>
      </c>
      <c r="BW47">
        <v>0</v>
      </c>
    </row>
    <row r="48" spans="1:75" x14ac:dyDescent="0.25">
      <c r="A48" s="3">
        <v>450</v>
      </c>
      <c r="B48" s="3">
        <v>103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T48" s="3">
        <v>450</v>
      </c>
      <c r="U48" s="3">
        <v>103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 s="3">
        <v>450</v>
      </c>
      <c r="AN48" s="3">
        <v>103</v>
      </c>
      <c r="AO48">
        <v>259.84500000000003</v>
      </c>
      <c r="AP48">
        <v>391.7</v>
      </c>
      <c r="AQ48">
        <v>-93.881</v>
      </c>
      <c r="AR48">
        <v>402.9</v>
      </c>
      <c r="AS48">
        <v>51.011000000000003</v>
      </c>
      <c r="AT48">
        <v>-19.863</v>
      </c>
      <c r="AU48">
        <v>1299</v>
      </c>
      <c r="AV48">
        <v>391.7</v>
      </c>
      <c r="AW48">
        <v>-469</v>
      </c>
      <c r="AX48">
        <v>402.9</v>
      </c>
      <c r="AY48">
        <v>255</v>
      </c>
      <c r="AZ48">
        <v>-99</v>
      </c>
      <c r="BA48">
        <v>55.8</v>
      </c>
      <c r="BB48">
        <v>44.2</v>
      </c>
      <c r="BC48">
        <v>1000</v>
      </c>
      <c r="BD48">
        <v>8</v>
      </c>
      <c r="BF48" s="3">
        <v>450</v>
      </c>
      <c r="BG48" s="3">
        <v>103</v>
      </c>
      <c r="BH48">
        <v>259.84500000000003</v>
      </c>
      <c r="BI48">
        <v>391.7</v>
      </c>
      <c r="BJ48">
        <v>-93.881</v>
      </c>
      <c r="BK48">
        <v>402.9</v>
      </c>
      <c r="BL48">
        <v>51.011000000000003</v>
      </c>
      <c r="BM48">
        <v>-19.863</v>
      </c>
      <c r="BN48">
        <v>1299</v>
      </c>
      <c r="BO48">
        <v>391.7</v>
      </c>
      <c r="BP48">
        <v>-469</v>
      </c>
      <c r="BQ48">
        <v>402.9</v>
      </c>
      <c r="BR48">
        <v>255</v>
      </c>
      <c r="BS48">
        <v>-99</v>
      </c>
      <c r="BT48">
        <v>55.8</v>
      </c>
      <c r="BU48">
        <v>44.2</v>
      </c>
      <c r="BV48">
        <v>1000</v>
      </c>
      <c r="BW48">
        <v>8</v>
      </c>
    </row>
    <row r="49" spans="1:75" x14ac:dyDescent="0.25">
      <c r="A49" s="3">
        <v>450</v>
      </c>
      <c r="B49" s="3">
        <v>104</v>
      </c>
      <c r="C49">
        <v>0</v>
      </c>
      <c r="D49">
        <v>0</v>
      </c>
      <c r="E49">
        <v>0</v>
      </c>
      <c r="F49">
        <v>0</v>
      </c>
      <c r="G49">
        <v>5.6721497447400427E-3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T49" s="3">
        <v>450</v>
      </c>
      <c r="U49" s="3">
        <v>104</v>
      </c>
      <c r="V49">
        <v>0</v>
      </c>
      <c r="W49">
        <v>0</v>
      </c>
      <c r="X49">
        <v>0</v>
      </c>
      <c r="Y49">
        <v>0</v>
      </c>
      <c r="Z49">
        <v>-9.9999999999766942E-4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 s="3">
        <v>450</v>
      </c>
      <c r="AN49" s="3">
        <v>104</v>
      </c>
      <c r="AO49">
        <v>126.32</v>
      </c>
      <c r="AP49">
        <v>415.7</v>
      </c>
      <c r="AQ49">
        <v>-185.84</v>
      </c>
      <c r="AR49">
        <v>424.9</v>
      </c>
      <c r="AS49">
        <v>17.629000000000001</v>
      </c>
      <c r="AT49">
        <v>-42.906999999999996</v>
      </c>
      <c r="AU49">
        <v>952</v>
      </c>
      <c r="AV49">
        <v>415.7</v>
      </c>
      <c r="AW49">
        <v>-1400</v>
      </c>
      <c r="AX49">
        <v>424.9</v>
      </c>
      <c r="AY49">
        <v>133</v>
      </c>
      <c r="AZ49">
        <v>-323</v>
      </c>
      <c r="BA49">
        <v>28.8</v>
      </c>
      <c r="BB49">
        <v>71.2</v>
      </c>
      <c r="BC49">
        <v>1000</v>
      </c>
      <c r="BD49">
        <v>15.9</v>
      </c>
      <c r="BF49" s="3">
        <v>450</v>
      </c>
      <c r="BG49" s="3">
        <v>104</v>
      </c>
      <c r="BH49">
        <v>126.32</v>
      </c>
      <c r="BI49">
        <v>415.7</v>
      </c>
      <c r="BJ49">
        <v>-185.84</v>
      </c>
      <c r="BK49">
        <v>424.9</v>
      </c>
      <c r="BL49">
        <v>17.63</v>
      </c>
      <c r="BM49">
        <v>-42.906999999999996</v>
      </c>
      <c r="BN49">
        <v>952</v>
      </c>
      <c r="BO49">
        <v>415.7</v>
      </c>
      <c r="BP49">
        <v>-1400</v>
      </c>
      <c r="BQ49">
        <v>424.9</v>
      </c>
      <c r="BR49">
        <v>133</v>
      </c>
      <c r="BS49">
        <v>-323</v>
      </c>
      <c r="BT49">
        <v>28.8</v>
      </c>
      <c r="BU49">
        <v>71.2</v>
      </c>
      <c r="BV49">
        <v>1000</v>
      </c>
      <c r="BW49">
        <v>15.9</v>
      </c>
    </row>
    <row r="50" spans="1:75" x14ac:dyDescent="0.25">
      <c r="A50" s="3">
        <v>450</v>
      </c>
      <c r="B50" s="3">
        <v>110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T50" s="3">
        <v>450</v>
      </c>
      <c r="U50" s="3">
        <v>110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 s="3">
        <v>450</v>
      </c>
      <c r="AN50" s="3">
        <v>110</v>
      </c>
      <c r="AO50">
        <v>85.408000000000001</v>
      </c>
      <c r="AP50">
        <v>438.9</v>
      </c>
      <c r="AQ50">
        <v>-117.355</v>
      </c>
      <c r="AR50">
        <v>377.3</v>
      </c>
      <c r="AS50">
        <v>19.509</v>
      </c>
      <c r="AT50">
        <v>-47.853000000000002</v>
      </c>
      <c r="AU50">
        <v>885</v>
      </c>
      <c r="AV50">
        <v>438.9</v>
      </c>
      <c r="AW50">
        <v>-1216</v>
      </c>
      <c r="AX50">
        <v>377.3</v>
      </c>
      <c r="AY50">
        <v>202</v>
      </c>
      <c r="AZ50">
        <v>-496</v>
      </c>
      <c r="BA50">
        <v>33.6</v>
      </c>
      <c r="BB50">
        <v>66.400000000000006</v>
      </c>
      <c r="BC50">
        <v>1000</v>
      </c>
      <c r="BD50">
        <v>0</v>
      </c>
      <c r="BF50" s="3">
        <v>450</v>
      </c>
      <c r="BG50" s="3">
        <v>110</v>
      </c>
      <c r="BH50">
        <v>85.408000000000001</v>
      </c>
      <c r="BI50">
        <v>438.9</v>
      </c>
      <c r="BJ50">
        <v>-117.355</v>
      </c>
      <c r="BK50">
        <v>377.3</v>
      </c>
      <c r="BL50">
        <v>19.509</v>
      </c>
      <c r="BM50">
        <v>-47.853000000000002</v>
      </c>
      <c r="BN50">
        <v>885</v>
      </c>
      <c r="BO50">
        <v>438.9</v>
      </c>
      <c r="BP50">
        <v>-1216</v>
      </c>
      <c r="BQ50">
        <v>377.3</v>
      </c>
      <c r="BR50">
        <v>202</v>
      </c>
      <c r="BS50">
        <v>-496</v>
      </c>
      <c r="BT50">
        <v>33.6</v>
      </c>
      <c r="BU50">
        <v>66.400000000000006</v>
      </c>
      <c r="BV50">
        <v>1000</v>
      </c>
      <c r="BW50">
        <v>0</v>
      </c>
    </row>
    <row r="51" spans="1:75" x14ac:dyDescent="0.25">
      <c r="A51" s="3">
        <v>450</v>
      </c>
      <c r="B51" s="3">
        <v>114</v>
      </c>
      <c r="C51">
        <v>0</v>
      </c>
      <c r="D51">
        <v>0</v>
      </c>
      <c r="E51">
        <v>8.4525137775176985E-4</v>
      </c>
      <c r="F51">
        <v>0</v>
      </c>
      <c r="G51">
        <v>0</v>
      </c>
      <c r="I51">
        <v>0</v>
      </c>
      <c r="J51">
        <v>0</v>
      </c>
      <c r="K51">
        <v>0</v>
      </c>
      <c r="L51">
        <v>0</v>
      </c>
      <c r="M51">
        <v>0</v>
      </c>
      <c r="O51">
        <v>0</v>
      </c>
      <c r="Q51">
        <v>0</v>
      </c>
      <c r="R51">
        <v>0</v>
      </c>
      <c r="T51" s="3">
        <v>450</v>
      </c>
      <c r="U51" s="3">
        <v>114</v>
      </c>
      <c r="V51">
        <v>0</v>
      </c>
      <c r="W51">
        <v>0</v>
      </c>
      <c r="X51">
        <v>9.9999999999056399E-4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 s="3">
        <v>450</v>
      </c>
      <c r="AN51" s="3">
        <v>114</v>
      </c>
      <c r="AO51">
        <v>144.90199999999999</v>
      </c>
      <c r="AP51">
        <v>431.7</v>
      </c>
      <c r="AQ51">
        <v>118.309</v>
      </c>
      <c r="AR51">
        <v>380.1</v>
      </c>
      <c r="AS51">
        <v>136.81899999999999</v>
      </c>
      <c r="AT51">
        <v>0</v>
      </c>
      <c r="AU51">
        <v>966</v>
      </c>
      <c r="AV51">
        <v>431.7</v>
      </c>
      <c r="AW51">
        <v>789</v>
      </c>
      <c r="AX51">
        <v>380.1</v>
      </c>
      <c r="AY51">
        <v>912</v>
      </c>
      <c r="AZ51">
        <v>0</v>
      </c>
      <c r="BA51">
        <v>100</v>
      </c>
      <c r="BB51">
        <v>0</v>
      </c>
      <c r="BC51">
        <v>1000</v>
      </c>
      <c r="BD51">
        <v>92.9</v>
      </c>
      <c r="BF51" s="3">
        <v>450</v>
      </c>
      <c r="BG51" s="3">
        <v>114</v>
      </c>
      <c r="BH51">
        <v>144.90199999999999</v>
      </c>
      <c r="BI51">
        <v>431.7</v>
      </c>
      <c r="BJ51">
        <v>118.30800000000001</v>
      </c>
      <c r="BK51">
        <v>380.1</v>
      </c>
      <c r="BL51">
        <v>136.81899999999999</v>
      </c>
      <c r="BM51">
        <v>0</v>
      </c>
      <c r="BN51">
        <v>966</v>
      </c>
      <c r="BO51">
        <v>431.7</v>
      </c>
      <c r="BP51">
        <v>789</v>
      </c>
      <c r="BQ51">
        <v>380.1</v>
      </c>
      <c r="BR51">
        <v>912</v>
      </c>
      <c r="BS51">
        <v>0</v>
      </c>
      <c r="BT51">
        <v>100</v>
      </c>
      <c r="BU51">
        <v>0</v>
      </c>
      <c r="BV51">
        <v>1000</v>
      </c>
      <c r="BW51">
        <v>92.9</v>
      </c>
    </row>
    <row r="52" spans="1:75" x14ac:dyDescent="0.25">
      <c r="A52" s="3">
        <v>720</v>
      </c>
      <c r="B52" s="3">
        <v>1</v>
      </c>
      <c r="C52">
        <v>0</v>
      </c>
      <c r="D52">
        <v>0</v>
      </c>
      <c r="E52">
        <v>4.2817383857898612E-3</v>
      </c>
      <c r="F52">
        <v>0</v>
      </c>
      <c r="G52">
        <v>0</v>
      </c>
      <c r="I52">
        <v>0</v>
      </c>
      <c r="J52">
        <v>0</v>
      </c>
      <c r="K52">
        <v>0</v>
      </c>
      <c r="L52">
        <v>0</v>
      </c>
      <c r="M52">
        <v>0</v>
      </c>
      <c r="O52">
        <v>0</v>
      </c>
      <c r="T52" s="3">
        <v>720</v>
      </c>
      <c r="U52" s="3">
        <v>1</v>
      </c>
      <c r="V52">
        <v>0</v>
      </c>
      <c r="W52">
        <v>0</v>
      </c>
      <c r="X52">
        <v>1.0000000000012219E-3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 s="3">
        <v>720</v>
      </c>
      <c r="AN52" s="3">
        <v>1</v>
      </c>
      <c r="AO52">
        <v>446.79199999999997</v>
      </c>
      <c r="AP52">
        <v>662.1</v>
      </c>
      <c r="AQ52">
        <v>23.356000000000002</v>
      </c>
      <c r="AR52">
        <v>638.9</v>
      </c>
      <c r="AS52">
        <v>163.93199999999999</v>
      </c>
      <c r="AT52">
        <v>0</v>
      </c>
      <c r="AU52">
        <v>1489</v>
      </c>
      <c r="AV52">
        <v>662.1</v>
      </c>
      <c r="AW52">
        <v>78</v>
      </c>
      <c r="AX52">
        <v>638.9</v>
      </c>
      <c r="AY52">
        <v>546</v>
      </c>
      <c r="AZ52">
        <v>0</v>
      </c>
      <c r="BA52">
        <v>100</v>
      </c>
      <c r="BB52">
        <v>0</v>
      </c>
      <c r="BC52">
        <v>0</v>
      </c>
      <c r="BD52">
        <v>0</v>
      </c>
      <c r="BF52" s="3">
        <v>720</v>
      </c>
      <c r="BG52" s="3">
        <v>1</v>
      </c>
      <c r="BH52">
        <v>446.79199999999997</v>
      </c>
      <c r="BI52">
        <v>662.1</v>
      </c>
      <c r="BJ52">
        <v>23.355</v>
      </c>
      <c r="BK52">
        <v>638.9</v>
      </c>
      <c r="BL52">
        <v>163.93199999999999</v>
      </c>
      <c r="BM52">
        <v>0</v>
      </c>
      <c r="BN52">
        <v>1489</v>
      </c>
      <c r="BO52">
        <v>662.1</v>
      </c>
      <c r="BP52">
        <v>78</v>
      </c>
      <c r="BQ52">
        <v>638.9</v>
      </c>
      <c r="BR52">
        <v>546</v>
      </c>
      <c r="BS52">
        <v>0</v>
      </c>
      <c r="BT52">
        <v>100</v>
      </c>
      <c r="BU52">
        <v>0</v>
      </c>
      <c r="BV52">
        <v>0</v>
      </c>
      <c r="BW52">
        <v>0</v>
      </c>
    </row>
    <row r="53" spans="1:75" x14ac:dyDescent="0.25">
      <c r="A53" s="3">
        <v>720</v>
      </c>
      <c r="B53" s="3">
        <v>2</v>
      </c>
      <c r="C53">
        <v>0</v>
      </c>
      <c r="D53">
        <v>0</v>
      </c>
      <c r="E53">
        <v>4.2817383857898612E-3</v>
      </c>
      <c r="F53">
        <v>0</v>
      </c>
      <c r="G53">
        <v>0</v>
      </c>
      <c r="I53">
        <v>0</v>
      </c>
      <c r="J53">
        <v>0</v>
      </c>
      <c r="K53">
        <v>0</v>
      </c>
      <c r="L53">
        <v>0</v>
      </c>
      <c r="M53">
        <v>0</v>
      </c>
      <c r="O53">
        <v>0</v>
      </c>
      <c r="T53" s="3">
        <v>720</v>
      </c>
      <c r="U53" s="3">
        <v>2</v>
      </c>
      <c r="V53">
        <v>0</v>
      </c>
      <c r="W53">
        <v>0</v>
      </c>
      <c r="X53">
        <v>1.0000000000012219E-3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 s="3">
        <v>720</v>
      </c>
      <c r="AN53" s="3">
        <v>2</v>
      </c>
      <c r="AO53">
        <v>446.79199999999997</v>
      </c>
      <c r="AP53">
        <v>662.1</v>
      </c>
      <c r="AQ53">
        <v>23.356000000000002</v>
      </c>
      <c r="AR53">
        <v>638.9</v>
      </c>
      <c r="AS53">
        <v>163.93199999999999</v>
      </c>
      <c r="AT53">
        <v>0</v>
      </c>
      <c r="AU53">
        <v>1787</v>
      </c>
      <c r="AV53">
        <v>662.1</v>
      </c>
      <c r="AW53">
        <v>93</v>
      </c>
      <c r="AX53">
        <v>638.9</v>
      </c>
      <c r="AY53">
        <v>656</v>
      </c>
      <c r="AZ53">
        <v>0</v>
      </c>
      <c r="BA53">
        <v>100</v>
      </c>
      <c r="BB53">
        <v>0</v>
      </c>
      <c r="BC53">
        <v>0</v>
      </c>
      <c r="BD53">
        <v>0</v>
      </c>
      <c r="BF53" s="3">
        <v>720</v>
      </c>
      <c r="BG53" s="3">
        <v>2</v>
      </c>
      <c r="BH53">
        <v>446.79199999999997</v>
      </c>
      <c r="BI53">
        <v>662.1</v>
      </c>
      <c r="BJ53">
        <v>23.355</v>
      </c>
      <c r="BK53">
        <v>638.9</v>
      </c>
      <c r="BL53">
        <v>163.93199999999999</v>
      </c>
      <c r="BM53">
        <v>0</v>
      </c>
      <c r="BN53">
        <v>1787</v>
      </c>
      <c r="BO53">
        <v>662.1</v>
      </c>
      <c r="BP53">
        <v>93</v>
      </c>
      <c r="BQ53">
        <v>638.9</v>
      </c>
      <c r="BR53">
        <v>656</v>
      </c>
      <c r="BS53">
        <v>0</v>
      </c>
      <c r="BT53">
        <v>100</v>
      </c>
      <c r="BU53">
        <v>0</v>
      </c>
      <c r="BV53">
        <v>0</v>
      </c>
      <c r="BW53">
        <v>0</v>
      </c>
    </row>
    <row r="54" spans="1:75" x14ac:dyDescent="0.25">
      <c r="A54" s="3">
        <v>720</v>
      </c>
      <c r="B54" s="3">
        <v>3</v>
      </c>
      <c r="C54">
        <v>0</v>
      </c>
      <c r="D54">
        <v>0</v>
      </c>
      <c r="E54">
        <v>4.2817383857898612E-3</v>
      </c>
      <c r="F54">
        <v>0</v>
      </c>
      <c r="G54">
        <v>0</v>
      </c>
      <c r="I54">
        <v>0</v>
      </c>
      <c r="J54">
        <v>0</v>
      </c>
      <c r="K54">
        <v>0</v>
      </c>
      <c r="L54">
        <v>0</v>
      </c>
      <c r="M54">
        <v>0</v>
      </c>
      <c r="O54">
        <v>0</v>
      </c>
      <c r="T54" s="3">
        <v>720</v>
      </c>
      <c r="U54" s="3">
        <v>3</v>
      </c>
      <c r="V54">
        <v>0</v>
      </c>
      <c r="W54">
        <v>0</v>
      </c>
      <c r="X54">
        <v>1.0000000000012219E-3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 s="3">
        <v>720</v>
      </c>
      <c r="AN54" s="3">
        <v>3</v>
      </c>
      <c r="AO54">
        <v>446.79199999999997</v>
      </c>
      <c r="AP54">
        <v>662.1</v>
      </c>
      <c r="AQ54">
        <v>23.356000000000002</v>
      </c>
      <c r="AR54">
        <v>638.9</v>
      </c>
      <c r="AS54">
        <v>163.93199999999999</v>
      </c>
      <c r="AT54">
        <v>0</v>
      </c>
      <c r="AU54">
        <v>1986</v>
      </c>
      <c r="AV54">
        <v>662.1</v>
      </c>
      <c r="AW54">
        <v>104</v>
      </c>
      <c r="AX54">
        <v>638.9</v>
      </c>
      <c r="AY54">
        <v>729</v>
      </c>
      <c r="AZ54">
        <v>0</v>
      </c>
      <c r="BA54">
        <v>100</v>
      </c>
      <c r="BB54">
        <v>0</v>
      </c>
      <c r="BC54">
        <v>0</v>
      </c>
      <c r="BD54">
        <v>0</v>
      </c>
      <c r="BF54" s="3">
        <v>720</v>
      </c>
      <c r="BG54" s="3">
        <v>3</v>
      </c>
      <c r="BH54">
        <v>446.79199999999997</v>
      </c>
      <c r="BI54">
        <v>662.1</v>
      </c>
      <c r="BJ54">
        <v>23.355</v>
      </c>
      <c r="BK54">
        <v>638.9</v>
      </c>
      <c r="BL54">
        <v>163.93199999999999</v>
      </c>
      <c r="BM54">
        <v>0</v>
      </c>
      <c r="BN54">
        <v>1986</v>
      </c>
      <c r="BO54">
        <v>662.1</v>
      </c>
      <c r="BP54">
        <v>104</v>
      </c>
      <c r="BQ54">
        <v>638.9</v>
      </c>
      <c r="BR54">
        <v>729</v>
      </c>
      <c r="BS54">
        <v>0</v>
      </c>
      <c r="BT54">
        <v>100</v>
      </c>
      <c r="BU54">
        <v>0</v>
      </c>
      <c r="BV54">
        <v>0</v>
      </c>
      <c r="BW54">
        <v>0</v>
      </c>
    </row>
    <row r="55" spans="1:75" x14ac:dyDescent="0.25">
      <c r="A55" s="3">
        <v>720</v>
      </c>
      <c r="B55" s="3">
        <v>4</v>
      </c>
      <c r="C55">
        <v>0</v>
      </c>
      <c r="D55">
        <v>0</v>
      </c>
      <c r="E55">
        <v>0</v>
      </c>
      <c r="F55">
        <v>0</v>
      </c>
      <c r="H55">
        <v>0</v>
      </c>
      <c r="I55">
        <v>0</v>
      </c>
      <c r="J55">
        <v>0</v>
      </c>
      <c r="K55">
        <v>0</v>
      </c>
      <c r="L55">
        <v>0</v>
      </c>
      <c r="N55">
        <v>0</v>
      </c>
      <c r="P55">
        <v>0</v>
      </c>
      <c r="T55" s="3">
        <v>720</v>
      </c>
      <c r="U55" s="3">
        <v>4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 s="3">
        <v>720</v>
      </c>
      <c r="AN55" s="3">
        <v>4</v>
      </c>
      <c r="AO55">
        <v>-149.059</v>
      </c>
      <c r="AP55">
        <v>659.7</v>
      </c>
      <c r="AQ55">
        <v>-599.36300000000006</v>
      </c>
      <c r="AR55">
        <v>694.5</v>
      </c>
      <c r="AS55">
        <v>0</v>
      </c>
      <c r="AT55">
        <v>-289.65899999999999</v>
      </c>
      <c r="AU55">
        <v>-662</v>
      </c>
      <c r="AV55">
        <v>659.7</v>
      </c>
      <c r="AW55">
        <v>-2664</v>
      </c>
      <c r="AX55">
        <v>694.5</v>
      </c>
      <c r="AY55">
        <v>0</v>
      </c>
      <c r="AZ55">
        <v>-1287</v>
      </c>
      <c r="BA55">
        <v>0</v>
      </c>
      <c r="BB55">
        <v>100</v>
      </c>
      <c r="BC55">
        <v>0</v>
      </c>
      <c r="BD55">
        <v>0</v>
      </c>
      <c r="BF55" s="3">
        <v>720</v>
      </c>
      <c r="BG55" s="3">
        <v>4</v>
      </c>
      <c r="BH55">
        <v>-149.059</v>
      </c>
      <c r="BI55">
        <v>659.7</v>
      </c>
      <c r="BJ55">
        <v>-599.36300000000006</v>
      </c>
      <c r="BK55">
        <v>694.5</v>
      </c>
      <c r="BL55">
        <v>0</v>
      </c>
      <c r="BM55">
        <v>-289.65899999999999</v>
      </c>
      <c r="BN55">
        <v>-662</v>
      </c>
      <c r="BO55">
        <v>659.7</v>
      </c>
      <c r="BP55">
        <v>-2664</v>
      </c>
      <c r="BQ55">
        <v>694.5</v>
      </c>
      <c r="BR55">
        <v>0</v>
      </c>
      <c r="BS55">
        <v>-1287</v>
      </c>
      <c r="BT55">
        <v>0</v>
      </c>
      <c r="BU55">
        <v>100</v>
      </c>
      <c r="BV55">
        <v>0</v>
      </c>
      <c r="BW55">
        <v>0</v>
      </c>
    </row>
    <row r="56" spans="1:75" x14ac:dyDescent="0.25">
      <c r="A56" s="3">
        <v>720</v>
      </c>
      <c r="B56" s="3">
        <v>5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T56" s="3">
        <v>720</v>
      </c>
      <c r="U56" s="3">
        <v>5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M56" s="3">
        <v>720</v>
      </c>
      <c r="AN56" s="3">
        <v>5</v>
      </c>
      <c r="AO56">
        <v>410.25200000000001</v>
      </c>
      <c r="AP56">
        <v>671.3</v>
      </c>
      <c r="AQ56">
        <v>-60.198</v>
      </c>
      <c r="AR56">
        <v>718.9</v>
      </c>
      <c r="AS56">
        <v>145.61600000000001</v>
      </c>
      <c r="AT56">
        <v>-10.398</v>
      </c>
      <c r="AU56">
        <v>1823</v>
      </c>
      <c r="AV56">
        <v>671.3</v>
      </c>
      <c r="AW56">
        <v>-268</v>
      </c>
      <c r="AX56">
        <v>718.9</v>
      </c>
      <c r="AY56">
        <v>647</v>
      </c>
      <c r="AZ56">
        <v>-46</v>
      </c>
      <c r="BA56">
        <v>73.5</v>
      </c>
      <c r="BB56">
        <v>26.5</v>
      </c>
      <c r="BC56">
        <v>0</v>
      </c>
      <c r="BD56">
        <v>0</v>
      </c>
      <c r="BF56" s="3">
        <v>720</v>
      </c>
      <c r="BG56" s="3">
        <v>5</v>
      </c>
      <c r="BH56">
        <v>410.25200000000001</v>
      </c>
      <c r="BI56">
        <v>671.3</v>
      </c>
      <c r="BJ56">
        <v>-60.198</v>
      </c>
      <c r="BK56">
        <v>718.9</v>
      </c>
      <c r="BL56">
        <v>145.61600000000001</v>
      </c>
      <c r="BM56">
        <v>-10.398</v>
      </c>
      <c r="BN56">
        <v>1823</v>
      </c>
      <c r="BO56">
        <v>671.3</v>
      </c>
      <c r="BP56">
        <v>-268</v>
      </c>
      <c r="BQ56">
        <v>718.9</v>
      </c>
      <c r="BR56">
        <v>647</v>
      </c>
      <c r="BS56">
        <v>-46</v>
      </c>
      <c r="BT56">
        <v>73.5</v>
      </c>
      <c r="BU56">
        <v>26.5</v>
      </c>
      <c r="BV56">
        <v>0</v>
      </c>
      <c r="BW56">
        <v>0</v>
      </c>
    </row>
    <row r="57" spans="1:75" x14ac:dyDescent="0.25">
      <c r="A57" s="3">
        <v>720</v>
      </c>
      <c r="B57" s="3">
        <v>6</v>
      </c>
      <c r="C57">
        <v>0</v>
      </c>
      <c r="D57">
        <v>0</v>
      </c>
      <c r="E57">
        <v>0</v>
      </c>
      <c r="F57">
        <v>0</v>
      </c>
      <c r="H57">
        <v>0</v>
      </c>
      <c r="I57">
        <v>0</v>
      </c>
      <c r="J57">
        <v>0</v>
      </c>
      <c r="K57">
        <v>0</v>
      </c>
      <c r="L57">
        <v>0</v>
      </c>
      <c r="N57">
        <v>0</v>
      </c>
      <c r="P57">
        <v>0</v>
      </c>
      <c r="T57" s="3">
        <v>720</v>
      </c>
      <c r="U57" s="3">
        <v>6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 s="3">
        <v>720</v>
      </c>
      <c r="AN57" s="3">
        <v>6</v>
      </c>
      <c r="AO57">
        <v>-70.733000000000004</v>
      </c>
      <c r="AP57">
        <v>654.9</v>
      </c>
      <c r="AQ57">
        <v>-440.55399999999997</v>
      </c>
      <c r="AR57">
        <v>690.9</v>
      </c>
      <c r="AS57">
        <v>0</v>
      </c>
      <c r="AT57">
        <v>-261.161</v>
      </c>
      <c r="AU57">
        <v>-314</v>
      </c>
      <c r="AV57">
        <v>654.9</v>
      </c>
      <c r="AW57">
        <v>-1958</v>
      </c>
      <c r="AX57">
        <v>690.9</v>
      </c>
      <c r="AY57">
        <v>0</v>
      </c>
      <c r="AZ57">
        <v>-1161</v>
      </c>
      <c r="BA57">
        <v>0</v>
      </c>
      <c r="BB57">
        <v>100</v>
      </c>
      <c r="BC57">
        <v>0</v>
      </c>
      <c r="BD57">
        <v>0</v>
      </c>
      <c r="BF57" s="3">
        <v>720</v>
      </c>
      <c r="BG57" s="3">
        <v>6</v>
      </c>
      <c r="BH57">
        <v>-70.733000000000004</v>
      </c>
      <c r="BI57">
        <v>654.9</v>
      </c>
      <c r="BJ57">
        <v>-440.55399999999997</v>
      </c>
      <c r="BK57">
        <v>690.9</v>
      </c>
      <c r="BL57">
        <v>0</v>
      </c>
      <c r="BM57">
        <v>-261.161</v>
      </c>
      <c r="BN57">
        <v>-314</v>
      </c>
      <c r="BO57">
        <v>654.9</v>
      </c>
      <c r="BP57">
        <v>-1958</v>
      </c>
      <c r="BQ57">
        <v>690.9</v>
      </c>
      <c r="BR57">
        <v>0</v>
      </c>
      <c r="BS57">
        <v>-1161</v>
      </c>
      <c r="BT57">
        <v>0</v>
      </c>
      <c r="BU57">
        <v>100</v>
      </c>
      <c r="BV57">
        <v>0</v>
      </c>
      <c r="BW57">
        <v>0</v>
      </c>
    </row>
    <row r="58" spans="1:75" x14ac:dyDescent="0.25">
      <c r="A58" s="3">
        <v>720</v>
      </c>
      <c r="B58" s="3">
        <v>7</v>
      </c>
      <c r="C58">
        <v>0</v>
      </c>
      <c r="D58">
        <v>0</v>
      </c>
      <c r="E58">
        <v>2.6570658023227981E-4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T58" s="3">
        <v>720</v>
      </c>
      <c r="U58" s="3">
        <v>7</v>
      </c>
      <c r="V58">
        <v>0</v>
      </c>
      <c r="W58">
        <v>0</v>
      </c>
      <c r="X58">
        <v>1.000000000033197E-3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 s="3">
        <v>720</v>
      </c>
      <c r="AN58" s="3">
        <v>7</v>
      </c>
      <c r="AO58">
        <v>185.67699999999999</v>
      </c>
      <c r="AP58">
        <v>670.9</v>
      </c>
      <c r="AQ58">
        <v>-376.35399999999998</v>
      </c>
      <c r="AR58">
        <v>716.9</v>
      </c>
      <c r="AS58">
        <v>30.785</v>
      </c>
      <c r="AT58">
        <v>-156.72800000000001</v>
      </c>
      <c r="AU58">
        <v>265</v>
      </c>
      <c r="AV58">
        <v>670.9</v>
      </c>
      <c r="AW58">
        <v>-538</v>
      </c>
      <c r="AX58">
        <v>716.9</v>
      </c>
      <c r="AY58">
        <v>44</v>
      </c>
      <c r="AZ58">
        <v>-224</v>
      </c>
      <c r="BA58">
        <v>31</v>
      </c>
      <c r="BB58">
        <v>69</v>
      </c>
      <c r="BC58">
        <v>0</v>
      </c>
      <c r="BD58">
        <v>0</v>
      </c>
      <c r="BF58" s="3">
        <v>720</v>
      </c>
      <c r="BG58" s="3">
        <v>7</v>
      </c>
      <c r="BH58">
        <v>185.67699999999999</v>
      </c>
      <c r="BI58">
        <v>670.9</v>
      </c>
      <c r="BJ58">
        <v>-376.35500000000002</v>
      </c>
      <c r="BK58">
        <v>716.9</v>
      </c>
      <c r="BL58">
        <v>30.785</v>
      </c>
      <c r="BM58">
        <v>-156.72800000000001</v>
      </c>
      <c r="BN58">
        <v>265</v>
      </c>
      <c r="BO58">
        <v>670.9</v>
      </c>
      <c r="BP58">
        <v>-538</v>
      </c>
      <c r="BQ58">
        <v>716.9</v>
      </c>
      <c r="BR58">
        <v>44</v>
      </c>
      <c r="BS58">
        <v>-224</v>
      </c>
      <c r="BT58">
        <v>31</v>
      </c>
      <c r="BU58">
        <v>69</v>
      </c>
      <c r="BV58">
        <v>0</v>
      </c>
      <c r="BW58">
        <v>0</v>
      </c>
    </row>
    <row r="59" spans="1:75" x14ac:dyDescent="0.25">
      <c r="A59" s="3">
        <v>720</v>
      </c>
      <c r="B59" s="3">
        <v>8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T59" s="3">
        <v>720</v>
      </c>
      <c r="U59" s="3">
        <v>8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 s="3">
        <v>720</v>
      </c>
      <c r="AN59" s="3">
        <v>8</v>
      </c>
      <c r="AO59">
        <v>83.975999999999999</v>
      </c>
      <c r="AP59">
        <v>672.9</v>
      </c>
      <c r="AQ59">
        <v>-113.13500000000001</v>
      </c>
      <c r="AR59">
        <v>683.7</v>
      </c>
      <c r="AS59">
        <v>10.78</v>
      </c>
      <c r="AT59">
        <v>-29.596</v>
      </c>
      <c r="AU59">
        <v>187</v>
      </c>
      <c r="AV59">
        <v>672.9</v>
      </c>
      <c r="AW59">
        <v>-251</v>
      </c>
      <c r="AX59">
        <v>683.7</v>
      </c>
      <c r="AY59">
        <v>24</v>
      </c>
      <c r="AZ59">
        <v>-66</v>
      </c>
      <c r="BA59">
        <v>30.1</v>
      </c>
      <c r="BB59">
        <v>69.900000000000006</v>
      </c>
      <c r="BC59">
        <v>0</v>
      </c>
      <c r="BD59">
        <v>0</v>
      </c>
      <c r="BF59" s="3">
        <v>720</v>
      </c>
      <c r="BG59" s="3">
        <v>8</v>
      </c>
      <c r="BH59">
        <v>83.975999999999999</v>
      </c>
      <c r="BI59">
        <v>672.9</v>
      </c>
      <c r="BJ59">
        <v>-113.13500000000001</v>
      </c>
      <c r="BK59">
        <v>683.7</v>
      </c>
      <c r="BL59">
        <v>10.78</v>
      </c>
      <c r="BM59">
        <v>-29.596</v>
      </c>
      <c r="BN59">
        <v>187</v>
      </c>
      <c r="BO59">
        <v>672.9</v>
      </c>
      <c r="BP59">
        <v>-251</v>
      </c>
      <c r="BQ59">
        <v>683.7</v>
      </c>
      <c r="BR59">
        <v>24</v>
      </c>
      <c r="BS59">
        <v>-66</v>
      </c>
      <c r="BT59">
        <v>30.1</v>
      </c>
      <c r="BU59">
        <v>69.900000000000006</v>
      </c>
      <c r="BV59">
        <v>0</v>
      </c>
      <c r="BW59">
        <v>0</v>
      </c>
    </row>
    <row r="60" spans="1:75" x14ac:dyDescent="0.25">
      <c r="A60" s="3">
        <v>720</v>
      </c>
      <c r="B60" s="3">
        <v>9</v>
      </c>
      <c r="C60">
        <v>0</v>
      </c>
      <c r="D60">
        <v>0</v>
      </c>
      <c r="E60">
        <v>2.3801646598701779E-4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T60" s="3">
        <v>720</v>
      </c>
      <c r="U60" s="3">
        <v>9</v>
      </c>
      <c r="V60">
        <v>0</v>
      </c>
      <c r="W60">
        <v>0</v>
      </c>
      <c r="X60">
        <v>1.000000000033197E-3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 s="3">
        <v>720</v>
      </c>
      <c r="AN60" s="3">
        <v>9</v>
      </c>
      <c r="AO60">
        <v>117.488</v>
      </c>
      <c r="AP60">
        <v>668.5</v>
      </c>
      <c r="AQ60">
        <v>-420.13799999999998</v>
      </c>
      <c r="AR60">
        <v>716.9</v>
      </c>
      <c r="AS60">
        <v>29.274999999999999</v>
      </c>
      <c r="AT60">
        <v>-136.40199999999999</v>
      </c>
      <c r="AU60">
        <v>168</v>
      </c>
      <c r="AV60">
        <v>668.5</v>
      </c>
      <c r="AW60">
        <v>-600</v>
      </c>
      <c r="AX60">
        <v>716.9</v>
      </c>
      <c r="AY60">
        <v>42</v>
      </c>
      <c r="AZ60">
        <v>-195</v>
      </c>
      <c r="BA60">
        <v>38.1</v>
      </c>
      <c r="BB60">
        <v>61.9</v>
      </c>
      <c r="BC60">
        <v>0</v>
      </c>
      <c r="BD60">
        <v>0</v>
      </c>
      <c r="BF60" s="3">
        <v>720</v>
      </c>
      <c r="BG60" s="3">
        <v>9</v>
      </c>
      <c r="BH60">
        <v>117.488</v>
      </c>
      <c r="BI60">
        <v>668.5</v>
      </c>
      <c r="BJ60">
        <v>-420.13900000000001</v>
      </c>
      <c r="BK60">
        <v>716.9</v>
      </c>
      <c r="BL60">
        <v>29.274999999999999</v>
      </c>
      <c r="BM60">
        <v>-136.40199999999999</v>
      </c>
      <c r="BN60">
        <v>168</v>
      </c>
      <c r="BO60">
        <v>668.5</v>
      </c>
      <c r="BP60">
        <v>-600</v>
      </c>
      <c r="BQ60">
        <v>716.9</v>
      </c>
      <c r="BR60">
        <v>42</v>
      </c>
      <c r="BS60">
        <v>-195</v>
      </c>
      <c r="BT60">
        <v>38.1</v>
      </c>
      <c r="BU60">
        <v>61.9</v>
      </c>
      <c r="BV60">
        <v>0</v>
      </c>
      <c r="BW60">
        <v>0</v>
      </c>
    </row>
    <row r="61" spans="1:75" x14ac:dyDescent="0.25">
      <c r="A61" s="3">
        <v>720</v>
      </c>
      <c r="B61" s="3">
        <v>10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T61" s="3">
        <v>720</v>
      </c>
      <c r="U61" s="3">
        <v>10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 s="3">
        <v>720</v>
      </c>
      <c r="AN61" s="3">
        <v>10</v>
      </c>
      <c r="AO61">
        <v>103.29300000000001</v>
      </c>
      <c r="AP61">
        <v>643.70000000000005</v>
      </c>
      <c r="AQ61">
        <v>-84.59</v>
      </c>
      <c r="AR61">
        <v>708.5</v>
      </c>
      <c r="AS61">
        <v>24.117000000000001</v>
      </c>
      <c r="AT61">
        <v>-14.382999999999999</v>
      </c>
      <c r="AU61">
        <v>230</v>
      </c>
      <c r="AV61">
        <v>643.70000000000005</v>
      </c>
      <c r="AW61">
        <v>-188</v>
      </c>
      <c r="AX61">
        <v>708.5</v>
      </c>
      <c r="AY61">
        <v>54</v>
      </c>
      <c r="AZ61">
        <v>-32</v>
      </c>
      <c r="BA61">
        <v>58.8</v>
      </c>
      <c r="BB61">
        <v>41.2</v>
      </c>
      <c r="BC61">
        <v>0</v>
      </c>
      <c r="BD61">
        <v>0</v>
      </c>
      <c r="BF61" s="3">
        <v>720</v>
      </c>
      <c r="BG61" s="3">
        <v>10</v>
      </c>
      <c r="BH61">
        <v>103.29300000000001</v>
      </c>
      <c r="BI61">
        <v>643.70000000000005</v>
      </c>
      <c r="BJ61">
        <v>-84.59</v>
      </c>
      <c r="BK61">
        <v>708.5</v>
      </c>
      <c r="BL61">
        <v>24.117000000000001</v>
      </c>
      <c r="BM61">
        <v>-14.382999999999999</v>
      </c>
      <c r="BN61">
        <v>230</v>
      </c>
      <c r="BO61">
        <v>643.70000000000005</v>
      </c>
      <c r="BP61">
        <v>-188</v>
      </c>
      <c r="BQ61">
        <v>708.5</v>
      </c>
      <c r="BR61">
        <v>54</v>
      </c>
      <c r="BS61">
        <v>-32</v>
      </c>
      <c r="BT61">
        <v>58.8</v>
      </c>
      <c r="BU61">
        <v>41.2</v>
      </c>
      <c r="BV61">
        <v>0</v>
      </c>
      <c r="BW61">
        <v>0</v>
      </c>
    </row>
    <row r="62" spans="1:75" x14ac:dyDescent="0.25">
      <c r="A62" s="3">
        <v>720</v>
      </c>
      <c r="B62" s="3">
        <v>11</v>
      </c>
      <c r="C62">
        <v>0</v>
      </c>
      <c r="D62">
        <v>0</v>
      </c>
      <c r="E62">
        <v>2.342485423829057E-4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T62" s="3">
        <v>720</v>
      </c>
      <c r="U62" s="3">
        <v>11</v>
      </c>
      <c r="V62">
        <v>0</v>
      </c>
      <c r="W62">
        <v>0</v>
      </c>
      <c r="X62">
        <v>9.9999999997635314E-4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 s="3">
        <v>720</v>
      </c>
      <c r="AN62" s="3">
        <v>11</v>
      </c>
      <c r="AO62">
        <v>131.03200000000001</v>
      </c>
      <c r="AP62">
        <v>654.9</v>
      </c>
      <c r="AQ62">
        <v>-426.89600000000002</v>
      </c>
      <c r="AR62">
        <v>711.7</v>
      </c>
      <c r="AS62">
        <v>38.381</v>
      </c>
      <c r="AT62">
        <v>-135.774</v>
      </c>
      <c r="AU62">
        <v>187</v>
      </c>
      <c r="AV62">
        <v>654.9</v>
      </c>
      <c r="AW62">
        <v>-610</v>
      </c>
      <c r="AX62">
        <v>711.7</v>
      </c>
      <c r="AY62">
        <v>55</v>
      </c>
      <c r="AZ62">
        <v>-194</v>
      </c>
      <c r="BA62">
        <v>42.5</v>
      </c>
      <c r="BB62">
        <v>57.5</v>
      </c>
      <c r="BC62">
        <v>0</v>
      </c>
      <c r="BD62">
        <v>0</v>
      </c>
      <c r="BF62" s="3">
        <v>720</v>
      </c>
      <c r="BG62" s="3">
        <v>11</v>
      </c>
      <c r="BH62">
        <v>131.03200000000001</v>
      </c>
      <c r="BI62">
        <v>654.9</v>
      </c>
      <c r="BJ62">
        <v>-426.89699999999999</v>
      </c>
      <c r="BK62">
        <v>711.7</v>
      </c>
      <c r="BL62">
        <v>38.381</v>
      </c>
      <c r="BM62">
        <v>-135.774</v>
      </c>
      <c r="BN62">
        <v>187</v>
      </c>
      <c r="BO62">
        <v>654.9</v>
      </c>
      <c r="BP62">
        <v>-610</v>
      </c>
      <c r="BQ62">
        <v>711.7</v>
      </c>
      <c r="BR62">
        <v>55</v>
      </c>
      <c r="BS62">
        <v>-194</v>
      </c>
      <c r="BT62">
        <v>42.5</v>
      </c>
      <c r="BU62">
        <v>57.5</v>
      </c>
      <c r="BV62">
        <v>0</v>
      </c>
      <c r="BW62">
        <v>0</v>
      </c>
    </row>
    <row r="63" spans="1:75" x14ac:dyDescent="0.25">
      <c r="A63" s="3">
        <v>720</v>
      </c>
      <c r="B63" s="3">
        <v>12</v>
      </c>
      <c r="C63">
        <v>0</v>
      </c>
      <c r="D63">
        <v>0</v>
      </c>
      <c r="E63">
        <v>2.342485423829057E-4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T63" s="3">
        <v>720</v>
      </c>
      <c r="U63" s="3">
        <v>12</v>
      </c>
      <c r="V63">
        <v>0</v>
      </c>
      <c r="W63">
        <v>0</v>
      </c>
      <c r="X63">
        <v>9.9999999997635314E-4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 s="3">
        <v>720</v>
      </c>
      <c r="AN63" s="3">
        <v>12</v>
      </c>
      <c r="AO63">
        <v>131.03200000000001</v>
      </c>
      <c r="AP63">
        <v>654.9</v>
      </c>
      <c r="AQ63">
        <v>-426.89600000000002</v>
      </c>
      <c r="AR63">
        <v>711.7</v>
      </c>
      <c r="AS63">
        <v>38.381</v>
      </c>
      <c r="AT63">
        <v>-135.774</v>
      </c>
      <c r="AU63">
        <v>328</v>
      </c>
      <c r="AV63">
        <v>654.9</v>
      </c>
      <c r="AW63">
        <v>-1067</v>
      </c>
      <c r="AX63">
        <v>711.7</v>
      </c>
      <c r="AY63">
        <v>96</v>
      </c>
      <c r="AZ63">
        <v>-339</v>
      </c>
      <c r="BA63">
        <v>42.5</v>
      </c>
      <c r="BB63">
        <v>57.5</v>
      </c>
      <c r="BC63">
        <v>0</v>
      </c>
      <c r="BD63">
        <v>0</v>
      </c>
      <c r="BF63" s="3">
        <v>720</v>
      </c>
      <c r="BG63" s="3">
        <v>12</v>
      </c>
      <c r="BH63">
        <v>131.03200000000001</v>
      </c>
      <c r="BI63">
        <v>654.9</v>
      </c>
      <c r="BJ63">
        <v>-426.89699999999999</v>
      </c>
      <c r="BK63">
        <v>711.7</v>
      </c>
      <c r="BL63">
        <v>38.381</v>
      </c>
      <c r="BM63">
        <v>-135.774</v>
      </c>
      <c r="BN63">
        <v>328</v>
      </c>
      <c r="BO63">
        <v>654.9</v>
      </c>
      <c r="BP63">
        <v>-1067</v>
      </c>
      <c r="BQ63">
        <v>711.7</v>
      </c>
      <c r="BR63">
        <v>96</v>
      </c>
      <c r="BS63">
        <v>-339</v>
      </c>
      <c r="BT63">
        <v>42.5</v>
      </c>
      <c r="BU63">
        <v>57.5</v>
      </c>
      <c r="BV63">
        <v>0</v>
      </c>
      <c r="BW63">
        <v>0</v>
      </c>
    </row>
    <row r="64" spans="1:75" x14ac:dyDescent="0.25">
      <c r="A64" s="3">
        <v>720</v>
      </c>
      <c r="B64" s="3">
        <v>13</v>
      </c>
      <c r="C64">
        <v>0</v>
      </c>
      <c r="D64">
        <v>0</v>
      </c>
      <c r="E64">
        <v>0</v>
      </c>
      <c r="F64">
        <v>0</v>
      </c>
      <c r="H64">
        <v>0</v>
      </c>
      <c r="I64">
        <v>0</v>
      </c>
      <c r="J64">
        <v>0</v>
      </c>
      <c r="K64">
        <v>0</v>
      </c>
      <c r="L64">
        <v>0</v>
      </c>
      <c r="N64">
        <v>0</v>
      </c>
      <c r="P64">
        <v>0</v>
      </c>
      <c r="T64" s="3">
        <v>720</v>
      </c>
      <c r="U64" s="3">
        <v>13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 s="3">
        <v>720</v>
      </c>
      <c r="AN64" s="3">
        <v>13</v>
      </c>
      <c r="AO64">
        <v>-1.7609999999999999</v>
      </c>
      <c r="AP64">
        <v>654.9</v>
      </c>
      <c r="AQ64">
        <v>-558.26800000000003</v>
      </c>
      <c r="AR64">
        <v>712.1</v>
      </c>
      <c r="AS64">
        <v>0</v>
      </c>
      <c r="AT64">
        <v>-234.19399999999999</v>
      </c>
      <c r="AU64">
        <v>-4</v>
      </c>
      <c r="AV64">
        <v>654.9</v>
      </c>
      <c r="AW64">
        <v>-1396</v>
      </c>
      <c r="AX64">
        <v>712.1</v>
      </c>
      <c r="AY64">
        <v>0</v>
      </c>
      <c r="AZ64">
        <v>-585</v>
      </c>
      <c r="BA64">
        <v>0</v>
      </c>
      <c r="BB64">
        <v>100</v>
      </c>
      <c r="BC64">
        <v>0</v>
      </c>
      <c r="BD64">
        <v>0</v>
      </c>
      <c r="BF64" s="3">
        <v>720</v>
      </c>
      <c r="BG64" s="3">
        <v>13</v>
      </c>
      <c r="BH64">
        <v>-1.7609999999999999</v>
      </c>
      <c r="BI64">
        <v>654.9</v>
      </c>
      <c r="BJ64">
        <v>-558.26800000000003</v>
      </c>
      <c r="BK64">
        <v>712.1</v>
      </c>
      <c r="BL64">
        <v>0</v>
      </c>
      <c r="BM64">
        <v>-234.19399999999999</v>
      </c>
      <c r="BN64">
        <v>-4</v>
      </c>
      <c r="BO64">
        <v>654.9</v>
      </c>
      <c r="BP64">
        <v>-1396</v>
      </c>
      <c r="BQ64">
        <v>712.1</v>
      </c>
      <c r="BR64">
        <v>0</v>
      </c>
      <c r="BS64">
        <v>-585</v>
      </c>
      <c r="BT64">
        <v>0</v>
      </c>
      <c r="BU64">
        <v>100</v>
      </c>
      <c r="BV64">
        <v>0</v>
      </c>
      <c r="BW64">
        <v>0</v>
      </c>
    </row>
    <row r="65" spans="1:75" x14ac:dyDescent="0.25">
      <c r="A65" s="3">
        <v>720</v>
      </c>
      <c r="B65" s="3">
        <v>14</v>
      </c>
      <c r="C65">
        <v>0</v>
      </c>
      <c r="D65">
        <v>0</v>
      </c>
      <c r="E65">
        <v>0</v>
      </c>
      <c r="F65">
        <v>0</v>
      </c>
      <c r="H65">
        <v>0</v>
      </c>
      <c r="I65">
        <v>0</v>
      </c>
      <c r="J65">
        <v>0</v>
      </c>
      <c r="K65">
        <v>0</v>
      </c>
      <c r="L65">
        <v>0</v>
      </c>
      <c r="N65">
        <v>0</v>
      </c>
      <c r="P65">
        <v>0</v>
      </c>
      <c r="T65" s="3">
        <v>720</v>
      </c>
      <c r="U65" s="3">
        <v>14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 s="3">
        <v>720</v>
      </c>
      <c r="AN65" s="3">
        <v>14</v>
      </c>
      <c r="AO65">
        <v>-1.7609999999999999</v>
      </c>
      <c r="AP65">
        <v>654.9</v>
      </c>
      <c r="AQ65">
        <v>-558.26800000000003</v>
      </c>
      <c r="AR65">
        <v>712.1</v>
      </c>
      <c r="AS65">
        <v>0</v>
      </c>
      <c r="AT65">
        <v>-234.19399999999999</v>
      </c>
      <c r="AU65">
        <v>-3</v>
      </c>
      <c r="AV65">
        <v>654.9</v>
      </c>
      <c r="AW65">
        <v>-798</v>
      </c>
      <c r="AX65">
        <v>712.1</v>
      </c>
      <c r="AY65">
        <v>0</v>
      </c>
      <c r="AZ65">
        <v>-335</v>
      </c>
      <c r="BA65">
        <v>0</v>
      </c>
      <c r="BB65">
        <v>100</v>
      </c>
      <c r="BC65">
        <v>0</v>
      </c>
      <c r="BD65">
        <v>0</v>
      </c>
      <c r="BF65" s="3">
        <v>720</v>
      </c>
      <c r="BG65" s="3">
        <v>14</v>
      </c>
      <c r="BH65">
        <v>-1.7609999999999999</v>
      </c>
      <c r="BI65">
        <v>654.9</v>
      </c>
      <c r="BJ65">
        <v>-558.26800000000003</v>
      </c>
      <c r="BK65">
        <v>712.1</v>
      </c>
      <c r="BL65">
        <v>0</v>
      </c>
      <c r="BM65">
        <v>-234.19399999999999</v>
      </c>
      <c r="BN65">
        <v>-3</v>
      </c>
      <c r="BO65">
        <v>654.9</v>
      </c>
      <c r="BP65">
        <v>-798</v>
      </c>
      <c r="BQ65">
        <v>712.1</v>
      </c>
      <c r="BR65">
        <v>0</v>
      </c>
      <c r="BS65">
        <v>-335</v>
      </c>
      <c r="BT65">
        <v>0</v>
      </c>
      <c r="BU65">
        <v>100</v>
      </c>
      <c r="BV65">
        <v>0</v>
      </c>
      <c r="BW65">
        <v>0</v>
      </c>
    </row>
    <row r="66" spans="1:75" x14ac:dyDescent="0.25">
      <c r="A66" s="3">
        <v>720</v>
      </c>
      <c r="B66" s="3">
        <v>103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T66" s="3">
        <v>720</v>
      </c>
      <c r="U66" s="3">
        <v>103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 s="3">
        <v>720</v>
      </c>
      <c r="AN66" s="3">
        <v>103</v>
      </c>
      <c r="AO66">
        <v>258.73500000000001</v>
      </c>
      <c r="AP66">
        <v>661.7</v>
      </c>
      <c r="AQ66">
        <v>-95.796999999999997</v>
      </c>
      <c r="AR66">
        <v>672.9</v>
      </c>
      <c r="AS66">
        <v>49.707000000000001</v>
      </c>
      <c r="AT66">
        <v>-20.992999999999999</v>
      </c>
      <c r="AU66">
        <v>1294</v>
      </c>
      <c r="AV66">
        <v>661.7</v>
      </c>
      <c r="AW66">
        <v>-479</v>
      </c>
      <c r="AX66">
        <v>672.9</v>
      </c>
      <c r="AY66">
        <v>249</v>
      </c>
      <c r="AZ66">
        <v>-105</v>
      </c>
      <c r="BA66">
        <v>54.9</v>
      </c>
      <c r="BB66">
        <v>45.1</v>
      </c>
      <c r="BC66">
        <v>1000</v>
      </c>
      <c r="BD66">
        <v>8</v>
      </c>
      <c r="BF66" s="3">
        <v>720</v>
      </c>
      <c r="BG66" s="3">
        <v>103</v>
      </c>
      <c r="BH66">
        <v>258.73500000000001</v>
      </c>
      <c r="BI66">
        <v>661.7</v>
      </c>
      <c r="BJ66">
        <v>-95.796999999999997</v>
      </c>
      <c r="BK66">
        <v>672.9</v>
      </c>
      <c r="BL66">
        <v>49.707000000000001</v>
      </c>
      <c r="BM66">
        <v>-20.992999999999999</v>
      </c>
      <c r="BN66">
        <v>1294</v>
      </c>
      <c r="BO66">
        <v>661.7</v>
      </c>
      <c r="BP66">
        <v>-479</v>
      </c>
      <c r="BQ66">
        <v>672.9</v>
      </c>
      <c r="BR66">
        <v>249</v>
      </c>
      <c r="BS66">
        <v>-105</v>
      </c>
      <c r="BT66">
        <v>54.9</v>
      </c>
      <c r="BU66">
        <v>45.1</v>
      </c>
      <c r="BV66">
        <v>1000</v>
      </c>
      <c r="BW66">
        <v>8</v>
      </c>
    </row>
    <row r="67" spans="1:75" x14ac:dyDescent="0.25">
      <c r="A67" s="3">
        <v>720</v>
      </c>
      <c r="B67" s="3">
        <v>104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T67" s="3">
        <v>720</v>
      </c>
      <c r="U67" s="3">
        <v>104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 s="3">
        <v>720</v>
      </c>
      <c r="AN67" s="3">
        <v>104</v>
      </c>
      <c r="AO67">
        <v>121.708</v>
      </c>
      <c r="AP67">
        <v>685.7</v>
      </c>
      <c r="AQ67">
        <v>-189.34700000000001</v>
      </c>
      <c r="AR67">
        <v>694.9</v>
      </c>
      <c r="AS67">
        <v>16.465</v>
      </c>
      <c r="AT67">
        <v>-44.963000000000001</v>
      </c>
      <c r="AU67">
        <v>917</v>
      </c>
      <c r="AV67">
        <v>685.7</v>
      </c>
      <c r="AW67">
        <v>-1427</v>
      </c>
      <c r="AX67">
        <v>694.9</v>
      </c>
      <c r="AY67">
        <v>124</v>
      </c>
      <c r="AZ67">
        <v>-339</v>
      </c>
      <c r="BA67">
        <v>27.9</v>
      </c>
      <c r="BB67">
        <v>72.099999999999994</v>
      </c>
      <c r="BC67">
        <v>1000</v>
      </c>
      <c r="BD67">
        <v>13.7</v>
      </c>
      <c r="BF67" s="3">
        <v>720</v>
      </c>
      <c r="BG67" s="3">
        <v>104</v>
      </c>
      <c r="BH67">
        <v>121.708</v>
      </c>
      <c r="BI67">
        <v>685.7</v>
      </c>
      <c r="BJ67">
        <v>-189.34700000000001</v>
      </c>
      <c r="BK67">
        <v>694.9</v>
      </c>
      <c r="BL67">
        <v>16.465</v>
      </c>
      <c r="BM67">
        <v>-44.963000000000001</v>
      </c>
      <c r="BN67">
        <v>917</v>
      </c>
      <c r="BO67">
        <v>685.7</v>
      </c>
      <c r="BP67">
        <v>-1427</v>
      </c>
      <c r="BQ67">
        <v>694.9</v>
      </c>
      <c r="BR67">
        <v>124</v>
      </c>
      <c r="BS67">
        <v>-339</v>
      </c>
      <c r="BT67">
        <v>27.9</v>
      </c>
      <c r="BU67">
        <v>72.099999999999994</v>
      </c>
      <c r="BV67">
        <v>1000</v>
      </c>
      <c r="BW67">
        <v>13.7</v>
      </c>
    </row>
    <row r="68" spans="1:75" x14ac:dyDescent="0.25">
      <c r="A68" s="3">
        <v>720</v>
      </c>
      <c r="B68" s="3">
        <v>110</v>
      </c>
      <c r="C68">
        <v>1.174067203595656E-3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T68" s="3">
        <v>720</v>
      </c>
      <c r="U68" s="3">
        <v>110</v>
      </c>
      <c r="V68">
        <v>9.9999999999056399E-4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 s="3">
        <v>720</v>
      </c>
      <c r="AN68" s="3">
        <v>110</v>
      </c>
      <c r="AO68">
        <v>85.174999999999997</v>
      </c>
      <c r="AP68">
        <v>708.9</v>
      </c>
      <c r="AQ68">
        <v>-117.15600000000001</v>
      </c>
      <c r="AR68">
        <v>647.29999999999995</v>
      </c>
      <c r="AS68">
        <v>19.385000000000002</v>
      </c>
      <c r="AT68">
        <v>-47.935000000000002</v>
      </c>
      <c r="AU68">
        <v>883</v>
      </c>
      <c r="AV68">
        <v>708.9</v>
      </c>
      <c r="AW68">
        <v>-1214</v>
      </c>
      <c r="AX68">
        <v>647.29999999999995</v>
      </c>
      <c r="AY68">
        <v>201</v>
      </c>
      <c r="AZ68">
        <v>-497</v>
      </c>
      <c r="BA68">
        <v>33.6</v>
      </c>
      <c r="BB68">
        <v>66.400000000000006</v>
      </c>
      <c r="BC68">
        <v>1000</v>
      </c>
      <c r="BD68">
        <v>0</v>
      </c>
      <c r="BF68" s="3">
        <v>720</v>
      </c>
      <c r="BG68" s="3">
        <v>110</v>
      </c>
      <c r="BH68">
        <v>85.174000000000007</v>
      </c>
      <c r="BI68">
        <v>708.9</v>
      </c>
      <c r="BJ68">
        <v>-117.15600000000001</v>
      </c>
      <c r="BK68">
        <v>647.29999999999995</v>
      </c>
      <c r="BL68">
        <v>19.385000000000002</v>
      </c>
      <c r="BM68">
        <v>-47.935000000000002</v>
      </c>
      <c r="BN68">
        <v>883</v>
      </c>
      <c r="BO68">
        <v>708.9</v>
      </c>
      <c r="BP68">
        <v>-1214</v>
      </c>
      <c r="BQ68">
        <v>647.29999999999995</v>
      </c>
      <c r="BR68">
        <v>201</v>
      </c>
      <c r="BS68">
        <v>-497</v>
      </c>
      <c r="BT68">
        <v>33.6</v>
      </c>
      <c r="BU68">
        <v>66.400000000000006</v>
      </c>
      <c r="BV68">
        <v>1000</v>
      </c>
      <c r="BW68">
        <v>0</v>
      </c>
    </row>
    <row r="69" spans="1:75" x14ac:dyDescent="0.25">
      <c r="A69" s="3">
        <v>720</v>
      </c>
      <c r="B69" s="3">
        <v>114</v>
      </c>
      <c r="C69">
        <v>0</v>
      </c>
      <c r="D69">
        <v>0</v>
      </c>
      <c r="E69">
        <v>0</v>
      </c>
      <c r="F69">
        <v>0</v>
      </c>
      <c r="G69">
        <v>0</v>
      </c>
      <c r="I69">
        <v>0</v>
      </c>
      <c r="J69">
        <v>0</v>
      </c>
      <c r="K69">
        <v>0</v>
      </c>
      <c r="L69">
        <v>0</v>
      </c>
      <c r="M69">
        <v>0</v>
      </c>
      <c r="O69">
        <v>0</v>
      </c>
      <c r="Q69">
        <v>0</v>
      </c>
      <c r="R69">
        <v>0</v>
      </c>
      <c r="T69" s="3">
        <v>720</v>
      </c>
      <c r="U69" s="3">
        <v>114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 s="3">
        <v>720</v>
      </c>
      <c r="AN69" s="3">
        <v>114</v>
      </c>
      <c r="AO69">
        <v>144.89500000000001</v>
      </c>
      <c r="AP69">
        <v>701.7</v>
      </c>
      <c r="AQ69">
        <v>118.324</v>
      </c>
      <c r="AR69">
        <v>650.1</v>
      </c>
      <c r="AS69">
        <v>136.80099999999999</v>
      </c>
      <c r="AT69">
        <v>0</v>
      </c>
      <c r="AU69">
        <v>966</v>
      </c>
      <c r="AV69">
        <v>701.7</v>
      </c>
      <c r="AW69">
        <v>789</v>
      </c>
      <c r="AX69">
        <v>650.1</v>
      </c>
      <c r="AY69">
        <v>912</v>
      </c>
      <c r="AZ69">
        <v>0</v>
      </c>
      <c r="BA69">
        <v>100</v>
      </c>
      <c r="BB69">
        <v>0</v>
      </c>
      <c r="BC69">
        <v>1000</v>
      </c>
      <c r="BD69">
        <v>92.9</v>
      </c>
      <c r="BF69" s="3">
        <v>720</v>
      </c>
      <c r="BG69" s="3">
        <v>114</v>
      </c>
      <c r="BH69">
        <v>144.89500000000001</v>
      </c>
      <c r="BI69">
        <v>701.7</v>
      </c>
      <c r="BJ69">
        <v>118.324</v>
      </c>
      <c r="BK69">
        <v>650.1</v>
      </c>
      <c r="BL69">
        <v>136.80099999999999</v>
      </c>
      <c r="BM69">
        <v>0</v>
      </c>
      <c r="BN69">
        <v>966</v>
      </c>
      <c r="BO69">
        <v>701.7</v>
      </c>
      <c r="BP69">
        <v>789</v>
      </c>
      <c r="BQ69">
        <v>650.1</v>
      </c>
      <c r="BR69">
        <v>912</v>
      </c>
      <c r="BS69">
        <v>0</v>
      </c>
      <c r="BT69">
        <v>100</v>
      </c>
      <c r="BU69">
        <v>0</v>
      </c>
      <c r="BV69">
        <v>1000</v>
      </c>
      <c r="BW69">
        <v>92.9</v>
      </c>
    </row>
    <row r="70" spans="1:75" x14ac:dyDescent="0.25">
      <c r="A70" s="3">
        <v>990</v>
      </c>
      <c r="B70" s="3">
        <v>1</v>
      </c>
      <c r="C70">
        <v>0</v>
      </c>
      <c r="D70">
        <v>0</v>
      </c>
      <c r="E70">
        <v>0</v>
      </c>
      <c r="F70">
        <v>0</v>
      </c>
      <c r="G70">
        <v>0</v>
      </c>
      <c r="I70">
        <v>0</v>
      </c>
      <c r="J70">
        <v>0</v>
      </c>
      <c r="K70">
        <v>0</v>
      </c>
      <c r="L70">
        <v>0</v>
      </c>
      <c r="M70">
        <v>0</v>
      </c>
      <c r="O70">
        <v>0</v>
      </c>
      <c r="T70" s="3">
        <v>990</v>
      </c>
      <c r="U70" s="3">
        <v>1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 s="3">
        <v>990</v>
      </c>
      <c r="AN70" s="3">
        <v>1</v>
      </c>
      <c r="AO70">
        <v>446.65899999999999</v>
      </c>
      <c r="AP70">
        <v>932.1</v>
      </c>
      <c r="AQ70">
        <v>22.847999999999999</v>
      </c>
      <c r="AR70">
        <v>908.9</v>
      </c>
      <c r="AS70">
        <v>163.72900000000001</v>
      </c>
      <c r="AT70">
        <v>0</v>
      </c>
      <c r="AU70">
        <v>1489</v>
      </c>
      <c r="AV70">
        <v>932.1</v>
      </c>
      <c r="AW70">
        <v>76</v>
      </c>
      <c r="AX70">
        <v>908.9</v>
      </c>
      <c r="AY70">
        <v>546</v>
      </c>
      <c r="AZ70">
        <v>0</v>
      </c>
      <c r="BA70">
        <v>100</v>
      </c>
      <c r="BB70">
        <v>0</v>
      </c>
      <c r="BC70">
        <v>0</v>
      </c>
      <c r="BD70">
        <v>0</v>
      </c>
      <c r="BF70" s="3">
        <v>990</v>
      </c>
      <c r="BG70" s="3">
        <v>1</v>
      </c>
      <c r="BH70">
        <v>446.65899999999999</v>
      </c>
      <c r="BI70">
        <v>932.1</v>
      </c>
      <c r="BJ70">
        <v>22.847999999999999</v>
      </c>
      <c r="BK70">
        <v>908.9</v>
      </c>
      <c r="BL70">
        <v>163.72900000000001</v>
      </c>
      <c r="BM70">
        <v>0</v>
      </c>
      <c r="BN70">
        <v>1489</v>
      </c>
      <c r="BO70">
        <v>932.1</v>
      </c>
      <c r="BP70">
        <v>76</v>
      </c>
      <c r="BQ70">
        <v>908.9</v>
      </c>
      <c r="BR70">
        <v>546</v>
      </c>
      <c r="BS70">
        <v>0</v>
      </c>
      <c r="BT70">
        <v>100</v>
      </c>
      <c r="BU70">
        <v>0</v>
      </c>
      <c r="BV70">
        <v>0</v>
      </c>
      <c r="BW70">
        <v>0</v>
      </c>
    </row>
    <row r="71" spans="1:75" x14ac:dyDescent="0.25">
      <c r="A71" s="3">
        <v>990</v>
      </c>
      <c r="B71" s="3">
        <v>2</v>
      </c>
      <c r="C71">
        <v>0</v>
      </c>
      <c r="D71">
        <v>0</v>
      </c>
      <c r="E71">
        <v>0</v>
      </c>
      <c r="F71">
        <v>0</v>
      </c>
      <c r="G71">
        <v>0</v>
      </c>
      <c r="I71">
        <v>0</v>
      </c>
      <c r="J71">
        <v>0</v>
      </c>
      <c r="K71">
        <v>0</v>
      </c>
      <c r="L71">
        <v>0</v>
      </c>
      <c r="M71">
        <v>0</v>
      </c>
      <c r="O71">
        <v>0</v>
      </c>
      <c r="T71" s="3">
        <v>990</v>
      </c>
      <c r="U71" s="3">
        <v>2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 s="3">
        <v>990</v>
      </c>
      <c r="AN71" s="3">
        <v>2</v>
      </c>
      <c r="AO71">
        <v>446.65899999999999</v>
      </c>
      <c r="AP71">
        <v>932.1</v>
      </c>
      <c r="AQ71">
        <v>22.847999999999999</v>
      </c>
      <c r="AR71">
        <v>908.9</v>
      </c>
      <c r="AS71">
        <v>163.72900000000001</v>
      </c>
      <c r="AT71">
        <v>0</v>
      </c>
      <c r="AU71">
        <v>1787</v>
      </c>
      <c r="AV71">
        <v>932.1</v>
      </c>
      <c r="AW71">
        <v>91</v>
      </c>
      <c r="AX71">
        <v>908.9</v>
      </c>
      <c r="AY71">
        <v>655</v>
      </c>
      <c r="AZ71">
        <v>0</v>
      </c>
      <c r="BA71">
        <v>100</v>
      </c>
      <c r="BB71">
        <v>0</v>
      </c>
      <c r="BC71">
        <v>0</v>
      </c>
      <c r="BD71">
        <v>0</v>
      </c>
      <c r="BF71" s="3">
        <v>990</v>
      </c>
      <c r="BG71" s="3">
        <v>2</v>
      </c>
      <c r="BH71">
        <v>446.65899999999999</v>
      </c>
      <c r="BI71">
        <v>932.1</v>
      </c>
      <c r="BJ71">
        <v>22.847999999999999</v>
      </c>
      <c r="BK71">
        <v>908.9</v>
      </c>
      <c r="BL71">
        <v>163.72900000000001</v>
      </c>
      <c r="BM71">
        <v>0</v>
      </c>
      <c r="BN71">
        <v>1787</v>
      </c>
      <c r="BO71">
        <v>932.1</v>
      </c>
      <c r="BP71">
        <v>91</v>
      </c>
      <c r="BQ71">
        <v>908.9</v>
      </c>
      <c r="BR71">
        <v>655</v>
      </c>
      <c r="BS71">
        <v>0</v>
      </c>
      <c r="BT71">
        <v>100</v>
      </c>
      <c r="BU71">
        <v>0</v>
      </c>
      <c r="BV71">
        <v>0</v>
      </c>
      <c r="BW71">
        <v>0</v>
      </c>
    </row>
    <row r="72" spans="1:75" x14ac:dyDescent="0.25">
      <c r="A72" s="3">
        <v>990</v>
      </c>
      <c r="B72" s="3">
        <v>3</v>
      </c>
      <c r="C72">
        <v>0</v>
      </c>
      <c r="D72">
        <v>0</v>
      </c>
      <c r="E72">
        <v>0</v>
      </c>
      <c r="F72">
        <v>0</v>
      </c>
      <c r="G72">
        <v>0</v>
      </c>
      <c r="I72">
        <v>0</v>
      </c>
      <c r="J72">
        <v>0</v>
      </c>
      <c r="K72">
        <v>0</v>
      </c>
      <c r="L72">
        <v>0</v>
      </c>
      <c r="M72">
        <v>0</v>
      </c>
      <c r="O72">
        <v>0</v>
      </c>
      <c r="T72" s="3">
        <v>990</v>
      </c>
      <c r="U72" s="3">
        <v>3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 s="3">
        <v>990</v>
      </c>
      <c r="AN72" s="3">
        <v>3</v>
      </c>
      <c r="AO72">
        <v>446.65899999999999</v>
      </c>
      <c r="AP72">
        <v>932.1</v>
      </c>
      <c r="AQ72">
        <v>22.847999999999999</v>
      </c>
      <c r="AR72">
        <v>908.9</v>
      </c>
      <c r="AS72">
        <v>163.72900000000001</v>
      </c>
      <c r="AT72">
        <v>0</v>
      </c>
      <c r="AU72">
        <v>1985</v>
      </c>
      <c r="AV72">
        <v>932.1</v>
      </c>
      <c r="AW72">
        <v>102</v>
      </c>
      <c r="AX72">
        <v>908.9</v>
      </c>
      <c r="AY72">
        <v>728</v>
      </c>
      <c r="AZ72">
        <v>0</v>
      </c>
      <c r="BA72">
        <v>100</v>
      </c>
      <c r="BB72">
        <v>0</v>
      </c>
      <c r="BC72">
        <v>0</v>
      </c>
      <c r="BD72">
        <v>0</v>
      </c>
      <c r="BF72" s="3">
        <v>990</v>
      </c>
      <c r="BG72" s="3">
        <v>3</v>
      </c>
      <c r="BH72">
        <v>446.65899999999999</v>
      </c>
      <c r="BI72">
        <v>932.1</v>
      </c>
      <c r="BJ72">
        <v>22.847999999999999</v>
      </c>
      <c r="BK72">
        <v>908.9</v>
      </c>
      <c r="BL72">
        <v>163.72900000000001</v>
      </c>
      <c r="BM72">
        <v>0</v>
      </c>
      <c r="BN72">
        <v>1985</v>
      </c>
      <c r="BO72">
        <v>932.1</v>
      </c>
      <c r="BP72">
        <v>102</v>
      </c>
      <c r="BQ72">
        <v>908.9</v>
      </c>
      <c r="BR72">
        <v>728</v>
      </c>
      <c r="BS72">
        <v>0</v>
      </c>
      <c r="BT72">
        <v>100</v>
      </c>
      <c r="BU72">
        <v>0</v>
      </c>
      <c r="BV72">
        <v>0</v>
      </c>
      <c r="BW72">
        <v>0</v>
      </c>
    </row>
    <row r="73" spans="1:75" x14ac:dyDescent="0.25">
      <c r="A73" s="3">
        <v>990</v>
      </c>
      <c r="B73" s="3">
        <v>4</v>
      </c>
      <c r="C73">
        <v>0</v>
      </c>
      <c r="D73">
        <v>0</v>
      </c>
      <c r="E73">
        <v>0</v>
      </c>
      <c r="F73">
        <v>0</v>
      </c>
      <c r="H73">
        <v>0</v>
      </c>
      <c r="I73">
        <v>0</v>
      </c>
      <c r="J73">
        <v>0</v>
      </c>
      <c r="K73">
        <v>0</v>
      </c>
      <c r="L73">
        <v>0</v>
      </c>
      <c r="N73">
        <v>0</v>
      </c>
      <c r="P73">
        <v>0</v>
      </c>
      <c r="T73" s="3">
        <v>990</v>
      </c>
      <c r="U73" s="3">
        <v>4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 s="3">
        <v>990</v>
      </c>
      <c r="AN73" s="3">
        <v>4</v>
      </c>
      <c r="AO73">
        <v>-149.304</v>
      </c>
      <c r="AP73">
        <v>929.7</v>
      </c>
      <c r="AQ73">
        <v>-599.54300000000001</v>
      </c>
      <c r="AR73">
        <v>964.5</v>
      </c>
      <c r="AS73">
        <v>0</v>
      </c>
      <c r="AT73">
        <v>-289.96800000000002</v>
      </c>
      <c r="AU73">
        <v>-664</v>
      </c>
      <c r="AV73">
        <v>929.7</v>
      </c>
      <c r="AW73">
        <v>-2665</v>
      </c>
      <c r="AX73">
        <v>964.5</v>
      </c>
      <c r="AY73">
        <v>0</v>
      </c>
      <c r="AZ73">
        <v>-1289</v>
      </c>
      <c r="BA73">
        <v>0</v>
      </c>
      <c r="BB73">
        <v>100</v>
      </c>
      <c r="BC73">
        <v>0</v>
      </c>
      <c r="BD73">
        <v>0</v>
      </c>
      <c r="BF73" s="3">
        <v>990</v>
      </c>
      <c r="BG73" s="3">
        <v>4</v>
      </c>
      <c r="BH73">
        <v>-149.304</v>
      </c>
      <c r="BI73">
        <v>929.7</v>
      </c>
      <c r="BJ73">
        <v>-599.54300000000001</v>
      </c>
      <c r="BK73">
        <v>964.5</v>
      </c>
      <c r="BL73">
        <v>0</v>
      </c>
      <c r="BM73">
        <v>-289.96800000000002</v>
      </c>
      <c r="BN73">
        <v>-664</v>
      </c>
      <c r="BO73">
        <v>929.7</v>
      </c>
      <c r="BP73">
        <v>-2665</v>
      </c>
      <c r="BQ73">
        <v>964.5</v>
      </c>
      <c r="BR73">
        <v>0</v>
      </c>
      <c r="BS73">
        <v>-1289</v>
      </c>
      <c r="BT73">
        <v>0</v>
      </c>
      <c r="BU73">
        <v>100</v>
      </c>
      <c r="BV73">
        <v>0</v>
      </c>
      <c r="BW73">
        <v>0</v>
      </c>
    </row>
    <row r="74" spans="1:75" x14ac:dyDescent="0.25">
      <c r="A74" s="3">
        <v>990</v>
      </c>
      <c r="B74" s="3">
        <v>5</v>
      </c>
      <c r="C74">
        <v>0</v>
      </c>
      <c r="D74">
        <v>0</v>
      </c>
      <c r="E74">
        <v>1.64012399338173E-3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T74" s="3">
        <v>990</v>
      </c>
      <c r="U74" s="3">
        <v>5</v>
      </c>
      <c r="V74">
        <v>0</v>
      </c>
      <c r="W74">
        <v>0</v>
      </c>
      <c r="X74">
        <v>-1.0000000000047751E-3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 s="3">
        <v>990</v>
      </c>
      <c r="AN74" s="3">
        <v>5</v>
      </c>
      <c r="AO74">
        <v>410.16300000000001</v>
      </c>
      <c r="AP74">
        <v>941.3</v>
      </c>
      <c r="AQ74">
        <v>-60.972000000000001</v>
      </c>
      <c r="AR74">
        <v>988.9</v>
      </c>
      <c r="AS74">
        <v>145.47200000000001</v>
      </c>
      <c r="AT74">
        <v>-10.577999999999999</v>
      </c>
      <c r="AU74">
        <v>1823</v>
      </c>
      <c r="AV74">
        <v>941.3</v>
      </c>
      <c r="AW74">
        <v>-271</v>
      </c>
      <c r="AX74">
        <v>988.9</v>
      </c>
      <c r="AY74">
        <v>647</v>
      </c>
      <c r="AZ74">
        <v>-47</v>
      </c>
      <c r="BA74">
        <v>73.5</v>
      </c>
      <c r="BB74">
        <v>26.5</v>
      </c>
      <c r="BC74">
        <v>0</v>
      </c>
      <c r="BD74">
        <v>0</v>
      </c>
      <c r="BF74" s="3">
        <v>990</v>
      </c>
      <c r="BG74" s="3">
        <v>5</v>
      </c>
      <c r="BH74">
        <v>410.16300000000001</v>
      </c>
      <c r="BI74">
        <v>941.3</v>
      </c>
      <c r="BJ74">
        <v>-60.970999999999997</v>
      </c>
      <c r="BK74">
        <v>988.9</v>
      </c>
      <c r="BL74">
        <v>145.47200000000001</v>
      </c>
      <c r="BM74">
        <v>-10.577999999999999</v>
      </c>
      <c r="BN74">
        <v>1823</v>
      </c>
      <c r="BO74">
        <v>941.3</v>
      </c>
      <c r="BP74">
        <v>-271</v>
      </c>
      <c r="BQ74">
        <v>988.9</v>
      </c>
      <c r="BR74">
        <v>647</v>
      </c>
      <c r="BS74">
        <v>-47</v>
      </c>
      <c r="BT74">
        <v>73.5</v>
      </c>
      <c r="BU74">
        <v>26.5</v>
      </c>
      <c r="BV74">
        <v>0</v>
      </c>
      <c r="BW74">
        <v>0</v>
      </c>
    </row>
    <row r="75" spans="1:75" x14ac:dyDescent="0.25">
      <c r="A75" s="3">
        <v>990</v>
      </c>
      <c r="B75" s="3">
        <v>6</v>
      </c>
      <c r="C75">
        <v>0</v>
      </c>
      <c r="D75">
        <v>0</v>
      </c>
      <c r="E75">
        <v>0</v>
      </c>
      <c r="F75">
        <v>0</v>
      </c>
      <c r="H75">
        <v>0</v>
      </c>
      <c r="I75">
        <v>0</v>
      </c>
      <c r="J75">
        <v>0</v>
      </c>
      <c r="K75">
        <v>0</v>
      </c>
      <c r="L75">
        <v>0</v>
      </c>
      <c r="N75">
        <v>0</v>
      </c>
      <c r="P75">
        <v>0</v>
      </c>
      <c r="T75" s="3">
        <v>990</v>
      </c>
      <c r="U75" s="3">
        <v>6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 s="3">
        <v>990</v>
      </c>
      <c r="AN75" s="3">
        <v>6</v>
      </c>
      <c r="AO75">
        <v>-70.727000000000004</v>
      </c>
      <c r="AP75">
        <v>924.9</v>
      </c>
      <c r="AQ75">
        <v>-440.44400000000002</v>
      </c>
      <c r="AR75">
        <v>960.9</v>
      </c>
      <c r="AS75">
        <v>0</v>
      </c>
      <c r="AT75">
        <v>-261.22699999999998</v>
      </c>
      <c r="AU75">
        <v>-314</v>
      </c>
      <c r="AV75">
        <v>924.9</v>
      </c>
      <c r="AW75">
        <v>-1958</v>
      </c>
      <c r="AX75">
        <v>960.9</v>
      </c>
      <c r="AY75">
        <v>0</v>
      </c>
      <c r="AZ75">
        <v>-1161</v>
      </c>
      <c r="BA75">
        <v>0</v>
      </c>
      <c r="BB75">
        <v>100</v>
      </c>
      <c r="BC75">
        <v>0</v>
      </c>
      <c r="BD75">
        <v>0</v>
      </c>
      <c r="BF75" s="3">
        <v>990</v>
      </c>
      <c r="BG75" s="3">
        <v>6</v>
      </c>
      <c r="BH75">
        <v>-70.727000000000004</v>
      </c>
      <c r="BI75">
        <v>924.9</v>
      </c>
      <c r="BJ75">
        <v>-440.44400000000002</v>
      </c>
      <c r="BK75">
        <v>960.9</v>
      </c>
      <c r="BL75">
        <v>0</v>
      </c>
      <c r="BM75">
        <v>-261.22699999999998</v>
      </c>
      <c r="BN75">
        <v>-314</v>
      </c>
      <c r="BO75">
        <v>924.9</v>
      </c>
      <c r="BP75">
        <v>-1958</v>
      </c>
      <c r="BQ75">
        <v>960.9</v>
      </c>
      <c r="BR75">
        <v>0</v>
      </c>
      <c r="BS75">
        <v>-1161</v>
      </c>
      <c r="BT75">
        <v>0</v>
      </c>
      <c r="BU75">
        <v>100</v>
      </c>
      <c r="BV75">
        <v>0</v>
      </c>
      <c r="BW75">
        <v>0</v>
      </c>
    </row>
    <row r="76" spans="1:75" x14ac:dyDescent="0.25">
      <c r="A76" s="3">
        <v>990</v>
      </c>
      <c r="B76" s="3">
        <v>7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T76" s="3">
        <v>990</v>
      </c>
      <c r="U76" s="3">
        <v>7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 s="3">
        <v>990</v>
      </c>
      <c r="AN76" s="3">
        <v>7</v>
      </c>
      <c r="AO76">
        <v>185.55699999999999</v>
      </c>
      <c r="AP76">
        <v>940.9</v>
      </c>
      <c r="AQ76">
        <v>-377.54700000000003</v>
      </c>
      <c r="AR76">
        <v>986.9</v>
      </c>
      <c r="AS76">
        <v>30.716000000000001</v>
      </c>
      <c r="AT76">
        <v>-157.05000000000001</v>
      </c>
      <c r="AU76">
        <v>265</v>
      </c>
      <c r="AV76">
        <v>940.9</v>
      </c>
      <c r="AW76">
        <v>-539</v>
      </c>
      <c r="AX76">
        <v>986.9</v>
      </c>
      <c r="AY76">
        <v>44</v>
      </c>
      <c r="AZ76">
        <v>-224</v>
      </c>
      <c r="BA76">
        <v>31</v>
      </c>
      <c r="BB76">
        <v>69</v>
      </c>
      <c r="BC76">
        <v>0</v>
      </c>
      <c r="BD76">
        <v>0</v>
      </c>
      <c r="BF76" s="3">
        <v>990</v>
      </c>
      <c r="BG76" s="3">
        <v>7</v>
      </c>
      <c r="BH76">
        <v>185.55699999999999</v>
      </c>
      <c r="BI76">
        <v>940.9</v>
      </c>
      <c r="BJ76">
        <v>-377.54700000000003</v>
      </c>
      <c r="BK76">
        <v>986.9</v>
      </c>
      <c r="BL76">
        <v>30.716000000000001</v>
      </c>
      <c r="BM76">
        <v>-157.05000000000001</v>
      </c>
      <c r="BN76">
        <v>265</v>
      </c>
      <c r="BO76">
        <v>940.9</v>
      </c>
      <c r="BP76">
        <v>-539</v>
      </c>
      <c r="BQ76">
        <v>986.9</v>
      </c>
      <c r="BR76">
        <v>44</v>
      </c>
      <c r="BS76">
        <v>-224</v>
      </c>
      <c r="BT76">
        <v>31</v>
      </c>
      <c r="BU76">
        <v>69</v>
      </c>
      <c r="BV76">
        <v>0</v>
      </c>
      <c r="BW76">
        <v>0</v>
      </c>
    </row>
    <row r="77" spans="1:75" x14ac:dyDescent="0.25">
      <c r="A77" s="3">
        <v>990</v>
      </c>
      <c r="B77" s="3">
        <v>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T77" s="3">
        <v>990</v>
      </c>
      <c r="U77" s="3">
        <v>8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 s="3">
        <v>990</v>
      </c>
      <c r="AN77" s="3">
        <v>8</v>
      </c>
      <c r="AO77">
        <v>83.938999999999993</v>
      </c>
      <c r="AP77">
        <v>942.9</v>
      </c>
      <c r="AQ77">
        <v>-113.125</v>
      </c>
      <c r="AR77">
        <v>953.7</v>
      </c>
      <c r="AS77">
        <v>10.785</v>
      </c>
      <c r="AT77">
        <v>-29.606000000000002</v>
      </c>
      <c r="AU77">
        <v>187</v>
      </c>
      <c r="AV77">
        <v>942.9</v>
      </c>
      <c r="AW77">
        <v>-251</v>
      </c>
      <c r="AX77">
        <v>953.7</v>
      </c>
      <c r="AY77">
        <v>24</v>
      </c>
      <c r="AZ77">
        <v>-66</v>
      </c>
      <c r="BA77">
        <v>30.1</v>
      </c>
      <c r="BB77">
        <v>69.900000000000006</v>
      </c>
      <c r="BC77">
        <v>0</v>
      </c>
      <c r="BD77">
        <v>0</v>
      </c>
      <c r="BF77" s="3">
        <v>990</v>
      </c>
      <c r="BG77" s="3">
        <v>8</v>
      </c>
      <c r="BH77">
        <v>83.938999999999993</v>
      </c>
      <c r="BI77">
        <v>942.9</v>
      </c>
      <c r="BJ77">
        <v>-113.125</v>
      </c>
      <c r="BK77">
        <v>953.7</v>
      </c>
      <c r="BL77">
        <v>10.785</v>
      </c>
      <c r="BM77">
        <v>-29.606000000000002</v>
      </c>
      <c r="BN77">
        <v>187</v>
      </c>
      <c r="BO77">
        <v>942.9</v>
      </c>
      <c r="BP77">
        <v>-251</v>
      </c>
      <c r="BQ77">
        <v>953.7</v>
      </c>
      <c r="BR77">
        <v>24</v>
      </c>
      <c r="BS77">
        <v>-66</v>
      </c>
      <c r="BT77">
        <v>30.1</v>
      </c>
      <c r="BU77">
        <v>69.900000000000006</v>
      </c>
      <c r="BV77">
        <v>0</v>
      </c>
      <c r="BW77">
        <v>0</v>
      </c>
    </row>
    <row r="78" spans="1:75" x14ac:dyDescent="0.25">
      <c r="A78" s="3">
        <v>990</v>
      </c>
      <c r="B78" s="3">
        <v>9</v>
      </c>
      <c r="C78">
        <v>0</v>
      </c>
      <c r="D78">
        <v>0</v>
      </c>
      <c r="E78">
        <v>2.3732168241525909E-4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T78" s="3">
        <v>990</v>
      </c>
      <c r="U78" s="3">
        <v>9</v>
      </c>
      <c r="V78">
        <v>0</v>
      </c>
      <c r="W78">
        <v>0</v>
      </c>
      <c r="X78">
        <v>-9.9999999997635314E-4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 s="3">
        <v>990</v>
      </c>
      <c r="AN78" s="3">
        <v>9</v>
      </c>
      <c r="AO78">
        <v>117.33799999999999</v>
      </c>
      <c r="AP78">
        <v>938.5</v>
      </c>
      <c r="AQ78">
        <v>-421.37</v>
      </c>
      <c r="AR78">
        <v>986.9</v>
      </c>
      <c r="AS78">
        <v>29.201000000000001</v>
      </c>
      <c r="AT78">
        <v>-136.714</v>
      </c>
      <c r="AU78">
        <v>168</v>
      </c>
      <c r="AV78">
        <v>938.5</v>
      </c>
      <c r="AW78">
        <v>-602</v>
      </c>
      <c r="AX78">
        <v>986.9</v>
      </c>
      <c r="AY78">
        <v>42</v>
      </c>
      <c r="AZ78">
        <v>-195</v>
      </c>
      <c r="BA78">
        <v>38.1</v>
      </c>
      <c r="BB78">
        <v>61.9</v>
      </c>
      <c r="BC78">
        <v>0</v>
      </c>
      <c r="BD78">
        <v>0</v>
      </c>
      <c r="BF78" s="3">
        <v>990</v>
      </c>
      <c r="BG78" s="3">
        <v>9</v>
      </c>
      <c r="BH78">
        <v>117.33799999999999</v>
      </c>
      <c r="BI78">
        <v>938.5</v>
      </c>
      <c r="BJ78">
        <v>-421.36900000000003</v>
      </c>
      <c r="BK78">
        <v>986.9</v>
      </c>
      <c r="BL78">
        <v>29.201000000000001</v>
      </c>
      <c r="BM78">
        <v>-136.714</v>
      </c>
      <c r="BN78">
        <v>168</v>
      </c>
      <c r="BO78">
        <v>938.5</v>
      </c>
      <c r="BP78">
        <v>-602</v>
      </c>
      <c r="BQ78">
        <v>986.9</v>
      </c>
      <c r="BR78">
        <v>42</v>
      </c>
      <c r="BS78">
        <v>-195</v>
      </c>
      <c r="BT78">
        <v>38.1</v>
      </c>
      <c r="BU78">
        <v>61.9</v>
      </c>
      <c r="BV78">
        <v>0</v>
      </c>
      <c r="BW78">
        <v>0</v>
      </c>
    </row>
    <row r="79" spans="1:75" x14ac:dyDescent="0.25">
      <c r="A79" s="3">
        <v>990</v>
      </c>
      <c r="B79" s="3">
        <v>10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T79" s="3">
        <v>990</v>
      </c>
      <c r="U79" s="3">
        <v>10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 s="3">
        <v>990</v>
      </c>
      <c r="AN79" s="3">
        <v>10</v>
      </c>
      <c r="AO79">
        <v>103.34699999999999</v>
      </c>
      <c r="AP79">
        <v>913.7</v>
      </c>
      <c r="AQ79">
        <v>-84.57</v>
      </c>
      <c r="AR79">
        <v>978.5</v>
      </c>
      <c r="AS79">
        <v>24.11</v>
      </c>
      <c r="AT79">
        <v>-14.419</v>
      </c>
      <c r="AU79">
        <v>230</v>
      </c>
      <c r="AV79">
        <v>913.7</v>
      </c>
      <c r="AW79">
        <v>-188</v>
      </c>
      <c r="AX79">
        <v>978.5</v>
      </c>
      <c r="AY79">
        <v>54</v>
      </c>
      <c r="AZ79">
        <v>-32</v>
      </c>
      <c r="BA79">
        <v>58.8</v>
      </c>
      <c r="BB79">
        <v>41.2</v>
      </c>
      <c r="BC79">
        <v>0</v>
      </c>
      <c r="BD79">
        <v>0</v>
      </c>
      <c r="BF79" s="3">
        <v>990</v>
      </c>
      <c r="BG79" s="3">
        <v>10</v>
      </c>
      <c r="BH79">
        <v>103.34699999999999</v>
      </c>
      <c r="BI79">
        <v>913.7</v>
      </c>
      <c r="BJ79">
        <v>-84.57</v>
      </c>
      <c r="BK79">
        <v>978.5</v>
      </c>
      <c r="BL79">
        <v>24.11</v>
      </c>
      <c r="BM79">
        <v>-14.419</v>
      </c>
      <c r="BN79">
        <v>230</v>
      </c>
      <c r="BO79">
        <v>913.7</v>
      </c>
      <c r="BP79">
        <v>-188</v>
      </c>
      <c r="BQ79">
        <v>978.5</v>
      </c>
      <c r="BR79">
        <v>54</v>
      </c>
      <c r="BS79">
        <v>-32</v>
      </c>
      <c r="BT79">
        <v>58.8</v>
      </c>
      <c r="BU79">
        <v>41.2</v>
      </c>
      <c r="BV79">
        <v>0</v>
      </c>
      <c r="BW79">
        <v>0</v>
      </c>
    </row>
    <row r="80" spans="1:75" x14ac:dyDescent="0.25">
      <c r="A80" s="3">
        <v>990</v>
      </c>
      <c r="B80" s="3">
        <v>11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T80" s="3">
        <v>990</v>
      </c>
      <c r="U80" s="3">
        <v>11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 s="3">
        <v>990</v>
      </c>
      <c r="AN80" s="3">
        <v>11</v>
      </c>
      <c r="AO80">
        <v>130.78399999999999</v>
      </c>
      <c r="AP80">
        <v>924.9</v>
      </c>
      <c r="AQ80">
        <v>-429.50599999999997</v>
      </c>
      <c r="AR80">
        <v>981.7</v>
      </c>
      <c r="AS80">
        <v>38.313000000000002</v>
      </c>
      <c r="AT80">
        <v>-136.13499999999999</v>
      </c>
      <c r="AU80">
        <v>187</v>
      </c>
      <c r="AV80">
        <v>924.9</v>
      </c>
      <c r="AW80">
        <v>-614</v>
      </c>
      <c r="AX80">
        <v>981.7</v>
      </c>
      <c r="AY80">
        <v>55</v>
      </c>
      <c r="AZ80">
        <v>-194</v>
      </c>
      <c r="BA80">
        <v>42.5</v>
      </c>
      <c r="BB80">
        <v>57.5</v>
      </c>
      <c r="BC80">
        <v>0</v>
      </c>
      <c r="BD80">
        <v>0</v>
      </c>
      <c r="BF80" s="3">
        <v>990</v>
      </c>
      <c r="BG80" s="3">
        <v>11</v>
      </c>
      <c r="BH80">
        <v>130.78399999999999</v>
      </c>
      <c r="BI80">
        <v>924.9</v>
      </c>
      <c r="BJ80">
        <v>-429.50599999999997</v>
      </c>
      <c r="BK80">
        <v>981.7</v>
      </c>
      <c r="BL80">
        <v>38.313000000000002</v>
      </c>
      <c r="BM80">
        <v>-136.13499999999999</v>
      </c>
      <c r="BN80">
        <v>187</v>
      </c>
      <c r="BO80">
        <v>924.9</v>
      </c>
      <c r="BP80">
        <v>-614</v>
      </c>
      <c r="BQ80">
        <v>981.7</v>
      </c>
      <c r="BR80">
        <v>55</v>
      </c>
      <c r="BS80">
        <v>-194</v>
      </c>
      <c r="BT80">
        <v>42.5</v>
      </c>
      <c r="BU80">
        <v>57.5</v>
      </c>
      <c r="BV80">
        <v>0</v>
      </c>
      <c r="BW80">
        <v>0</v>
      </c>
    </row>
    <row r="81" spans="1:75" x14ac:dyDescent="0.25">
      <c r="A81" s="3">
        <v>990</v>
      </c>
      <c r="B81" s="3">
        <v>12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T81" s="3">
        <v>990</v>
      </c>
      <c r="U81" s="3">
        <v>12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 s="3">
        <v>990</v>
      </c>
      <c r="AN81" s="3">
        <v>12</v>
      </c>
      <c r="AO81">
        <v>130.78399999999999</v>
      </c>
      <c r="AP81">
        <v>924.9</v>
      </c>
      <c r="AQ81">
        <v>-429.50599999999997</v>
      </c>
      <c r="AR81">
        <v>981.7</v>
      </c>
      <c r="AS81">
        <v>38.313000000000002</v>
      </c>
      <c r="AT81">
        <v>-136.13499999999999</v>
      </c>
      <c r="AU81">
        <v>327</v>
      </c>
      <c r="AV81">
        <v>924.9</v>
      </c>
      <c r="AW81">
        <v>-1074</v>
      </c>
      <c r="AX81">
        <v>981.7</v>
      </c>
      <c r="AY81">
        <v>96</v>
      </c>
      <c r="AZ81">
        <v>-340</v>
      </c>
      <c r="BA81">
        <v>42.5</v>
      </c>
      <c r="BB81">
        <v>57.5</v>
      </c>
      <c r="BC81">
        <v>0</v>
      </c>
      <c r="BD81">
        <v>0</v>
      </c>
      <c r="BF81" s="3">
        <v>990</v>
      </c>
      <c r="BG81" s="3">
        <v>12</v>
      </c>
      <c r="BH81">
        <v>130.78399999999999</v>
      </c>
      <c r="BI81">
        <v>924.9</v>
      </c>
      <c r="BJ81">
        <v>-429.50599999999997</v>
      </c>
      <c r="BK81">
        <v>981.7</v>
      </c>
      <c r="BL81">
        <v>38.313000000000002</v>
      </c>
      <c r="BM81">
        <v>-136.13499999999999</v>
      </c>
      <c r="BN81">
        <v>327</v>
      </c>
      <c r="BO81">
        <v>924.9</v>
      </c>
      <c r="BP81">
        <v>-1074</v>
      </c>
      <c r="BQ81">
        <v>981.7</v>
      </c>
      <c r="BR81">
        <v>96</v>
      </c>
      <c r="BS81">
        <v>-340</v>
      </c>
      <c r="BT81">
        <v>42.5</v>
      </c>
      <c r="BU81">
        <v>57.5</v>
      </c>
      <c r="BV81">
        <v>0</v>
      </c>
      <c r="BW81">
        <v>0</v>
      </c>
    </row>
    <row r="82" spans="1:75" x14ac:dyDescent="0.25">
      <c r="A82" s="3">
        <v>990</v>
      </c>
      <c r="B82" s="3">
        <v>13</v>
      </c>
      <c r="C82">
        <v>0</v>
      </c>
      <c r="D82">
        <v>0</v>
      </c>
      <c r="E82">
        <v>0</v>
      </c>
      <c r="F82">
        <v>0</v>
      </c>
      <c r="H82">
        <v>0</v>
      </c>
      <c r="I82">
        <v>0</v>
      </c>
      <c r="J82">
        <v>0</v>
      </c>
      <c r="K82">
        <v>0</v>
      </c>
      <c r="L82">
        <v>0</v>
      </c>
      <c r="N82">
        <v>0</v>
      </c>
      <c r="P82">
        <v>0</v>
      </c>
      <c r="T82" s="3">
        <v>990</v>
      </c>
      <c r="U82" s="3">
        <v>13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 s="3">
        <v>990</v>
      </c>
      <c r="AN82" s="3">
        <v>13</v>
      </c>
      <c r="AO82">
        <v>-1.99</v>
      </c>
      <c r="AP82">
        <v>924.9</v>
      </c>
      <c r="AQ82">
        <v>-560.68899999999996</v>
      </c>
      <c r="AR82">
        <v>982.1</v>
      </c>
      <c r="AS82">
        <v>0</v>
      </c>
      <c r="AT82">
        <v>-234.614</v>
      </c>
      <c r="AU82">
        <v>-5</v>
      </c>
      <c r="AV82">
        <v>924.9</v>
      </c>
      <c r="AW82">
        <v>-1402</v>
      </c>
      <c r="AX82">
        <v>982.1</v>
      </c>
      <c r="AY82">
        <v>0</v>
      </c>
      <c r="AZ82">
        <v>-587</v>
      </c>
      <c r="BA82">
        <v>0</v>
      </c>
      <c r="BB82">
        <v>100</v>
      </c>
      <c r="BC82">
        <v>0</v>
      </c>
      <c r="BD82">
        <v>0</v>
      </c>
      <c r="BF82" s="3">
        <v>990</v>
      </c>
      <c r="BG82" s="3">
        <v>13</v>
      </c>
      <c r="BH82">
        <v>-1.99</v>
      </c>
      <c r="BI82">
        <v>924.9</v>
      </c>
      <c r="BJ82">
        <v>-560.68899999999996</v>
      </c>
      <c r="BK82">
        <v>982.1</v>
      </c>
      <c r="BL82">
        <v>0</v>
      </c>
      <c r="BM82">
        <v>-234.614</v>
      </c>
      <c r="BN82">
        <v>-5</v>
      </c>
      <c r="BO82">
        <v>924.9</v>
      </c>
      <c r="BP82">
        <v>-1402</v>
      </c>
      <c r="BQ82">
        <v>982.1</v>
      </c>
      <c r="BR82">
        <v>0</v>
      </c>
      <c r="BS82">
        <v>-587</v>
      </c>
      <c r="BT82">
        <v>0</v>
      </c>
      <c r="BU82">
        <v>100</v>
      </c>
      <c r="BV82">
        <v>0</v>
      </c>
      <c r="BW82">
        <v>0</v>
      </c>
    </row>
    <row r="83" spans="1:75" x14ac:dyDescent="0.25">
      <c r="A83" s="3">
        <v>990</v>
      </c>
      <c r="B83" s="3">
        <v>14</v>
      </c>
      <c r="C83">
        <v>0</v>
      </c>
      <c r="D83">
        <v>0</v>
      </c>
      <c r="E83">
        <v>0</v>
      </c>
      <c r="F83">
        <v>0</v>
      </c>
      <c r="H83">
        <v>0</v>
      </c>
      <c r="I83">
        <v>0</v>
      </c>
      <c r="J83">
        <v>0</v>
      </c>
      <c r="K83">
        <v>0</v>
      </c>
      <c r="L83">
        <v>0</v>
      </c>
      <c r="N83">
        <v>0</v>
      </c>
      <c r="P83">
        <v>0</v>
      </c>
      <c r="T83" s="3">
        <v>990</v>
      </c>
      <c r="U83" s="3">
        <v>14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 s="3">
        <v>990</v>
      </c>
      <c r="AN83" s="3">
        <v>14</v>
      </c>
      <c r="AO83">
        <v>-1.99</v>
      </c>
      <c r="AP83">
        <v>924.9</v>
      </c>
      <c r="AQ83">
        <v>-560.68899999999996</v>
      </c>
      <c r="AR83">
        <v>982.1</v>
      </c>
      <c r="AS83">
        <v>0</v>
      </c>
      <c r="AT83">
        <v>-234.614</v>
      </c>
      <c r="AU83">
        <v>-3</v>
      </c>
      <c r="AV83">
        <v>924.9</v>
      </c>
      <c r="AW83">
        <v>-801</v>
      </c>
      <c r="AX83">
        <v>982.1</v>
      </c>
      <c r="AY83">
        <v>0</v>
      </c>
      <c r="AZ83">
        <v>-335</v>
      </c>
      <c r="BA83">
        <v>0</v>
      </c>
      <c r="BB83">
        <v>100</v>
      </c>
      <c r="BC83">
        <v>0</v>
      </c>
      <c r="BD83">
        <v>0</v>
      </c>
      <c r="BF83" s="3">
        <v>990</v>
      </c>
      <c r="BG83" s="3">
        <v>14</v>
      </c>
      <c r="BH83">
        <v>-1.99</v>
      </c>
      <c r="BI83">
        <v>924.9</v>
      </c>
      <c r="BJ83">
        <v>-560.68899999999996</v>
      </c>
      <c r="BK83">
        <v>982.1</v>
      </c>
      <c r="BL83">
        <v>0</v>
      </c>
      <c r="BM83">
        <v>-234.614</v>
      </c>
      <c r="BN83">
        <v>-3</v>
      </c>
      <c r="BO83">
        <v>924.9</v>
      </c>
      <c r="BP83">
        <v>-801</v>
      </c>
      <c r="BQ83">
        <v>982.1</v>
      </c>
      <c r="BR83">
        <v>0</v>
      </c>
      <c r="BS83">
        <v>-335</v>
      </c>
      <c r="BT83">
        <v>0</v>
      </c>
      <c r="BU83">
        <v>100</v>
      </c>
      <c r="BV83">
        <v>0</v>
      </c>
      <c r="BW83">
        <v>0</v>
      </c>
    </row>
    <row r="84" spans="1:75" x14ac:dyDescent="0.25">
      <c r="A84" s="3">
        <v>990</v>
      </c>
      <c r="B84" s="3">
        <v>103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T84" s="3">
        <v>990</v>
      </c>
      <c r="U84" s="3">
        <v>103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 s="3">
        <v>990</v>
      </c>
      <c r="AN84" s="3">
        <v>103</v>
      </c>
      <c r="AO84">
        <v>258.875</v>
      </c>
      <c r="AP84">
        <v>931.7</v>
      </c>
      <c r="AQ84">
        <v>-95.772999999999996</v>
      </c>
      <c r="AR84">
        <v>942.9</v>
      </c>
      <c r="AS84">
        <v>49.808</v>
      </c>
      <c r="AT84">
        <v>-20.972999999999999</v>
      </c>
      <c r="AU84">
        <v>1294</v>
      </c>
      <c r="AV84">
        <v>931.7</v>
      </c>
      <c r="AW84">
        <v>-479</v>
      </c>
      <c r="AX84">
        <v>942.9</v>
      </c>
      <c r="AY84">
        <v>249</v>
      </c>
      <c r="AZ84">
        <v>-105</v>
      </c>
      <c r="BA84">
        <v>54.9</v>
      </c>
      <c r="BB84">
        <v>45.1</v>
      </c>
      <c r="BC84">
        <v>1000</v>
      </c>
      <c r="BD84">
        <v>8</v>
      </c>
      <c r="BF84" s="3">
        <v>990</v>
      </c>
      <c r="BG84" s="3">
        <v>103</v>
      </c>
      <c r="BH84">
        <v>258.875</v>
      </c>
      <c r="BI84">
        <v>931.7</v>
      </c>
      <c r="BJ84">
        <v>-95.772999999999996</v>
      </c>
      <c r="BK84">
        <v>942.9</v>
      </c>
      <c r="BL84">
        <v>49.808</v>
      </c>
      <c r="BM84">
        <v>-20.972999999999999</v>
      </c>
      <c r="BN84">
        <v>1294</v>
      </c>
      <c r="BO84">
        <v>931.7</v>
      </c>
      <c r="BP84">
        <v>-479</v>
      </c>
      <c r="BQ84">
        <v>942.9</v>
      </c>
      <c r="BR84">
        <v>249</v>
      </c>
      <c r="BS84">
        <v>-105</v>
      </c>
      <c r="BT84">
        <v>54.9</v>
      </c>
      <c r="BU84">
        <v>45.1</v>
      </c>
      <c r="BV84">
        <v>1000</v>
      </c>
      <c r="BW84">
        <v>8</v>
      </c>
    </row>
    <row r="85" spans="1:75" x14ac:dyDescent="0.25">
      <c r="A85" s="3">
        <v>990</v>
      </c>
      <c r="B85" s="3">
        <v>104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T85" s="3">
        <v>990</v>
      </c>
      <c r="U85" s="3">
        <v>104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 s="3">
        <v>990</v>
      </c>
      <c r="AN85" s="3">
        <v>104</v>
      </c>
      <c r="AO85">
        <v>121.246</v>
      </c>
      <c r="AP85">
        <v>955.7</v>
      </c>
      <c r="AQ85">
        <v>-189.65</v>
      </c>
      <c r="AR85">
        <v>964.9</v>
      </c>
      <c r="AS85">
        <v>16.349</v>
      </c>
      <c r="AT85">
        <v>-45.09</v>
      </c>
      <c r="AU85">
        <v>914</v>
      </c>
      <c r="AV85">
        <v>955.7</v>
      </c>
      <c r="AW85">
        <v>-1429</v>
      </c>
      <c r="AX85">
        <v>964.9</v>
      </c>
      <c r="AY85">
        <v>123</v>
      </c>
      <c r="AZ85">
        <v>-340</v>
      </c>
      <c r="BA85">
        <v>27.9</v>
      </c>
      <c r="BB85">
        <v>72.099999999999994</v>
      </c>
      <c r="BC85">
        <v>1000</v>
      </c>
      <c r="BD85">
        <v>13.3</v>
      </c>
      <c r="BF85" s="3">
        <v>990</v>
      </c>
      <c r="BG85" s="3">
        <v>104</v>
      </c>
      <c r="BH85">
        <v>121.246</v>
      </c>
      <c r="BI85">
        <v>955.7</v>
      </c>
      <c r="BJ85">
        <v>-189.65</v>
      </c>
      <c r="BK85">
        <v>964.9</v>
      </c>
      <c r="BL85">
        <v>16.349</v>
      </c>
      <c r="BM85">
        <v>-45.09</v>
      </c>
      <c r="BN85">
        <v>914</v>
      </c>
      <c r="BO85">
        <v>955.7</v>
      </c>
      <c r="BP85">
        <v>-1429</v>
      </c>
      <c r="BQ85">
        <v>964.9</v>
      </c>
      <c r="BR85">
        <v>123</v>
      </c>
      <c r="BS85">
        <v>-340</v>
      </c>
      <c r="BT85">
        <v>27.9</v>
      </c>
      <c r="BU85">
        <v>72.099999999999994</v>
      </c>
      <c r="BV85">
        <v>1000</v>
      </c>
      <c r="BW85">
        <v>13.3</v>
      </c>
    </row>
    <row r="86" spans="1:75" x14ac:dyDescent="0.25">
      <c r="A86" s="3">
        <v>990</v>
      </c>
      <c r="B86" s="3">
        <v>110</v>
      </c>
      <c r="C86">
        <v>1.1757236579170579E-3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T86" s="3">
        <v>990</v>
      </c>
      <c r="U86" s="3">
        <v>110</v>
      </c>
      <c r="V86">
        <v>1.0000000000047751E-3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 s="3">
        <v>990</v>
      </c>
      <c r="AN86" s="3">
        <v>110</v>
      </c>
      <c r="AO86">
        <v>85.055000000000007</v>
      </c>
      <c r="AP86">
        <v>978.9</v>
      </c>
      <c r="AQ86">
        <v>-117.21299999999999</v>
      </c>
      <c r="AR86">
        <v>917.3</v>
      </c>
      <c r="AS86">
        <v>19.425999999999998</v>
      </c>
      <c r="AT86">
        <v>-47.936999999999998</v>
      </c>
      <c r="AU86">
        <v>881</v>
      </c>
      <c r="AV86">
        <v>978.9</v>
      </c>
      <c r="AW86">
        <v>-1215</v>
      </c>
      <c r="AX86">
        <v>917.3</v>
      </c>
      <c r="AY86">
        <v>201</v>
      </c>
      <c r="AZ86">
        <v>-497</v>
      </c>
      <c r="BA86">
        <v>33.6</v>
      </c>
      <c r="BB86">
        <v>66.400000000000006</v>
      </c>
      <c r="BC86">
        <v>1000</v>
      </c>
      <c r="BD86">
        <v>0</v>
      </c>
      <c r="BF86" s="3">
        <v>990</v>
      </c>
      <c r="BG86" s="3">
        <v>110</v>
      </c>
      <c r="BH86">
        <v>85.054000000000002</v>
      </c>
      <c r="BI86">
        <v>978.9</v>
      </c>
      <c r="BJ86">
        <v>-117.21299999999999</v>
      </c>
      <c r="BK86">
        <v>917.3</v>
      </c>
      <c r="BL86">
        <v>19.425999999999998</v>
      </c>
      <c r="BM86">
        <v>-47.936999999999998</v>
      </c>
      <c r="BN86">
        <v>881</v>
      </c>
      <c r="BO86">
        <v>978.9</v>
      </c>
      <c r="BP86">
        <v>-1215</v>
      </c>
      <c r="BQ86">
        <v>917.3</v>
      </c>
      <c r="BR86">
        <v>201</v>
      </c>
      <c r="BS86">
        <v>-497</v>
      </c>
      <c r="BT86">
        <v>33.6</v>
      </c>
      <c r="BU86">
        <v>66.400000000000006</v>
      </c>
      <c r="BV86">
        <v>1000</v>
      </c>
      <c r="BW86">
        <v>0</v>
      </c>
    </row>
    <row r="87" spans="1:75" x14ac:dyDescent="0.25">
      <c r="A87" s="3">
        <v>990</v>
      </c>
      <c r="B87" s="3">
        <v>114</v>
      </c>
      <c r="C87">
        <v>0</v>
      </c>
      <c r="D87">
        <v>0</v>
      </c>
      <c r="E87">
        <v>0</v>
      </c>
      <c r="F87">
        <v>0</v>
      </c>
      <c r="G87">
        <v>0</v>
      </c>
      <c r="I87">
        <v>0</v>
      </c>
      <c r="J87">
        <v>0</v>
      </c>
      <c r="K87">
        <v>0</v>
      </c>
      <c r="L87">
        <v>0</v>
      </c>
      <c r="M87">
        <v>0</v>
      </c>
      <c r="O87">
        <v>0</v>
      </c>
      <c r="Q87">
        <v>0</v>
      </c>
      <c r="R87">
        <v>0</v>
      </c>
      <c r="T87" s="3">
        <v>990</v>
      </c>
      <c r="U87" s="3">
        <v>114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 s="3">
        <v>990</v>
      </c>
      <c r="AN87" s="3">
        <v>114</v>
      </c>
      <c r="AO87">
        <v>144.89500000000001</v>
      </c>
      <c r="AP87">
        <v>971.7</v>
      </c>
      <c r="AQ87">
        <v>118.312</v>
      </c>
      <c r="AR87">
        <v>920.1</v>
      </c>
      <c r="AS87">
        <v>136.792</v>
      </c>
      <c r="AT87">
        <v>0</v>
      </c>
      <c r="AU87">
        <v>966</v>
      </c>
      <c r="AV87">
        <v>971.7</v>
      </c>
      <c r="AW87">
        <v>789</v>
      </c>
      <c r="AX87">
        <v>920.1</v>
      </c>
      <c r="AY87">
        <v>912</v>
      </c>
      <c r="AZ87">
        <v>0</v>
      </c>
      <c r="BA87">
        <v>100</v>
      </c>
      <c r="BB87">
        <v>0</v>
      </c>
      <c r="BC87">
        <v>1000</v>
      </c>
      <c r="BD87">
        <v>92.9</v>
      </c>
      <c r="BF87" s="3">
        <v>990</v>
      </c>
      <c r="BG87" s="3">
        <v>114</v>
      </c>
      <c r="BH87">
        <v>144.89500000000001</v>
      </c>
      <c r="BI87">
        <v>971.7</v>
      </c>
      <c r="BJ87">
        <v>118.312</v>
      </c>
      <c r="BK87">
        <v>920.1</v>
      </c>
      <c r="BL87">
        <v>136.792</v>
      </c>
      <c r="BM87">
        <v>0</v>
      </c>
      <c r="BN87">
        <v>966</v>
      </c>
      <c r="BO87">
        <v>971.7</v>
      </c>
      <c r="BP87">
        <v>789</v>
      </c>
      <c r="BQ87">
        <v>920.1</v>
      </c>
      <c r="BR87">
        <v>912</v>
      </c>
      <c r="BS87">
        <v>0</v>
      </c>
      <c r="BT87">
        <v>100</v>
      </c>
      <c r="BU87">
        <v>0</v>
      </c>
      <c r="BV87">
        <v>1000</v>
      </c>
      <c r="BW87">
        <v>92.9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G151"/>
  <sheetViews>
    <sheetView topLeftCell="P1" workbookViewId="0">
      <selection activeCell="AZ1" sqref="AZ1:AZ1048576"/>
    </sheetView>
  </sheetViews>
  <sheetFormatPr defaultRowHeight="15" x14ac:dyDescent="0.25"/>
  <cols>
    <col min="7" max="7" width="9.140625" style="36"/>
    <col min="11" max="11" width="9.140625" style="36"/>
    <col min="22" max="22" width="9.140625" style="36"/>
    <col min="26" max="26" width="9.140625" style="36"/>
    <col min="37" max="37" width="9.140625" style="36"/>
    <col min="41" max="41" width="9.140625" style="36"/>
    <col min="52" max="52" width="9.140625" style="36"/>
    <col min="56" max="56" width="9.140625" style="36"/>
  </cols>
  <sheetData>
    <row r="1" spans="1:59" x14ac:dyDescent="0.25">
      <c r="A1" s="1" t="s">
        <v>60</v>
      </c>
    </row>
    <row r="2" spans="1:59" x14ac:dyDescent="0.25">
      <c r="A2" s="2" t="s">
        <v>1</v>
      </c>
    </row>
    <row r="3" spans="1:59" x14ac:dyDescent="0.25">
      <c r="B3" t="s">
        <v>2</v>
      </c>
      <c r="P3" t="s">
        <v>3</v>
      </c>
    </row>
    <row r="4" spans="1:59" x14ac:dyDescent="0.25">
      <c r="D4" s="3" t="s">
        <v>61</v>
      </c>
      <c r="E4" s="3" t="s">
        <v>62</v>
      </c>
      <c r="F4" s="3" t="s">
        <v>63</v>
      </c>
      <c r="G4" s="37" t="s">
        <v>64</v>
      </c>
      <c r="H4" s="3" t="s">
        <v>65</v>
      </c>
      <c r="I4" s="3" t="s">
        <v>66</v>
      </c>
      <c r="J4" s="3" t="s">
        <v>67</v>
      </c>
      <c r="K4" s="37" t="s">
        <v>68</v>
      </c>
      <c r="L4" s="3" t="s">
        <v>69</v>
      </c>
      <c r="M4" s="3" t="s">
        <v>70</v>
      </c>
      <c r="N4" s="3" t="s">
        <v>71</v>
      </c>
      <c r="S4" s="3" t="s">
        <v>61</v>
      </c>
      <c r="T4" s="3" t="s">
        <v>62</v>
      </c>
      <c r="U4" s="3" t="s">
        <v>63</v>
      </c>
      <c r="V4" s="37" t="s">
        <v>64</v>
      </c>
      <c r="W4" s="3" t="s">
        <v>65</v>
      </c>
      <c r="X4" s="3" t="s">
        <v>66</v>
      </c>
      <c r="Y4" s="3" t="s">
        <v>67</v>
      </c>
      <c r="Z4" s="37" t="s">
        <v>68</v>
      </c>
      <c r="AA4" s="3" t="s">
        <v>69</v>
      </c>
      <c r="AB4" s="3" t="s">
        <v>70</v>
      </c>
      <c r="AC4" s="3" t="s">
        <v>71</v>
      </c>
    </row>
    <row r="5" spans="1:59" x14ac:dyDescent="0.25">
      <c r="C5" s="3" t="s">
        <v>6</v>
      </c>
      <c r="D5">
        <v>136</v>
      </c>
      <c r="E5">
        <v>136</v>
      </c>
      <c r="F5">
        <v>136</v>
      </c>
      <c r="G5" s="36">
        <v>136</v>
      </c>
      <c r="H5">
        <v>96</v>
      </c>
      <c r="I5">
        <v>116</v>
      </c>
      <c r="J5">
        <v>136</v>
      </c>
      <c r="K5" s="36">
        <v>136</v>
      </c>
      <c r="L5">
        <v>136</v>
      </c>
      <c r="M5">
        <v>136</v>
      </c>
      <c r="N5">
        <v>136</v>
      </c>
      <c r="R5" s="3" t="s">
        <v>6</v>
      </c>
      <c r="S5">
        <v>136</v>
      </c>
      <c r="T5">
        <v>136</v>
      </c>
      <c r="U5">
        <v>136</v>
      </c>
      <c r="V5" s="36">
        <v>136</v>
      </c>
      <c r="W5">
        <v>136</v>
      </c>
      <c r="X5">
        <v>136</v>
      </c>
      <c r="Y5">
        <v>136</v>
      </c>
      <c r="Z5" s="36">
        <v>136</v>
      </c>
      <c r="AA5">
        <v>136</v>
      </c>
      <c r="AB5">
        <v>136</v>
      </c>
      <c r="AC5">
        <v>136</v>
      </c>
    </row>
    <row r="6" spans="1:59" x14ac:dyDescent="0.25">
      <c r="C6" s="3" t="s">
        <v>7</v>
      </c>
      <c r="D6">
        <v>0</v>
      </c>
      <c r="E6">
        <v>4.5437609618243532E-4</v>
      </c>
      <c r="F6">
        <v>0</v>
      </c>
      <c r="G6" s="36">
        <v>7.1124842162233713E-3</v>
      </c>
      <c r="H6">
        <v>0</v>
      </c>
      <c r="I6">
        <v>0</v>
      </c>
      <c r="J6">
        <v>0</v>
      </c>
      <c r="K6" s="36">
        <v>9.1908434066082009E-3</v>
      </c>
      <c r="L6">
        <v>0</v>
      </c>
      <c r="M6">
        <v>4.21547969587835E-3</v>
      </c>
      <c r="N6">
        <v>0</v>
      </c>
      <c r="R6" s="3" t="s">
        <v>7</v>
      </c>
      <c r="S6">
        <v>0</v>
      </c>
      <c r="T6">
        <v>2.941176470588904E-3</v>
      </c>
      <c r="U6">
        <v>0</v>
      </c>
      <c r="V6" s="36">
        <v>1.7647058823529242E-2</v>
      </c>
      <c r="W6">
        <v>0</v>
      </c>
      <c r="X6">
        <v>0</v>
      </c>
      <c r="Y6">
        <v>0</v>
      </c>
      <c r="Z6" s="36">
        <v>3.5294117647060162E-2</v>
      </c>
      <c r="AA6">
        <v>0</v>
      </c>
      <c r="AB6">
        <v>2.3529411764704959E-2</v>
      </c>
      <c r="AC6">
        <v>0</v>
      </c>
    </row>
    <row r="7" spans="1:59" x14ac:dyDescent="0.25">
      <c r="C7" s="3" t="s">
        <v>8</v>
      </c>
      <c r="D7">
        <v>0</v>
      </c>
      <c r="E7">
        <v>5.2988903180147687E-3</v>
      </c>
      <c r="F7">
        <v>0</v>
      </c>
      <c r="G7" s="36">
        <v>5.546338606850916E-2</v>
      </c>
      <c r="H7">
        <v>0</v>
      </c>
      <c r="I7">
        <v>0</v>
      </c>
      <c r="J7">
        <v>0</v>
      </c>
      <c r="K7" s="36">
        <v>5.7993531529006902E-2</v>
      </c>
      <c r="L7">
        <v>0</v>
      </c>
      <c r="M7">
        <v>2.4084004183347951E-2</v>
      </c>
      <c r="N7">
        <v>0</v>
      </c>
      <c r="R7" s="3" t="s">
        <v>8</v>
      </c>
      <c r="S7">
        <v>0</v>
      </c>
      <c r="T7">
        <v>3.4299717028509577E-2</v>
      </c>
      <c r="U7">
        <v>0</v>
      </c>
      <c r="V7" s="36">
        <v>0.17464561066519541</v>
      </c>
      <c r="W7">
        <v>0</v>
      </c>
      <c r="X7">
        <v>0</v>
      </c>
      <c r="Y7">
        <v>0</v>
      </c>
      <c r="Z7" s="36">
        <v>0.2255953150829301</v>
      </c>
      <c r="AA7">
        <v>0</v>
      </c>
      <c r="AB7">
        <v>0.1168952010025574</v>
      </c>
      <c r="AC7">
        <v>0</v>
      </c>
    </row>
    <row r="8" spans="1:59" x14ac:dyDescent="0.25">
      <c r="C8" s="3" t="s">
        <v>9</v>
      </c>
      <c r="D8">
        <v>0</v>
      </c>
      <c r="E8">
        <v>0</v>
      </c>
      <c r="F8">
        <v>0</v>
      </c>
      <c r="G8" s="36">
        <v>0</v>
      </c>
      <c r="H8">
        <v>0</v>
      </c>
      <c r="I8">
        <v>0</v>
      </c>
      <c r="J8">
        <v>0</v>
      </c>
      <c r="K8" s="36">
        <v>0</v>
      </c>
      <c r="L8">
        <v>0</v>
      </c>
      <c r="M8">
        <v>0</v>
      </c>
      <c r="N8">
        <v>0</v>
      </c>
      <c r="R8" s="3" t="s">
        <v>9</v>
      </c>
      <c r="S8">
        <v>0</v>
      </c>
      <c r="T8">
        <v>0</v>
      </c>
      <c r="U8">
        <v>0</v>
      </c>
      <c r="V8" s="36">
        <v>-0.40000000000003411</v>
      </c>
      <c r="W8">
        <v>0</v>
      </c>
      <c r="X8">
        <v>0</v>
      </c>
      <c r="Y8">
        <v>0</v>
      </c>
      <c r="Z8" s="36">
        <v>-0.39999999999997732</v>
      </c>
      <c r="AA8">
        <v>0</v>
      </c>
      <c r="AB8">
        <v>0</v>
      </c>
      <c r="AC8">
        <v>0</v>
      </c>
    </row>
    <row r="9" spans="1:59" x14ac:dyDescent="0.25">
      <c r="C9" s="3" t="s">
        <v>10</v>
      </c>
      <c r="D9">
        <v>0</v>
      </c>
      <c r="E9">
        <v>0</v>
      </c>
      <c r="F9">
        <v>0</v>
      </c>
      <c r="G9" s="36">
        <v>0</v>
      </c>
      <c r="H9">
        <v>0</v>
      </c>
      <c r="I9">
        <v>0</v>
      </c>
      <c r="J9">
        <v>0</v>
      </c>
      <c r="K9" s="36">
        <v>0</v>
      </c>
      <c r="L9">
        <v>0</v>
      </c>
      <c r="M9">
        <v>0</v>
      </c>
      <c r="N9">
        <v>0</v>
      </c>
      <c r="R9" s="3" t="s">
        <v>10</v>
      </c>
      <c r="S9">
        <v>0</v>
      </c>
      <c r="T9">
        <v>0</v>
      </c>
      <c r="U9">
        <v>0</v>
      </c>
      <c r="V9" s="36">
        <v>0</v>
      </c>
      <c r="W9">
        <v>0</v>
      </c>
      <c r="X9">
        <v>0</v>
      </c>
      <c r="Y9">
        <v>0</v>
      </c>
      <c r="Z9" s="36">
        <v>0</v>
      </c>
      <c r="AA9">
        <v>0</v>
      </c>
      <c r="AB9">
        <v>0</v>
      </c>
      <c r="AC9">
        <v>0</v>
      </c>
    </row>
    <row r="10" spans="1:59" x14ac:dyDescent="0.25">
      <c r="C10" s="3" t="s">
        <v>11</v>
      </c>
      <c r="D10">
        <v>0</v>
      </c>
      <c r="E10">
        <v>0</v>
      </c>
      <c r="F10">
        <v>0</v>
      </c>
      <c r="G10" s="36">
        <v>0</v>
      </c>
      <c r="H10">
        <v>0</v>
      </c>
      <c r="I10">
        <v>0</v>
      </c>
      <c r="J10">
        <v>0</v>
      </c>
      <c r="K10" s="36">
        <v>0</v>
      </c>
      <c r="L10">
        <v>0</v>
      </c>
      <c r="M10">
        <v>0</v>
      </c>
      <c r="N10">
        <v>0</v>
      </c>
      <c r="R10" s="3" t="s">
        <v>11</v>
      </c>
      <c r="S10">
        <v>0</v>
      </c>
      <c r="T10">
        <v>0</v>
      </c>
      <c r="U10">
        <v>0</v>
      </c>
      <c r="V10" s="36">
        <v>0</v>
      </c>
      <c r="W10">
        <v>0</v>
      </c>
      <c r="X10">
        <v>0</v>
      </c>
      <c r="Y10">
        <v>0</v>
      </c>
      <c r="Z10" s="36">
        <v>0</v>
      </c>
      <c r="AA10">
        <v>0</v>
      </c>
      <c r="AB10">
        <v>0</v>
      </c>
      <c r="AC10">
        <v>0</v>
      </c>
    </row>
    <row r="11" spans="1:59" x14ac:dyDescent="0.25">
      <c r="C11" s="3" t="s">
        <v>12</v>
      </c>
      <c r="D11">
        <v>0</v>
      </c>
      <c r="E11">
        <v>0</v>
      </c>
      <c r="F11">
        <v>0</v>
      </c>
      <c r="G11" s="36">
        <v>0</v>
      </c>
      <c r="H11">
        <v>0</v>
      </c>
      <c r="I11">
        <v>0</v>
      </c>
      <c r="J11">
        <v>0</v>
      </c>
      <c r="K11" s="36">
        <v>0</v>
      </c>
      <c r="L11">
        <v>0</v>
      </c>
      <c r="M11">
        <v>0</v>
      </c>
      <c r="N11">
        <v>0</v>
      </c>
      <c r="R11" s="3" t="s">
        <v>12</v>
      </c>
      <c r="S11">
        <v>0</v>
      </c>
      <c r="T11">
        <v>0</v>
      </c>
      <c r="U11">
        <v>0</v>
      </c>
      <c r="V11" s="36">
        <v>0</v>
      </c>
      <c r="W11">
        <v>0</v>
      </c>
      <c r="X11">
        <v>0</v>
      </c>
      <c r="Y11">
        <v>0</v>
      </c>
      <c r="Z11" s="36">
        <v>0</v>
      </c>
      <c r="AA11">
        <v>0</v>
      </c>
      <c r="AB11">
        <v>0</v>
      </c>
      <c r="AC11">
        <v>0</v>
      </c>
    </row>
    <row r="12" spans="1:59" x14ac:dyDescent="0.25">
      <c r="C12" s="3" t="s">
        <v>13</v>
      </c>
      <c r="D12">
        <v>0</v>
      </c>
      <c r="E12">
        <v>6.1795149080811212E-2</v>
      </c>
      <c r="F12">
        <v>0</v>
      </c>
      <c r="G12" s="36">
        <v>0.55924501922403558</v>
      </c>
      <c r="H12">
        <v>0</v>
      </c>
      <c r="I12">
        <v>0</v>
      </c>
      <c r="J12">
        <v>0</v>
      </c>
      <c r="K12" s="36">
        <v>0.55613486270421364</v>
      </c>
      <c r="L12">
        <v>0</v>
      </c>
      <c r="M12">
        <v>0.23774145616642239</v>
      </c>
      <c r="N12">
        <v>0</v>
      </c>
      <c r="R12" s="3" t="s">
        <v>13</v>
      </c>
      <c r="S12">
        <v>0</v>
      </c>
      <c r="T12">
        <v>0.40000000000009089</v>
      </c>
      <c r="U12">
        <v>0</v>
      </c>
      <c r="V12" s="36">
        <v>1.5999999999999659</v>
      </c>
      <c r="W12">
        <v>0</v>
      </c>
      <c r="X12">
        <v>0</v>
      </c>
      <c r="Y12">
        <v>0</v>
      </c>
      <c r="Z12" s="36">
        <v>1.600000000000023</v>
      </c>
      <c r="AA12">
        <v>0</v>
      </c>
      <c r="AB12">
        <v>0.80000000000001137</v>
      </c>
      <c r="AC12">
        <v>0</v>
      </c>
    </row>
    <row r="13" spans="1:59" x14ac:dyDescent="0.25">
      <c r="A13" s="2" t="s">
        <v>14</v>
      </c>
    </row>
    <row r="14" spans="1:59" x14ac:dyDescent="0.25">
      <c r="A14" t="s">
        <v>2</v>
      </c>
      <c r="P14" t="s">
        <v>3</v>
      </c>
      <c r="AE14" t="s">
        <v>15</v>
      </c>
      <c r="AT14" t="s">
        <v>16</v>
      </c>
    </row>
    <row r="15" spans="1:59" x14ac:dyDescent="0.25">
      <c r="A15" s="3" t="s">
        <v>17</v>
      </c>
      <c r="B15" s="3" t="s">
        <v>18</v>
      </c>
      <c r="C15" s="3" t="s">
        <v>24</v>
      </c>
      <c r="D15" s="3" t="s">
        <v>61</v>
      </c>
      <c r="E15" s="3" t="s">
        <v>62</v>
      </c>
      <c r="F15" s="3" t="s">
        <v>63</v>
      </c>
      <c r="G15" s="37" t="s">
        <v>64</v>
      </c>
      <c r="H15" s="3" t="s">
        <v>65</v>
      </c>
      <c r="I15" s="3" t="s">
        <v>66</v>
      </c>
      <c r="J15" s="3" t="s">
        <v>67</v>
      </c>
      <c r="K15" s="37" t="s">
        <v>68</v>
      </c>
      <c r="L15" s="3" t="s">
        <v>69</v>
      </c>
      <c r="M15" s="3" t="s">
        <v>70</v>
      </c>
      <c r="N15" s="3" t="s">
        <v>71</v>
      </c>
      <c r="P15" s="3" t="s">
        <v>17</v>
      </c>
      <c r="Q15" s="3" t="s">
        <v>18</v>
      </c>
      <c r="R15" s="3" t="s">
        <v>24</v>
      </c>
      <c r="S15" s="3" t="s">
        <v>61</v>
      </c>
      <c r="T15" s="3" t="s">
        <v>62</v>
      </c>
      <c r="U15" s="3" t="s">
        <v>63</v>
      </c>
      <c r="V15" s="37" t="s">
        <v>64</v>
      </c>
      <c r="W15" s="3" t="s">
        <v>65</v>
      </c>
      <c r="X15" s="3" t="s">
        <v>66</v>
      </c>
      <c r="Y15" s="3" t="s">
        <v>67</v>
      </c>
      <c r="Z15" s="37" t="s">
        <v>68</v>
      </c>
      <c r="AA15" s="3" t="s">
        <v>69</v>
      </c>
      <c r="AB15" s="3" t="s">
        <v>70</v>
      </c>
      <c r="AC15" s="3" t="s">
        <v>71</v>
      </c>
      <c r="AE15" s="3" t="s">
        <v>17</v>
      </c>
      <c r="AF15" s="3" t="s">
        <v>18</v>
      </c>
      <c r="AG15" s="3" t="s">
        <v>24</v>
      </c>
      <c r="AH15" s="3" t="s">
        <v>61</v>
      </c>
      <c r="AI15" s="3" t="s">
        <v>62</v>
      </c>
      <c r="AJ15" s="3" t="s">
        <v>63</v>
      </c>
      <c r="AK15" s="37" t="s">
        <v>64</v>
      </c>
      <c r="AL15" s="3" t="s">
        <v>65</v>
      </c>
      <c r="AM15" s="3" t="s">
        <v>66</v>
      </c>
      <c r="AN15" s="3" t="s">
        <v>67</v>
      </c>
      <c r="AO15" s="37" t="s">
        <v>68</v>
      </c>
      <c r="AP15" s="3" t="s">
        <v>69</v>
      </c>
      <c r="AQ15" s="3" t="s">
        <v>70</v>
      </c>
      <c r="AR15" s="3" t="s">
        <v>71</v>
      </c>
      <c r="AT15" s="3" t="s">
        <v>17</v>
      </c>
      <c r="AU15" s="3" t="s">
        <v>18</v>
      </c>
      <c r="AV15" s="3" t="s">
        <v>24</v>
      </c>
      <c r="AW15" s="3" t="s">
        <v>61</v>
      </c>
      <c r="AX15" s="3" t="s">
        <v>62</v>
      </c>
      <c r="AY15" s="3" t="s">
        <v>63</v>
      </c>
      <c r="AZ15" s="37" t="s">
        <v>64</v>
      </c>
      <c r="BA15" s="3" t="s">
        <v>65</v>
      </c>
      <c r="BB15" s="3" t="s">
        <v>66</v>
      </c>
      <c r="BC15" s="3" t="s">
        <v>67</v>
      </c>
      <c r="BD15" s="37" t="s">
        <v>68</v>
      </c>
      <c r="BE15" s="3" t="s">
        <v>69</v>
      </c>
      <c r="BF15" s="3" t="s">
        <v>70</v>
      </c>
      <c r="BG15" s="3" t="s">
        <v>71</v>
      </c>
    </row>
    <row r="16" spans="1:59" x14ac:dyDescent="0.25">
      <c r="A16" s="3">
        <v>360</v>
      </c>
      <c r="B16" s="3">
        <v>1</v>
      </c>
      <c r="C16" s="3">
        <v>1</v>
      </c>
      <c r="D16">
        <v>0</v>
      </c>
      <c r="E16">
        <v>0</v>
      </c>
      <c r="F16">
        <v>0</v>
      </c>
      <c r="G16" s="36">
        <v>0</v>
      </c>
      <c r="H16">
        <v>0</v>
      </c>
      <c r="J16">
        <v>0</v>
      </c>
      <c r="K16" s="36">
        <v>0</v>
      </c>
      <c r="L16">
        <v>0</v>
      </c>
      <c r="M16">
        <v>0.23774145616642239</v>
      </c>
      <c r="N16">
        <v>0</v>
      </c>
      <c r="P16" s="3">
        <v>360</v>
      </c>
      <c r="Q16" s="3">
        <v>1</v>
      </c>
      <c r="R16" s="3">
        <v>1</v>
      </c>
      <c r="S16">
        <v>0</v>
      </c>
      <c r="T16">
        <v>0</v>
      </c>
      <c r="U16">
        <v>0</v>
      </c>
      <c r="V16" s="36">
        <v>0</v>
      </c>
      <c r="W16">
        <v>0</v>
      </c>
      <c r="X16">
        <v>0</v>
      </c>
      <c r="Y16">
        <v>0</v>
      </c>
      <c r="Z16" s="36">
        <v>0</v>
      </c>
      <c r="AA16">
        <v>0</v>
      </c>
      <c r="AB16">
        <v>0.80000000000001137</v>
      </c>
      <c r="AC16">
        <v>0</v>
      </c>
      <c r="AE16" s="3">
        <v>360</v>
      </c>
      <c r="AF16" s="3">
        <v>1</v>
      </c>
      <c r="AG16" s="3">
        <v>1</v>
      </c>
      <c r="AH16">
        <v>93.2</v>
      </c>
      <c r="AI16">
        <v>301.3</v>
      </c>
      <c r="AJ16">
        <v>90</v>
      </c>
      <c r="AK16" s="36">
        <v>270</v>
      </c>
      <c r="AL16">
        <v>90.3</v>
      </c>
      <c r="AM16">
        <v>0</v>
      </c>
      <c r="AN16">
        <v>2.0199999999999999E-2</v>
      </c>
      <c r="AO16" s="36">
        <v>301.3</v>
      </c>
      <c r="AP16">
        <v>2.0199999999999999E-2</v>
      </c>
      <c r="AQ16">
        <v>337.3</v>
      </c>
      <c r="AR16">
        <v>2.0199999999999999E-2</v>
      </c>
      <c r="AT16" s="3">
        <v>360</v>
      </c>
      <c r="AU16" s="3">
        <v>1</v>
      </c>
      <c r="AV16" s="3">
        <v>1</v>
      </c>
      <c r="AW16">
        <v>93.2</v>
      </c>
      <c r="AX16">
        <v>301.3</v>
      </c>
      <c r="AY16">
        <v>90</v>
      </c>
      <c r="AZ16" s="36">
        <v>270</v>
      </c>
      <c r="BA16">
        <v>90.3</v>
      </c>
      <c r="BB16">
        <v>0</v>
      </c>
      <c r="BC16">
        <v>2.0199999999999999E-2</v>
      </c>
      <c r="BD16" s="36">
        <v>301.3</v>
      </c>
      <c r="BE16">
        <v>2.0199999999999999E-2</v>
      </c>
      <c r="BF16">
        <v>336.5</v>
      </c>
      <c r="BG16">
        <v>2.0199999999999999E-2</v>
      </c>
    </row>
    <row r="17" spans="1:59" x14ac:dyDescent="0.25">
      <c r="A17" s="3">
        <v>360</v>
      </c>
      <c r="B17" s="3">
        <v>2</v>
      </c>
      <c r="C17" s="3">
        <v>1</v>
      </c>
      <c r="D17">
        <v>0</v>
      </c>
      <c r="E17">
        <v>0</v>
      </c>
      <c r="F17">
        <v>0</v>
      </c>
      <c r="G17" s="36">
        <v>0</v>
      </c>
      <c r="H17">
        <v>0</v>
      </c>
      <c r="J17">
        <v>0</v>
      </c>
      <c r="K17" s="36">
        <v>0</v>
      </c>
      <c r="L17">
        <v>0</v>
      </c>
      <c r="M17">
        <v>0</v>
      </c>
      <c r="N17">
        <v>0</v>
      </c>
      <c r="P17" s="3">
        <v>360</v>
      </c>
      <c r="Q17" s="3">
        <v>2</v>
      </c>
      <c r="R17" s="3">
        <v>1</v>
      </c>
      <c r="S17">
        <v>0</v>
      </c>
      <c r="T17">
        <v>0</v>
      </c>
      <c r="U17">
        <v>0</v>
      </c>
      <c r="V17" s="36">
        <v>0</v>
      </c>
      <c r="W17">
        <v>0</v>
      </c>
      <c r="X17">
        <v>0</v>
      </c>
      <c r="Y17">
        <v>0</v>
      </c>
      <c r="Z17" s="36">
        <v>0</v>
      </c>
      <c r="AA17">
        <v>0</v>
      </c>
      <c r="AB17">
        <v>0</v>
      </c>
      <c r="AC17">
        <v>0</v>
      </c>
      <c r="AE17" s="3">
        <v>360</v>
      </c>
      <c r="AF17" s="3">
        <v>2</v>
      </c>
      <c r="AG17" s="3">
        <v>1</v>
      </c>
      <c r="AH17">
        <v>94.3</v>
      </c>
      <c r="AI17">
        <v>303.3</v>
      </c>
      <c r="AJ17">
        <v>90</v>
      </c>
      <c r="AK17" s="36">
        <v>293.7</v>
      </c>
      <c r="AL17">
        <v>90.5</v>
      </c>
      <c r="AM17">
        <v>0</v>
      </c>
      <c r="AN17">
        <v>2.0199999999999999E-2</v>
      </c>
      <c r="AO17" s="36">
        <v>302.89999999999998</v>
      </c>
      <c r="AP17">
        <v>2.0199999999999999E-2</v>
      </c>
      <c r="AQ17">
        <v>344.1</v>
      </c>
      <c r="AR17">
        <v>2.0199999999999999E-2</v>
      </c>
      <c r="AT17" s="3">
        <v>360</v>
      </c>
      <c r="AU17" s="3">
        <v>2</v>
      </c>
      <c r="AV17" s="3">
        <v>1</v>
      </c>
      <c r="AW17">
        <v>94.3</v>
      </c>
      <c r="AX17">
        <v>303.3</v>
      </c>
      <c r="AY17">
        <v>90</v>
      </c>
      <c r="AZ17" s="36">
        <v>293.7</v>
      </c>
      <c r="BA17">
        <v>90.5</v>
      </c>
      <c r="BB17">
        <v>0</v>
      </c>
      <c r="BC17">
        <v>2.0199999999999999E-2</v>
      </c>
      <c r="BD17" s="36">
        <v>302.89999999999998</v>
      </c>
      <c r="BE17">
        <v>2.0199999999999999E-2</v>
      </c>
      <c r="BF17">
        <v>344.1</v>
      </c>
      <c r="BG17">
        <v>2.0199999999999999E-2</v>
      </c>
    </row>
    <row r="18" spans="1:59" x14ac:dyDescent="0.25">
      <c r="A18" s="3">
        <v>360</v>
      </c>
      <c r="B18" s="3">
        <v>3</v>
      </c>
      <c r="C18" s="3">
        <v>1</v>
      </c>
      <c r="D18">
        <v>0</v>
      </c>
      <c r="E18">
        <v>0</v>
      </c>
      <c r="F18">
        <v>0</v>
      </c>
      <c r="G18" s="36">
        <v>0</v>
      </c>
      <c r="H18">
        <v>0</v>
      </c>
      <c r="J18">
        <v>0</v>
      </c>
      <c r="K18" s="36">
        <v>0</v>
      </c>
      <c r="L18">
        <v>0</v>
      </c>
      <c r="M18">
        <v>0</v>
      </c>
      <c r="N18">
        <v>0</v>
      </c>
      <c r="P18" s="3">
        <v>360</v>
      </c>
      <c r="Q18" s="3">
        <v>3</v>
      </c>
      <c r="R18" s="3">
        <v>1</v>
      </c>
      <c r="S18">
        <v>0</v>
      </c>
      <c r="T18">
        <v>0</v>
      </c>
      <c r="U18">
        <v>0</v>
      </c>
      <c r="V18" s="36">
        <v>0</v>
      </c>
      <c r="W18">
        <v>0</v>
      </c>
      <c r="X18">
        <v>0</v>
      </c>
      <c r="Y18">
        <v>0</v>
      </c>
      <c r="Z18" s="36">
        <v>0</v>
      </c>
      <c r="AA18">
        <v>0</v>
      </c>
      <c r="AB18">
        <v>0</v>
      </c>
      <c r="AC18">
        <v>0</v>
      </c>
      <c r="AE18" s="3">
        <v>360</v>
      </c>
      <c r="AF18" s="3">
        <v>3</v>
      </c>
      <c r="AG18" s="3">
        <v>1</v>
      </c>
      <c r="AH18">
        <v>95.2</v>
      </c>
      <c r="AI18">
        <v>304.89999999999998</v>
      </c>
      <c r="AJ18">
        <v>90</v>
      </c>
      <c r="AK18" s="36">
        <v>295.7</v>
      </c>
      <c r="AL18">
        <v>90.9</v>
      </c>
      <c r="AM18">
        <v>0</v>
      </c>
      <c r="AN18">
        <v>2.0199999999999999E-2</v>
      </c>
      <c r="AO18" s="36">
        <v>304.89999999999998</v>
      </c>
      <c r="AP18">
        <v>2.0199999999999999E-2</v>
      </c>
      <c r="AQ18">
        <v>295.7</v>
      </c>
      <c r="AR18">
        <v>2.0199999999999999E-2</v>
      </c>
      <c r="AT18" s="3">
        <v>360</v>
      </c>
      <c r="AU18" s="3">
        <v>3</v>
      </c>
      <c r="AV18" s="3">
        <v>1</v>
      </c>
      <c r="AW18">
        <v>95.2</v>
      </c>
      <c r="AX18">
        <v>304.89999999999998</v>
      </c>
      <c r="AY18">
        <v>90</v>
      </c>
      <c r="AZ18" s="36">
        <v>295.7</v>
      </c>
      <c r="BA18">
        <v>90.9</v>
      </c>
      <c r="BB18">
        <v>0</v>
      </c>
      <c r="BC18">
        <v>2.0199999999999999E-2</v>
      </c>
      <c r="BD18" s="36">
        <v>304.89999999999998</v>
      </c>
      <c r="BE18">
        <v>2.0199999999999999E-2</v>
      </c>
      <c r="BF18">
        <v>295.7</v>
      </c>
      <c r="BG18">
        <v>2.0199999999999999E-2</v>
      </c>
    </row>
    <row r="19" spans="1:59" x14ac:dyDescent="0.25">
      <c r="A19" s="3">
        <v>360</v>
      </c>
      <c r="B19" s="3">
        <v>3</v>
      </c>
      <c r="C19" s="3">
        <v>2</v>
      </c>
      <c r="D19">
        <v>0</v>
      </c>
      <c r="E19">
        <v>0</v>
      </c>
      <c r="F19">
        <v>0</v>
      </c>
      <c r="G19" s="36">
        <v>0</v>
      </c>
      <c r="H19">
        <v>0</v>
      </c>
      <c r="J19">
        <v>0</v>
      </c>
      <c r="K19" s="36">
        <v>0</v>
      </c>
      <c r="L19">
        <v>0</v>
      </c>
      <c r="M19">
        <v>0</v>
      </c>
      <c r="N19">
        <v>0</v>
      </c>
      <c r="P19" s="3">
        <v>360</v>
      </c>
      <c r="Q19" s="3">
        <v>3</v>
      </c>
      <c r="R19" s="3">
        <v>2</v>
      </c>
      <c r="S19">
        <v>0</v>
      </c>
      <c r="T19">
        <v>0</v>
      </c>
      <c r="U19">
        <v>0</v>
      </c>
      <c r="V19" s="36">
        <v>0</v>
      </c>
      <c r="W19">
        <v>0</v>
      </c>
      <c r="X19">
        <v>0</v>
      </c>
      <c r="Y19">
        <v>0</v>
      </c>
      <c r="Z19" s="36">
        <v>0</v>
      </c>
      <c r="AA19">
        <v>0</v>
      </c>
      <c r="AB19">
        <v>0</v>
      </c>
      <c r="AC19">
        <v>0</v>
      </c>
      <c r="AE19" s="3">
        <v>360</v>
      </c>
      <c r="AF19" s="3">
        <v>3</v>
      </c>
      <c r="AG19" s="3">
        <v>2</v>
      </c>
      <c r="AH19">
        <v>95.7</v>
      </c>
      <c r="AI19">
        <v>308.89999999999998</v>
      </c>
      <c r="AJ19">
        <v>90.3</v>
      </c>
      <c r="AK19" s="36">
        <v>298.10000000000002</v>
      </c>
      <c r="AL19">
        <v>91.5</v>
      </c>
      <c r="AM19">
        <v>0</v>
      </c>
      <c r="AN19">
        <v>2.0299999999999999E-2</v>
      </c>
      <c r="AO19" s="36">
        <v>307.7</v>
      </c>
      <c r="AP19">
        <v>2.0199999999999999E-2</v>
      </c>
      <c r="AQ19">
        <v>298.10000000000002</v>
      </c>
      <c r="AR19">
        <v>2.0199999999999999E-2</v>
      </c>
      <c r="AT19" s="3">
        <v>360</v>
      </c>
      <c r="AU19" s="3">
        <v>3</v>
      </c>
      <c r="AV19" s="3">
        <v>2</v>
      </c>
      <c r="AW19">
        <v>95.7</v>
      </c>
      <c r="AX19">
        <v>308.89999999999998</v>
      </c>
      <c r="AY19">
        <v>90.3</v>
      </c>
      <c r="AZ19" s="36">
        <v>298.10000000000002</v>
      </c>
      <c r="BA19">
        <v>91.5</v>
      </c>
      <c r="BB19">
        <v>0</v>
      </c>
      <c r="BC19">
        <v>2.0299999999999999E-2</v>
      </c>
      <c r="BD19" s="36">
        <v>307.7</v>
      </c>
      <c r="BE19">
        <v>2.0199999999999999E-2</v>
      </c>
      <c r="BF19">
        <v>298.10000000000002</v>
      </c>
      <c r="BG19">
        <v>2.0199999999999999E-2</v>
      </c>
    </row>
    <row r="20" spans="1:59" x14ac:dyDescent="0.25">
      <c r="A20" s="3">
        <v>360</v>
      </c>
      <c r="B20" s="3">
        <v>4</v>
      </c>
      <c r="C20" s="3">
        <v>1</v>
      </c>
      <c r="D20">
        <v>0</v>
      </c>
      <c r="E20">
        <v>0</v>
      </c>
      <c r="F20">
        <v>0</v>
      </c>
      <c r="G20" s="36">
        <v>0</v>
      </c>
      <c r="I20">
        <v>0</v>
      </c>
      <c r="J20">
        <v>0</v>
      </c>
      <c r="K20" s="36">
        <v>0</v>
      </c>
      <c r="L20">
        <v>0</v>
      </c>
      <c r="M20">
        <v>0</v>
      </c>
      <c r="N20">
        <v>0</v>
      </c>
      <c r="P20" s="3">
        <v>360</v>
      </c>
      <c r="Q20" s="3">
        <v>4</v>
      </c>
      <c r="R20" s="3">
        <v>1</v>
      </c>
      <c r="S20">
        <v>0</v>
      </c>
      <c r="T20">
        <v>0</v>
      </c>
      <c r="U20">
        <v>0</v>
      </c>
      <c r="V20" s="36">
        <v>0</v>
      </c>
      <c r="W20">
        <v>0</v>
      </c>
      <c r="X20">
        <v>0</v>
      </c>
      <c r="Y20">
        <v>0</v>
      </c>
      <c r="Z20" s="36">
        <v>0</v>
      </c>
      <c r="AA20">
        <v>0</v>
      </c>
      <c r="AB20">
        <v>0</v>
      </c>
      <c r="AC20">
        <v>0</v>
      </c>
      <c r="AE20" s="3">
        <v>360</v>
      </c>
      <c r="AF20" s="3">
        <v>4</v>
      </c>
      <c r="AG20" s="3">
        <v>1</v>
      </c>
      <c r="AH20">
        <v>98.6</v>
      </c>
      <c r="AI20">
        <v>341.3</v>
      </c>
      <c r="AJ20">
        <v>93.3</v>
      </c>
      <c r="AK20" s="36">
        <v>324.89999999999998</v>
      </c>
      <c r="AL20">
        <v>0</v>
      </c>
      <c r="AM20">
        <v>94.7</v>
      </c>
      <c r="AN20">
        <v>1.9699999999999999E-2</v>
      </c>
      <c r="AO20" s="36">
        <v>359.7</v>
      </c>
      <c r="AP20">
        <v>1.9E-2</v>
      </c>
      <c r="AQ20">
        <v>270</v>
      </c>
      <c r="AR20">
        <v>1.9199999999999998E-2</v>
      </c>
      <c r="AT20" s="3">
        <v>360</v>
      </c>
      <c r="AU20" s="3">
        <v>4</v>
      </c>
      <c r="AV20" s="3">
        <v>1</v>
      </c>
      <c r="AW20">
        <v>98.6</v>
      </c>
      <c r="AX20">
        <v>341.3</v>
      </c>
      <c r="AY20">
        <v>93.3</v>
      </c>
      <c r="AZ20" s="36">
        <v>324.89999999999998</v>
      </c>
      <c r="BA20">
        <v>0</v>
      </c>
      <c r="BB20">
        <v>94.7</v>
      </c>
      <c r="BC20">
        <v>1.9699999999999999E-2</v>
      </c>
      <c r="BD20" s="36">
        <v>359.7</v>
      </c>
      <c r="BE20">
        <v>1.9E-2</v>
      </c>
      <c r="BF20">
        <v>270</v>
      </c>
      <c r="BG20">
        <v>1.9199999999999998E-2</v>
      </c>
    </row>
    <row r="21" spans="1:59" x14ac:dyDescent="0.25">
      <c r="A21" s="3">
        <v>360</v>
      </c>
      <c r="B21" s="3">
        <v>4</v>
      </c>
      <c r="C21" s="3">
        <v>2</v>
      </c>
      <c r="D21">
        <v>0</v>
      </c>
      <c r="E21">
        <v>0</v>
      </c>
      <c r="F21">
        <v>0</v>
      </c>
      <c r="G21" s="36">
        <v>0</v>
      </c>
      <c r="I21">
        <v>0</v>
      </c>
      <c r="J21">
        <v>0</v>
      </c>
      <c r="K21" s="36">
        <v>0</v>
      </c>
      <c r="L21">
        <v>0</v>
      </c>
      <c r="M21">
        <v>0</v>
      </c>
      <c r="N21">
        <v>0</v>
      </c>
      <c r="P21" s="3">
        <v>360</v>
      </c>
      <c r="Q21" s="3">
        <v>4</v>
      </c>
      <c r="R21" s="3">
        <v>2</v>
      </c>
      <c r="S21">
        <v>0</v>
      </c>
      <c r="T21">
        <v>0</v>
      </c>
      <c r="U21">
        <v>0</v>
      </c>
      <c r="V21" s="36">
        <v>0</v>
      </c>
      <c r="W21">
        <v>0</v>
      </c>
      <c r="X21">
        <v>0</v>
      </c>
      <c r="Y21">
        <v>0</v>
      </c>
      <c r="Z21" s="36">
        <v>0</v>
      </c>
      <c r="AA21">
        <v>0</v>
      </c>
      <c r="AB21">
        <v>0</v>
      </c>
      <c r="AC21">
        <v>0</v>
      </c>
      <c r="AE21" s="3">
        <v>360</v>
      </c>
      <c r="AF21" s="3">
        <v>4</v>
      </c>
      <c r="AG21" s="3">
        <v>2</v>
      </c>
      <c r="AH21">
        <v>98.8</v>
      </c>
      <c r="AI21">
        <v>338.1</v>
      </c>
      <c r="AJ21">
        <v>93.5</v>
      </c>
      <c r="AK21" s="36">
        <v>307.7</v>
      </c>
      <c r="AL21">
        <v>0</v>
      </c>
      <c r="AM21">
        <v>95</v>
      </c>
      <c r="AN21">
        <v>1.9800000000000002E-2</v>
      </c>
      <c r="AO21" s="36">
        <v>359.7</v>
      </c>
      <c r="AP21">
        <v>1.9099999999999999E-2</v>
      </c>
      <c r="AQ21">
        <v>328.1</v>
      </c>
      <c r="AR21">
        <v>1.9300000000000001E-2</v>
      </c>
      <c r="AT21" s="3">
        <v>360</v>
      </c>
      <c r="AU21" s="3">
        <v>4</v>
      </c>
      <c r="AV21" s="3">
        <v>2</v>
      </c>
      <c r="AW21">
        <v>98.8</v>
      </c>
      <c r="AX21">
        <v>338.1</v>
      </c>
      <c r="AY21">
        <v>93.5</v>
      </c>
      <c r="AZ21" s="36">
        <v>307.7</v>
      </c>
      <c r="BA21">
        <v>0</v>
      </c>
      <c r="BB21">
        <v>95</v>
      </c>
      <c r="BC21">
        <v>1.9800000000000002E-2</v>
      </c>
      <c r="BD21" s="36">
        <v>359.7</v>
      </c>
      <c r="BE21">
        <v>1.9099999999999999E-2</v>
      </c>
      <c r="BF21">
        <v>328.1</v>
      </c>
      <c r="BG21">
        <v>1.9300000000000001E-2</v>
      </c>
    </row>
    <row r="22" spans="1:59" x14ac:dyDescent="0.25">
      <c r="A22" s="3">
        <v>360</v>
      </c>
      <c r="B22" s="3">
        <v>4</v>
      </c>
      <c r="C22" s="3">
        <v>3</v>
      </c>
      <c r="D22">
        <v>0</v>
      </c>
      <c r="E22">
        <v>0</v>
      </c>
      <c r="F22">
        <v>0</v>
      </c>
      <c r="G22" s="36">
        <v>0</v>
      </c>
      <c r="I22">
        <v>0</v>
      </c>
      <c r="J22">
        <v>0</v>
      </c>
      <c r="K22" s="36">
        <v>0</v>
      </c>
      <c r="L22">
        <v>0</v>
      </c>
      <c r="M22">
        <v>0</v>
      </c>
      <c r="N22">
        <v>0</v>
      </c>
      <c r="P22" s="3">
        <v>360</v>
      </c>
      <c r="Q22" s="3">
        <v>4</v>
      </c>
      <c r="R22" s="3">
        <v>3</v>
      </c>
      <c r="S22">
        <v>0</v>
      </c>
      <c r="T22">
        <v>0</v>
      </c>
      <c r="U22">
        <v>0</v>
      </c>
      <c r="V22" s="36">
        <v>0</v>
      </c>
      <c r="W22">
        <v>0</v>
      </c>
      <c r="X22">
        <v>0</v>
      </c>
      <c r="Y22">
        <v>0</v>
      </c>
      <c r="Z22" s="36">
        <v>0</v>
      </c>
      <c r="AA22">
        <v>0</v>
      </c>
      <c r="AB22">
        <v>0</v>
      </c>
      <c r="AC22">
        <v>0</v>
      </c>
      <c r="AE22" s="3">
        <v>360</v>
      </c>
      <c r="AF22" s="3">
        <v>4</v>
      </c>
      <c r="AG22" s="3">
        <v>3</v>
      </c>
      <c r="AH22">
        <v>98.8</v>
      </c>
      <c r="AI22">
        <v>335.3</v>
      </c>
      <c r="AJ22">
        <v>93.4</v>
      </c>
      <c r="AK22" s="36">
        <v>298.89999999999998</v>
      </c>
      <c r="AL22">
        <v>0</v>
      </c>
      <c r="AM22">
        <v>95.3</v>
      </c>
      <c r="AN22">
        <v>1.9800000000000002E-2</v>
      </c>
      <c r="AO22" s="36">
        <v>358.5</v>
      </c>
      <c r="AP22">
        <v>1.9E-2</v>
      </c>
      <c r="AQ22">
        <v>318.10000000000002</v>
      </c>
      <c r="AR22">
        <v>1.9300000000000001E-2</v>
      </c>
      <c r="AT22" s="3">
        <v>360</v>
      </c>
      <c r="AU22" s="3">
        <v>4</v>
      </c>
      <c r="AV22" s="3">
        <v>3</v>
      </c>
      <c r="AW22">
        <v>98.8</v>
      </c>
      <c r="AX22">
        <v>335.3</v>
      </c>
      <c r="AY22">
        <v>93.4</v>
      </c>
      <c r="AZ22" s="36">
        <v>298.89999999999998</v>
      </c>
      <c r="BA22">
        <v>0</v>
      </c>
      <c r="BB22">
        <v>95.3</v>
      </c>
      <c r="BC22">
        <v>1.9800000000000002E-2</v>
      </c>
      <c r="BD22" s="36">
        <v>358.5</v>
      </c>
      <c r="BE22">
        <v>1.9E-2</v>
      </c>
      <c r="BF22">
        <v>318.10000000000002</v>
      </c>
      <c r="BG22">
        <v>1.9300000000000001E-2</v>
      </c>
    </row>
    <row r="23" spans="1:59" x14ac:dyDescent="0.25">
      <c r="A23" s="3">
        <v>360</v>
      </c>
      <c r="B23" s="3">
        <v>5</v>
      </c>
      <c r="C23" s="3">
        <v>1</v>
      </c>
      <c r="D23">
        <v>0</v>
      </c>
      <c r="E23">
        <v>0</v>
      </c>
      <c r="F23">
        <v>0</v>
      </c>
      <c r="G23" s="36">
        <v>0</v>
      </c>
      <c r="H23">
        <v>0</v>
      </c>
      <c r="I23">
        <v>0</v>
      </c>
      <c r="J23">
        <v>0</v>
      </c>
      <c r="K23" s="36">
        <v>0</v>
      </c>
      <c r="L23">
        <v>0</v>
      </c>
      <c r="M23">
        <v>0</v>
      </c>
      <c r="N23">
        <v>0</v>
      </c>
      <c r="P23" s="3">
        <v>360</v>
      </c>
      <c r="Q23" s="3">
        <v>5</v>
      </c>
      <c r="R23" s="3">
        <v>1</v>
      </c>
      <c r="S23">
        <v>0</v>
      </c>
      <c r="T23">
        <v>0</v>
      </c>
      <c r="U23">
        <v>0</v>
      </c>
      <c r="V23" s="36">
        <v>0</v>
      </c>
      <c r="W23">
        <v>0</v>
      </c>
      <c r="X23">
        <v>0</v>
      </c>
      <c r="Y23">
        <v>0</v>
      </c>
      <c r="Z23" s="36">
        <v>0</v>
      </c>
      <c r="AA23">
        <v>0</v>
      </c>
      <c r="AB23">
        <v>0</v>
      </c>
      <c r="AC23">
        <v>0</v>
      </c>
      <c r="AE23" s="3">
        <v>360</v>
      </c>
      <c r="AF23" s="3">
        <v>5</v>
      </c>
      <c r="AG23" s="3">
        <v>1</v>
      </c>
      <c r="AH23">
        <v>95.9</v>
      </c>
      <c r="AI23">
        <v>311.7</v>
      </c>
      <c r="AJ23">
        <v>90.9</v>
      </c>
      <c r="AK23" s="36">
        <v>302.10000000000002</v>
      </c>
      <c r="AL23">
        <v>92.4</v>
      </c>
      <c r="AM23">
        <v>91.4</v>
      </c>
      <c r="AN23">
        <v>2.0299999999999999E-2</v>
      </c>
      <c r="AO23" s="36">
        <v>310.5</v>
      </c>
      <c r="AP23">
        <v>2.0299999999999999E-2</v>
      </c>
      <c r="AQ23">
        <v>301.7</v>
      </c>
      <c r="AR23">
        <v>2.0299999999999999E-2</v>
      </c>
      <c r="AT23" s="3">
        <v>360</v>
      </c>
      <c r="AU23" s="3">
        <v>5</v>
      </c>
      <c r="AV23" s="3">
        <v>1</v>
      </c>
      <c r="AW23">
        <v>95.9</v>
      </c>
      <c r="AX23">
        <v>311.7</v>
      </c>
      <c r="AY23">
        <v>90.9</v>
      </c>
      <c r="AZ23" s="36">
        <v>302.10000000000002</v>
      </c>
      <c r="BA23">
        <v>92.4</v>
      </c>
      <c r="BB23">
        <v>91.4</v>
      </c>
      <c r="BC23">
        <v>2.0299999999999999E-2</v>
      </c>
      <c r="BD23" s="36">
        <v>310.5</v>
      </c>
      <c r="BE23">
        <v>2.0299999999999999E-2</v>
      </c>
      <c r="BF23">
        <v>301.7</v>
      </c>
      <c r="BG23">
        <v>2.0299999999999999E-2</v>
      </c>
    </row>
    <row r="24" spans="1:59" x14ac:dyDescent="0.25">
      <c r="A24" s="3">
        <v>360</v>
      </c>
      <c r="B24" s="3">
        <v>5</v>
      </c>
      <c r="C24" s="3">
        <v>2</v>
      </c>
      <c r="D24">
        <v>0</v>
      </c>
      <c r="E24">
        <v>0</v>
      </c>
      <c r="F24">
        <v>0</v>
      </c>
      <c r="G24" s="36">
        <v>0</v>
      </c>
      <c r="H24">
        <v>0</v>
      </c>
      <c r="I24">
        <v>0</v>
      </c>
      <c r="J24">
        <v>0</v>
      </c>
      <c r="K24" s="36">
        <v>0</v>
      </c>
      <c r="L24">
        <v>0</v>
      </c>
      <c r="M24">
        <v>0</v>
      </c>
      <c r="N24">
        <v>0</v>
      </c>
      <c r="P24" s="3">
        <v>360</v>
      </c>
      <c r="Q24" s="3">
        <v>5</v>
      </c>
      <c r="R24" s="3">
        <v>2</v>
      </c>
      <c r="S24">
        <v>0</v>
      </c>
      <c r="T24">
        <v>0</v>
      </c>
      <c r="U24">
        <v>0</v>
      </c>
      <c r="V24" s="36">
        <v>0</v>
      </c>
      <c r="W24">
        <v>0</v>
      </c>
      <c r="X24">
        <v>0</v>
      </c>
      <c r="Y24">
        <v>0</v>
      </c>
      <c r="Z24" s="36">
        <v>0</v>
      </c>
      <c r="AA24">
        <v>0</v>
      </c>
      <c r="AB24">
        <v>0</v>
      </c>
      <c r="AC24">
        <v>0</v>
      </c>
      <c r="AE24" s="3">
        <v>360</v>
      </c>
      <c r="AF24" s="3">
        <v>5</v>
      </c>
      <c r="AG24" s="3">
        <v>2</v>
      </c>
      <c r="AH24">
        <v>96.7</v>
      </c>
      <c r="AI24">
        <v>315.3</v>
      </c>
      <c r="AJ24">
        <v>91.5</v>
      </c>
      <c r="AK24" s="36">
        <v>305.3</v>
      </c>
      <c r="AL24">
        <v>93.2</v>
      </c>
      <c r="AM24">
        <v>92.3</v>
      </c>
      <c r="AN24">
        <v>2.0299999999999999E-2</v>
      </c>
      <c r="AO24" s="36">
        <v>320.89999999999998</v>
      </c>
      <c r="AP24">
        <v>2.0199999999999999E-2</v>
      </c>
      <c r="AQ24">
        <v>282.5</v>
      </c>
      <c r="AR24">
        <v>2.0299999999999999E-2</v>
      </c>
      <c r="AT24" s="3">
        <v>360</v>
      </c>
      <c r="AU24" s="3">
        <v>5</v>
      </c>
      <c r="AV24" s="3">
        <v>2</v>
      </c>
      <c r="AW24">
        <v>96.7</v>
      </c>
      <c r="AX24">
        <v>315.3</v>
      </c>
      <c r="AY24">
        <v>91.5</v>
      </c>
      <c r="AZ24" s="36">
        <v>305.3</v>
      </c>
      <c r="BA24">
        <v>93.2</v>
      </c>
      <c r="BB24">
        <v>92.3</v>
      </c>
      <c r="BC24">
        <v>2.0299999999999999E-2</v>
      </c>
      <c r="BD24" s="36">
        <v>320.89999999999998</v>
      </c>
      <c r="BE24">
        <v>2.0199999999999999E-2</v>
      </c>
      <c r="BF24">
        <v>282.5</v>
      </c>
      <c r="BG24">
        <v>2.0299999999999999E-2</v>
      </c>
    </row>
    <row r="25" spans="1:59" x14ac:dyDescent="0.25">
      <c r="A25" s="3">
        <v>360</v>
      </c>
      <c r="B25" s="3">
        <v>5</v>
      </c>
      <c r="C25" s="3">
        <v>3</v>
      </c>
      <c r="D25">
        <v>0</v>
      </c>
      <c r="E25">
        <v>0</v>
      </c>
      <c r="F25">
        <v>0</v>
      </c>
      <c r="G25" s="36">
        <v>0</v>
      </c>
      <c r="H25">
        <v>0</v>
      </c>
      <c r="I25">
        <v>0</v>
      </c>
      <c r="J25">
        <v>0</v>
      </c>
      <c r="K25" s="36">
        <v>0</v>
      </c>
      <c r="L25">
        <v>0</v>
      </c>
      <c r="M25">
        <v>0</v>
      </c>
      <c r="N25">
        <v>0</v>
      </c>
      <c r="P25" s="3">
        <v>360</v>
      </c>
      <c r="Q25" s="3">
        <v>5</v>
      </c>
      <c r="R25" s="3">
        <v>3</v>
      </c>
      <c r="S25">
        <v>0</v>
      </c>
      <c r="T25">
        <v>0</v>
      </c>
      <c r="U25">
        <v>0</v>
      </c>
      <c r="V25" s="36">
        <v>0</v>
      </c>
      <c r="W25">
        <v>0</v>
      </c>
      <c r="X25">
        <v>0</v>
      </c>
      <c r="Y25">
        <v>0</v>
      </c>
      <c r="Z25" s="36">
        <v>0</v>
      </c>
      <c r="AA25">
        <v>0</v>
      </c>
      <c r="AB25">
        <v>0</v>
      </c>
      <c r="AC25">
        <v>0</v>
      </c>
      <c r="AE25" s="3">
        <v>360</v>
      </c>
      <c r="AF25" s="3">
        <v>5</v>
      </c>
      <c r="AG25" s="3">
        <v>3</v>
      </c>
      <c r="AH25">
        <v>97.7</v>
      </c>
      <c r="AI25">
        <v>319.3</v>
      </c>
      <c r="AJ25">
        <v>92.2</v>
      </c>
      <c r="AK25" s="36">
        <v>308.5</v>
      </c>
      <c r="AL25">
        <v>94.4</v>
      </c>
      <c r="AM25">
        <v>94.1</v>
      </c>
      <c r="AN25">
        <v>2.0299999999999999E-2</v>
      </c>
      <c r="AO25" s="36">
        <v>349.3</v>
      </c>
      <c r="AP25">
        <v>1.9800000000000002E-2</v>
      </c>
      <c r="AQ25">
        <v>282.5</v>
      </c>
      <c r="AR25">
        <v>2.01E-2</v>
      </c>
      <c r="AT25" s="3">
        <v>360</v>
      </c>
      <c r="AU25" s="3">
        <v>5</v>
      </c>
      <c r="AV25" s="3">
        <v>3</v>
      </c>
      <c r="AW25">
        <v>97.7</v>
      </c>
      <c r="AX25">
        <v>319.3</v>
      </c>
      <c r="AY25">
        <v>92.2</v>
      </c>
      <c r="AZ25" s="36">
        <v>308.5</v>
      </c>
      <c r="BA25">
        <v>94.4</v>
      </c>
      <c r="BB25">
        <v>94.1</v>
      </c>
      <c r="BC25">
        <v>2.0299999999999999E-2</v>
      </c>
      <c r="BD25" s="36">
        <v>349.3</v>
      </c>
      <c r="BE25">
        <v>1.9800000000000002E-2</v>
      </c>
      <c r="BF25">
        <v>282.5</v>
      </c>
      <c r="BG25">
        <v>2.01E-2</v>
      </c>
    </row>
    <row r="26" spans="1:59" x14ac:dyDescent="0.25">
      <c r="A26" s="3">
        <v>360</v>
      </c>
      <c r="B26" s="3">
        <v>6</v>
      </c>
      <c r="C26" s="3">
        <v>1</v>
      </c>
      <c r="D26">
        <v>0</v>
      </c>
      <c r="E26">
        <v>0</v>
      </c>
      <c r="F26">
        <v>0</v>
      </c>
      <c r="G26" s="36">
        <v>0</v>
      </c>
      <c r="I26">
        <v>0</v>
      </c>
      <c r="J26">
        <v>0</v>
      </c>
      <c r="K26" s="36">
        <v>0</v>
      </c>
      <c r="L26">
        <v>0</v>
      </c>
      <c r="M26">
        <v>0</v>
      </c>
      <c r="N26">
        <v>0</v>
      </c>
      <c r="P26" s="3">
        <v>360</v>
      </c>
      <c r="Q26" s="3">
        <v>6</v>
      </c>
      <c r="R26" s="3">
        <v>1</v>
      </c>
      <c r="S26">
        <v>0</v>
      </c>
      <c r="T26">
        <v>0</v>
      </c>
      <c r="U26">
        <v>0</v>
      </c>
      <c r="V26" s="36">
        <v>0</v>
      </c>
      <c r="W26">
        <v>0</v>
      </c>
      <c r="X26">
        <v>0</v>
      </c>
      <c r="Y26">
        <v>0</v>
      </c>
      <c r="Z26" s="36">
        <v>0</v>
      </c>
      <c r="AA26">
        <v>0</v>
      </c>
      <c r="AB26">
        <v>0</v>
      </c>
      <c r="AC26">
        <v>0</v>
      </c>
      <c r="AE26" s="3">
        <v>360</v>
      </c>
      <c r="AF26" s="3">
        <v>6</v>
      </c>
      <c r="AG26" s="3">
        <v>1</v>
      </c>
      <c r="AH26">
        <v>102.7</v>
      </c>
      <c r="AI26">
        <v>332.9</v>
      </c>
      <c r="AJ26">
        <v>94.9</v>
      </c>
      <c r="AK26" s="36">
        <v>320.89999999999998</v>
      </c>
      <c r="AL26">
        <v>0</v>
      </c>
      <c r="AM26">
        <v>96.9</v>
      </c>
      <c r="AN26">
        <v>1.9800000000000002E-2</v>
      </c>
      <c r="AO26" s="36">
        <v>350.9</v>
      </c>
      <c r="AP26">
        <v>1.8700000000000001E-2</v>
      </c>
      <c r="AQ26">
        <v>299.7</v>
      </c>
      <c r="AR26">
        <v>1.9099999999999999E-2</v>
      </c>
      <c r="AT26" s="3">
        <v>360</v>
      </c>
      <c r="AU26" s="3">
        <v>6</v>
      </c>
      <c r="AV26" s="3">
        <v>1</v>
      </c>
      <c r="AW26">
        <v>102.7</v>
      </c>
      <c r="AX26">
        <v>332.9</v>
      </c>
      <c r="AY26">
        <v>94.9</v>
      </c>
      <c r="AZ26" s="36">
        <v>320.89999999999998</v>
      </c>
      <c r="BA26">
        <v>0</v>
      </c>
      <c r="BB26">
        <v>96.9</v>
      </c>
      <c r="BC26">
        <v>1.9800000000000002E-2</v>
      </c>
      <c r="BD26" s="36">
        <v>350.9</v>
      </c>
      <c r="BE26">
        <v>1.8700000000000001E-2</v>
      </c>
      <c r="BF26">
        <v>299.7</v>
      </c>
      <c r="BG26">
        <v>1.9099999999999999E-2</v>
      </c>
    </row>
    <row r="27" spans="1:59" x14ac:dyDescent="0.25">
      <c r="A27" s="3">
        <v>360</v>
      </c>
      <c r="B27" s="3">
        <v>6</v>
      </c>
      <c r="C27" s="3">
        <v>2</v>
      </c>
      <c r="D27">
        <v>0</v>
      </c>
      <c r="E27">
        <v>0</v>
      </c>
      <c r="F27">
        <v>0</v>
      </c>
      <c r="G27" s="36">
        <v>0</v>
      </c>
      <c r="I27">
        <v>0</v>
      </c>
      <c r="J27">
        <v>0</v>
      </c>
      <c r="K27" s="36">
        <v>0</v>
      </c>
      <c r="L27">
        <v>0</v>
      </c>
      <c r="M27">
        <v>0</v>
      </c>
      <c r="N27">
        <v>0</v>
      </c>
      <c r="P27" s="3">
        <v>360</v>
      </c>
      <c r="Q27" s="3">
        <v>6</v>
      </c>
      <c r="R27" s="3">
        <v>2</v>
      </c>
      <c r="S27">
        <v>0</v>
      </c>
      <c r="T27">
        <v>0</v>
      </c>
      <c r="U27">
        <v>0</v>
      </c>
      <c r="V27" s="36">
        <v>0</v>
      </c>
      <c r="W27">
        <v>0</v>
      </c>
      <c r="X27">
        <v>0</v>
      </c>
      <c r="Y27">
        <v>0</v>
      </c>
      <c r="Z27" s="36">
        <v>0</v>
      </c>
      <c r="AA27">
        <v>0</v>
      </c>
      <c r="AB27">
        <v>0</v>
      </c>
      <c r="AC27">
        <v>0</v>
      </c>
      <c r="AE27" s="3">
        <v>360</v>
      </c>
      <c r="AF27" s="3">
        <v>6</v>
      </c>
      <c r="AG27" s="3">
        <v>2</v>
      </c>
      <c r="AH27">
        <v>103.2</v>
      </c>
      <c r="AI27">
        <v>329.7</v>
      </c>
      <c r="AJ27">
        <v>94.8</v>
      </c>
      <c r="AK27" s="36">
        <v>316.89999999999998</v>
      </c>
      <c r="AL27">
        <v>0</v>
      </c>
      <c r="AM27">
        <v>97.4</v>
      </c>
      <c r="AN27">
        <v>1.9800000000000002E-2</v>
      </c>
      <c r="AO27" s="36">
        <v>342.9</v>
      </c>
      <c r="AP27">
        <v>1.8599999999999998E-2</v>
      </c>
      <c r="AQ27">
        <v>284.5</v>
      </c>
      <c r="AR27">
        <v>1.9199999999999998E-2</v>
      </c>
      <c r="AT27" s="3">
        <v>360</v>
      </c>
      <c r="AU27" s="3">
        <v>6</v>
      </c>
      <c r="AV27" s="3">
        <v>2</v>
      </c>
      <c r="AW27">
        <v>103.2</v>
      </c>
      <c r="AX27">
        <v>329.7</v>
      </c>
      <c r="AY27">
        <v>94.8</v>
      </c>
      <c r="AZ27" s="36">
        <v>316.89999999999998</v>
      </c>
      <c r="BA27">
        <v>0</v>
      </c>
      <c r="BB27">
        <v>97.4</v>
      </c>
      <c r="BC27">
        <v>1.9800000000000002E-2</v>
      </c>
      <c r="BD27" s="36">
        <v>342.9</v>
      </c>
      <c r="BE27">
        <v>1.8599999999999998E-2</v>
      </c>
      <c r="BF27">
        <v>284.5</v>
      </c>
      <c r="BG27">
        <v>1.9199999999999998E-2</v>
      </c>
    </row>
    <row r="28" spans="1:59" x14ac:dyDescent="0.25">
      <c r="A28" s="3">
        <v>360</v>
      </c>
      <c r="B28" s="3">
        <v>6</v>
      </c>
      <c r="C28" s="3">
        <v>3</v>
      </c>
      <c r="D28">
        <v>0</v>
      </c>
      <c r="E28">
        <v>0</v>
      </c>
      <c r="F28">
        <v>0</v>
      </c>
      <c r="G28" s="36">
        <v>0</v>
      </c>
      <c r="I28">
        <v>0</v>
      </c>
      <c r="J28">
        <v>0</v>
      </c>
      <c r="K28" s="36">
        <v>0</v>
      </c>
      <c r="L28">
        <v>0</v>
      </c>
      <c r="M28">
        <v>0</v>
      </c>
      <c r="N28">
        <v>0</v>
      </c>
      <c r="P28" s="3">
        <v>360</v>
      </c>
      <c r="Q28" s="3">
        <v>6</v>
      </c>
      <c r="R28" s="3">
        <v>3</v>
      </c>
      <c r="S28">
        <v>0</v>
      </c>
      <c r="T28">
        <v>0</v>
      </c>
      <c r="U28">
        <v>0</v>
      </c>
      <c r="V28" s="36">
        <v>0</v>
      </c>
      <c r="W28">
        <v>0</v>
      </c>
      <c r="X28">
        <v>0</v>
      </c>
      <c r="Y28">
        <v>0</v>
      </c>
      <c r="Z28" s="36">
        <v>0</v>
      </c>
      <c r="AA28">
        <v>0</v>
      </c>
      <c r="AB28">
        <v>0</v>
      </c>
      <c r="AC28">
        <v>0</v>
      </c>
      <c r="AE28" s="3">
        <v>360</v>
      </c>
      <c r="AF28" s="3">
        <v>6</v>
      </c>
      <c r="AG28" s="3">
        <v>3</v>
      </c>
      <c r="AH28">
        <v>104.9</v>
      </c>
      <c r="AI28">
        <v>325.7</v>
      </c>
      <c r="AJ28">
        <v>94.1</v>
      </c>
      <c r="AK28" s="36">
        <v>311.7</v>
      </c>
      <c r="AL28">
        <v>0</v>
      </c>
      <c r="AM28">
        <v>98</v>
      </c>
      <c r="AN28">
        <v>1.9900000000000001E-2</v>
      </c>
      <c r="AO28" s="36">
        <v>334.5</v>
      </c>
      <c r="AP28">
        <v>1.8499999999999999E-2</v>
      </c>
      <c r="AQ28">
        <v>272.10000000000002</v>
      </c>
      <c r="AR28">
        <v>1.9300000000000001E-2</v>
      </c>
      <c r="AT28" s="3">
        <v>360</v>
      </c>
      <c r="AU28" s="3">
        <v>6</v>
      </c>
      <c r="AV28" s="3">
        <v>3</v>
      </c>
      <c r="AW28">
        <v>104.9</v>
      </c>
      <c r="AX28">
        <v>325.7</v>
      </c>
      <c r="AY28">
        <v>94.1</v>
      </c>
      <c r="AZ28" s="36">
        <v>311.7</v>
      </c>
      <c r="BA28">
        <v>0</v>
      </c>
      <c r="BB28">
        <v>98</v>
      </c>
      <c r="BC28">
        <v>1.9900000000000001E-2</v>
      </c>
      <c r="BD28" s="36">
        <v>334.5</v>
      </c>
      <c r="BE28">
        <v>1.8499999999999999E-2</v>
      </c>
      <c r="BF28">
        <v>272.10000000000002</v>
      </c>
      <c r="BG28">
        <v>1.9300000000000001E-2</v>
      </c>
    </row>
    <row r="29" spans="1:59" x14ac:dyDescent="0.25">
      <c r="A29" s="3">
        <v>360</v>
      </c>
      <c r="B29" s="3">
        <v>7</v>
      </c>
      <c r="C29" s="3">
        <v>1</v>
      </c>
      <c r="D29">
        <v>0</v>
      </c>
      <c r="E29">
        <v>0</v>
      </c>
      <c r="F29">
        <v>0</v>
      </c>
      <c r="G29" s="36">
        <v>0</v>
      </c>
      <c r="H29">
        <v>0</v>
      </c>
      <c r="I29">
        <v>0</v>
      </c>
      <c r="J29">
        <v>0</v>
      </c>
      <c r="K29" s="36">
        <v>0</v>
      </c>
      <c r="L29">
        <v>0</v>
      </c>
      <c r="M29">
        <v>0</v>
      </c>
      <c r="N29">
        <v>0</v>
      </c>
      <c r="P29" s="3">
        <v>360</v>
      </c>
      <c r="Q29" s="3">
        <v>7</v>
      </c>
      <c r="R29" s="3">
        <v>1</v>
      </c>
      <c r="S29">
        <v>0</v>
      </c>
      <c r="T29">
        <v>0</v>
      </c>
      <c r="U29">
        <v>0</v>
      </c>
      <c r="V29" s="36">
        <v>0</v>
      </c>
      <c r="W29">
        <v>0</v>
      </c>
      <c r="X29">
        <v>0</v>
      </c>
      <c r="Y29">
        <v>0</v>
      </c>
      <c r="Z29" s="36">
        <v>0</v>
      </c>
      <c r="AA29">
        <v>0</v>
      </c>
      <c r="AB29">
        <v>0</v>
      </c>
      <c r="AC29">
        <v>0</v>
      </c>
      <c r="AE29" s="3">
        <v>360</v>
      </c>
      <c r="AF29" s="3">
        <v>7</v>
      </c>
      <c r="AG29" s="3">
        <v>1</v>
      </c>
      <c r="AH29">
        <v>101.3</v>
      </c>
      <c r="AI29">
        <v>352.9</v>
      </c>
      <c r="AJ29">
        <v>96.9</v>
      </c>
      <c r="AK29" s="36">
        <v>311.3</v>
      </c>
      <c r="AL29">
        <v>98.4</v>
      </c>
      <c r="AM29">
        <v>100.2</v>
      </c>
      <c r="AN29">
        <v>1.9599999999999999E-2</v>
      </c>
      <c r="AO29" s="36">
        <v>359.7</v>
      </c>
      <c r="AP29">
        <v>1.84E-2</v>
      </c>
      <c r="AQ29">
        <v>270</v>
      </c>
      <c r="AR29">
        <v>1.9099999999999999E-2</v>
      </c>
      <c r="AT29" s="3">
        <v>360</v>
      </c>
      <c r="AU29" s="3">
        <v>7</v>
      </c>
      <c r="AV29" s="3">
        <v>1</v>
      </c>
      <c r="AW29">
        <v>101.3</v>
      </c>
      <c r="AX29">
        <v>352.9</v>
      </c>
      <c r="AY29">
        <v>96.9</v>
      </c>
      <c r="AZ29" s="36">
        <v>311.3</v>
      </c>
      <c r="BA29">
        <v>98.4</v>
      </c>
      <c r="BB29">
        <v>100.2</v>
      </c>
      <c r="BC29">
        <v>1.9599999999999999E-2</v>
      </c>
      <c r="BD29" s="36">
        <v>359.7</v>
      </c>
      <c r="BE29">
        <v>1.84E-2</v>
      </c>
      <c r="BF29">
        <v>270</v>
      </c>
      <c r="BG29">
        <v>1.9099999999999999E-2</v>
      </c>
    </row>
    <row r="30" spans="1:59" x14ac:dyDescent="0.25">
      <c r="A30" s="3">
        <v>360</v>
      </c>
      <c r="B30" s="3">
        <v>8</v>
      </c>
      <c r="C30" s="3">
        <v>1</v>
      </c>
      <c r="D30">
        <v>0</v>
      </c>
      <c r="E30">
        <v>0</v>
      </c>
      <c r="F30">
        <v>0</v>
      </c>
      <c r="G30" s="36">
        <v>0</v>
      </c>
      <c r="H30">
        <v>0</v>
      </c>
      <c r="I30">
        <v>0</v>
      </c>
      <c r="J30">
        <v>0</v>
      </c>
      <c r="K30" s="36">
        <v>0</v>
      </c>
      <c r="L30">
        <v>0</v>
      </c>
      <c r="M30">
        <v>0</v>
      </c>
      <c r="N30">
        <v>0</v>
      </c>
      <c r="P30" s="3">
        <v>360</v>
      </c>
      <c r="Q30" s="3">
        <v>8</v>
      </c>
      <c r="R30" s="3">
        <v>1</v>
      </c>
      <c r="S30">
        <v>0</v>
      </c>
      <c r="T30">
        <v>0</v>
      </c>
      <c r="U30">
        <v>0</v>
      </c>
      <c r="V30" s="36">
        <v>0</v>
      </c>
      <c r="W30">
        <v>0</v>
      </c>
      <c r="X30">
        <v>0</v>
      </c>
      <c r="Y30">
        <v>0</v>
      </c>
      <c r="Z30" s="36">
        <v>0</v>
      </c>
      <c r="AA30">
        <v>0</v>
      </c>
      <c r="AB30">
        <v>0</v>
      </c>
      <c r="AC30">
        <v>0</v>
      </c>
      <c r="AE30" s="3">
        <v>360</v>
      </c>
      <c r="AF30" s="3">
        <v>8</v>
      </c>
      <c r="AG30" s="3">
        <v>1</v>
      </c>
      <c r="AH30">
        <v>94.8</v>
      </c>
      <c r="AI30">
        <v>315.7</v>
      </c>
      <c r="AJ30">
        <v>93.4</v>
      </c>
      <c r="AK30" s="36">
        <v>282.5</v>
      </c>
      <c r="AL30">
        <v>94.1</v>
      </c>
      <c r="AM30">
        <v>93.9</v>
      </c>
      <c r="AN30">
        <v>1.9300000000000001E-2</v>
      </c>
      <c r="AO30" s="36">
        <v>359.7</v>
      </c>
      <c r="AP30">
        <v>1.8599999999999998E-2</v>
      </c>
      <c r="AQ30">
        <v>270</v>
      </c>
      <c r="AR30">
        <v>1.9E-2</v>
      </c>
      <c r="AT30" s="3">
        <v>360</v>
      </c>
      <c r="AU30" s="3">
        <v>8</v>
      </c>
      <c r="AV30" s="3">
        <v>1</v>
      </c>
      <c r="AW30">
        <v>94.8</v>
      </c>
      <c r="AX30">
        <v>315.7</v>
      </c>
      <c r="AY30">
        <v>93.4</v>
      </c>
      <c r="AZ30" s="36">
        <v>282.5</v>
      </c>
      <c r="BA30">
        <v>94.1</v>
      </c>
      <c r="BB30">
        <v>93.9</v>
      </c>
      <c r="BC30">
        <v>1.9300000000000001E-2</v>
      </c>
      <c r="BD30" s="36">
        <v>359.7</v>
      </c>
      <c r="BE30">
        <v>1.8599999999999998E-2</v>
      </c>
      <c r="BF30">
        <v>270</v>
      </c>
      <c r="BG30">
        <v>1.9E-2</v>
      </c>
    </row>
    <row r="31" spans="1:59" x14ac:dyDescent="0.25">
      <c r="A31" s="3">
        <v>360</v>
      </c>
      <c r="B31" s="3">
        <v>8</v>
      </c>
      <c r="C31" s="3">
        <v>2</v>
      </c>
      <c r="D31">
        <v>0</v>
      </c>
      <c r="E31">
        <v>0</v>
      </c>
      <c r="F31">
        <v>0</v>
      </c>
      <c r="G31" s="36">
        <v>0</v>
      </c>
      <c r="H31">
        <v>0</v>
      </c>
      <c r="I31">
        <v>0</v>
      </c>
      <c r="J31">
        <v>0</v>
      </c>
      <c r="K31" s="36">
        <v>0</v>
      </c>
      <c r="L31">
        <v>0</v>
      </c>
      <c r="M31">
        <v>0</v>
      </c>
      <c r="N31">
        <v>0</v>
      </c>
      <c r="P31" s="3">
        <v>360</v>
      </c>
      <c r="Q31" s="3">
        <v>8</v>
      </c>
      <c r="R31" s="3">
        <v>2</v>
      </c>
      <c r="S31">
        <v>0</v>
      </c>
      <c r="T31">
        <v>0</v>
      </c>
      <c r="U31">
        <v>0</v>
      </c>
      <c r="V31" s="36">
        <v>0</v>
      </c>
      <c r="W31">
        <v>0</v>
      </c>
      <c r="X31">
        <v>0</v>
      </c>
      <c r="Y31">
        <v>0</v>
      </c>
      <c r="Z31" s="36">
        <v>0</v>
      </c>
      <c r="AA31">
        <v>0</v>
      </c>
      <c r="AB31">
        <v>0</v>
      </c>
      <c r="AC31">
        <v>0</v>
      </c>
      <c r="AE31" s="3">
        <v>360</v>
      </c>
      <c r="AF31" s="3">
        <v>8</v>
      </c>
      <c r="AG31" s="3">
        <v>2</v>
      </c>
      <c r="AH31">
        <v>92.8</v>
      </c>
      <c r="AI31">
        <v>316.89999999999998</v>
      </c>
      <c r="AJ31">
        <v>91.9</v>
      </c>
      <c r="AK31" s="36">
        <v>282.5</v>
      </c>
      <c r="AL31">
        <v>92.3</v>
      </c>
      <c r="AM31">
        <v>92.1</v>
      </c>
      <c r="AN31">
        <v>1.9699999999999999E-2</v>
      </c>
      <c r="AO31" s="36">
        <v>337.7</v>
      </c>
      <c r="AP31">
        <v>1.9300000000000001E-2</v>
      </c>
      <c r="AQ31">
        <v>270.89999999999998</v>
      </c>
      <c r="AR31">
        <v>1.95E-2</v>
      </c>
      <c r="AT31" s="3">
        <v>360</v>
      </c>
      <c r="AU31" s="3">
        <v>8</v>
      </c>
      <c r="AV31" s="3">
        <v>2</v>
      </c>
      <c r="AW31">
        <v>92.8</v>
      </c>
      <c r="AX31">
        <v>316.89999999999998</v>
      </c>
      <c r="AY31">
        <v>91.9</v>
      </c>
      <c r="AZ31" s="36">
        <v>282.5</v>
      </c>
      <c r="BA31">
        <v>92.3</v>
      </c>
      <c r="BB31">
        <v>92.1</v>
      </c>
      <c r="BC31">
        <v>1.9699999999999999E-2</v>
      </c>
      <c r="BD31" s="36">
        <v>337.7</v>
      </c>
      <c r="BE31">
        <v>1.9300000000000001E-2</v>
      </c>
      <c r="BF31">
        <v>270.89999999999998</v>
      </c>
      <c r="BG31">
        <v>1.95E-2</v>
      </c>
    </row>
    <row r="32" spans="1:59" x14ac:dyDescent="0.25">
      <c r="A32" s="3">
        <v>360</v>
      </c>
      <c r="B32" s="3">
        <v>9</v>
      </c>
      <c r="C32" s="3">
        <v>1</v>
      </c>
      <c r="D32">
        <v>0</v>
      </c>
      <c r="E32">
        <v>0</v>
      </c>
      <c r="F32">
        <v>0</v>
      </c>
      <c r="G32" s="36">
        <v>0</v>
      </c>
      <c r="H32">
        <v>0</v>
      </c>
      <c r="I32">
        <v>0</v>
      </c>
      <c r="J32">
        <v>0</v>
      </c>
      <c r="K32" s="36">
        <v>0</v>
      </c>
      <c r="L32">
        <v>0</v>
      </c>
      <c r="M32">
        <v>0</v>
      </c>
      <c r="N32">
        <v>0</v>
      </c>
      <c r="P32" s="3">
        <v>360</v>
      </c>
      <c r="Q32" s="3">
        <v>9</v>
      </c>
      <c r="R32" s="3">
        <v>1</v>
      </c>
      <c r="S32">
        <v>0</v>
      </c>
      <c r="T32">
        <v>0</v>
      </c>
      <c r="U32">
        <v>0</v>
      </c>
      <c r="V32" s="36">
        <v>0</v>
      </c>
      <c r="W32">
        <v>0</v>
      </c>
      <c r="X32">
        <v>0</v>
      </c>
      <c r="Y32">
        <v>0</v>
      </c>
      <c r="Z32" s="36">
        <v>0</v>
      </c>
      <c r="AA32">
        <v>0</v>
      </c>
      <c r="AB32">
        <v>0</v>
      </c>
      <c r="AC32">
        <v>0</v>
      </c>
      <c r="AE32" s="3">
        <v>360</v>
      </c>
      <c r="AF32" s="3">
        <v>9</v>
      </c>
      <c r="AG32" s="3">
        <v>1</v>
      </c>
      <c r="AH32">
        <v>102.7</v>
      </c>
      <c r="AI32">
        <v>341.3</v>
      </c>
      <c r="AJ32">
        <v>99.6</v>
      </c>
      <c r="AK32" s="36">
        <v>270</v>
      </c>
      <c r="AL32">
        <v>101</v>
      </c>
      <c r="AM32">
        <v>101.6</v>
      </c>
      <c r="AN32">
        <v>1.9699999999999999E-2</v>
      </c>
      <c r="AO32" s="36">
        <v>359.7</v>
      </c>
      <c r="AP32">
        <v>1.8599999999999998E-2</v>
      </c>
      <c r="AQ32">
        <v>270</v>
      </c>
      <c r="AR32">
        <v>1.9199999999999998E-2</v>
      </c>
      <c r="AT32" s="3">
        <v>360</v>
      </c>
      <c r="AU32" s="3">
        <v>9</v>
      </c>
      <c r="AV32" s="3">
        <v>1</v>
      </c>
      <c r="AW32">
        <v>102.7</v>
      </c>
      <c r="AX32">
        <v>341.3</v>
      </c>
      <c r="AY32">
        <v>99.6</v>
      </c>
      <c r="AZ32" s="36">
        <v>270</v>
      </c>
      <c r="BA32">
        <v>101</v>
      </c>
      <c r="BB32">
        <v>101.6</v>
      </c>
      <c r="BC32">
        <v>1.9699999999999999E-2</v>
      </c>
      <c r="BD32" s="36">
        <v>359.7</v>
      </c>
      <c r="BE32">
        <v>1.8599999999999998E-2</v>
      </c>
      <c r="BF32">
        <v>270</v>
      </c>
      <c r="BG32">
        <v>1.9199999999999998E-2</v>
      </c>
    </row>
    <row r="33" spans="1:59" x14ac:dyDescent="0.25">
      <c r="A33" s="3">
        <v>360</v>
      </c>
      <c r="B33" s="3">
        <v>9</v>
      </c>
      <c r="C33" s="3">
        <v>2</v>
      </c>
      <c r="D33">
        <v>0</v>
      </c>
      <c r="E33">
        <v>0</v>
      </c>
      <c r="F33">
        <v>0</v>
      </c>
      <c r="G33" s="36">
        <v>0</v>
      </c>
      <c r="H33">
        <v>0</v>
      </c>
      <c r="I33">
        <v>0</v>
      </c>
      <c r="J33">
        <v>0</v>
      </c>
      <c r="K33" s="36">
        <v>0</v>
      </c>
      <c r="L33">
        <v>0</v>
      </c>
      <c r="M33">
        <v>0</v>
      </c>
      <c r="N33">
        <v>0</v>
      </c>
      <c r="P33" s="3">
        <v>360</v>
      </c>
      <c r="Q33" s="3">
        <v>9</v>
      </c>
      <c r="R33" s="3">
        <v>2</v>
      </c>
      <c r="S33">
        <v>0</v>
      </c>
      <c r="T33">
        <v>0</v>
      </c>
      <c r="U33">
        <v>0</v>
      </c>
      <c r="V33" s="36">
        <v>0</v>
      </c>
      <c r="W33">
        <v>0</v>
      </c>
      <c r="X33">
        <v>0</v>
      </c>
      <c r="Y33">
        <v>0</v>
      </c>
      <c r="Z33" s="36">
        <v>0</v>
      </c>
      <c r="AA33">
        <v>0</v>
      </c>
      <c r="AB33">
        <v>0</v>
      </c>
      <c r="AC33">
        <v>0</v>
      </c>
      <c r="AE33" s="3">
        <v>360</v>
      </c>
      <c r="AF33" s="3">
        <v>9</v>
      </c>
      <c r="AG33" s="3">
        <v>2</v>
      </c>
      <c r="AH33">
        <v>103.6</v>
      </c>
      <c r="AI33">
        <v>328.5</v>
      </c>
      <c r="AJ33">
        <v>99.8</v>
      </c>
      <c r="AK33" s="36">
        <v>270</v>
      </c>
      <c r="AL33">
        <v>101.8</v>
      </c>
      <c r="AM33">
        <v>102</v>
      </c>
      <c r="AN33">
        <v>1.9900000000000001E-2</v>
      </c>
      <c r="AO33" s="36">
        <v>359.7</v>
      </c>
      <c r="AP33">
        <v>1.89E-2</v>
      </c>
      <c r="AQ33">
        <v>270</v>
      </c>
      <c r="AR33">
        <v>1.9400000000000001E-2</v>
      </c>
      <c r="AT33" s="3">
        <v>360</v>
      </c>
      <c r="AU33" s="3">
        <v>9</v>
      </c>
      <c r="AV33" s="3">
        <v>2</v>
      </c>
      <c r="AW33">
        <v>103.6</v>
      </c>
      <c r="AX33">
        <v>328.5</v>
      </c>
      <c r="AY33">
        <v>99.8</v>
      </c>
      <c r="AZ33" s="36">
        <v>270</v>
      </c>
      <c r="BA33">
        <v>101.8</v>
      </c>
      <c r="BB33">
        <v>102</v>
      </c>
      <c r="BC33">
        <v>1.9900000000000001E-2</v>
      </c>
      <c r="BD33" s="36">
        <v>359.7</v>
      </c>
      <c r="BE33">
        <v>1.89E-2</v>
      </c>
      <c r="BF33">
        <v>270</v>
      </c>
      <c r="BG33">
        <v>1.9400000000000001E-2</v>
      </c>
    </row>
    <row r="34" spans="1:59" x14ac:dyDescent="0.25">
      <c r="A34" s="3">
        <v>360</v>
      </c>
      <c r="B34" s="3">
        <v>9</v>
      </c>
      <c r="C34" s="3">
        <v>3</v>
      </c>
      <c r="D34">
        <v>0</v>
      </c>
      <c r="E34">
        <v>0</v>
      </c>
      <c r="F34">
        <v>0</v>
      </c>
      <c r="G34" s="36">
        <v>0</v>
      </c>
      <c r="H34">
        <v>0</v>
      </c>
      <c r="I34">
        <v>0</v>
      </c>
      <c r="J34">
        <v>0</v>
      </c>
      <c r="K34" s="36">
        <v>0</v>
      </c>
      <c r="L34">
        <v>0</v>
      </c>
      <c r="M34">
        <v>0</v>
      </c>
      <c r="N34">
        <v>0</v>
      </c>
      <c r="P34" s="3">
        <v>360</v>
      </c>
      <c r="Q34" s="3">
        <v>9</v>
      </c>
      <c r="R34" s="3">
        <v>3</v>
      </c>
      <c r="S34">
        <v>0</v>
      </c>
      <c r="T34">
        <v>0</v>
      </c>
      <c r="U34">
        <v>0</v>
      </c>
      <c r="V34" s="36">
        <v>0</v>
      </c>
      <c r="W34">
        <v>0</v>
      </c>
      <c r="X34">
        <v>0</v>
      </c>
      <c r="Y34">
        <v>0</v>
      </c>
      <c r="Z34" s="36">
        <v>0</v>
      </c>
      <c r="AA34">
        <v>0</v>
      </c>
      <c r="AB34">
        <v>0</v>
      </c>
      <c r="AC34">
        <v>0</v>
      </c>
      <c r="AE34" s="3">
        <v>360</v>
      </c>
      <c r="AF34" s="3">
        <v>9</v>
      </c>
      <c r="AG34" s="3">
        <v>3</v>
      </c>
      <c r="AH34">
        <v>102.9</v>
      </c>
      <c r="AI34">
        <v>326.5</v>
      </c>
      <c r="AJ34">
        <v>99.8</v>
      </c>
      <c r="AK34" s="36">
        <v>270</v>
      </c>
      <c r="AL34">
        <v>101.7</v>
      </c>
      <c r="AM34">
        <v>101.3</v>
      </c>
      <c r="AN34">
        <v>0.02</v>
      </c>
      <c r="AO34" s="36">
        <v>359.7</v>
      </c>
      <c r="AP34">
        <v>1.9199999999999998E-2</v>
      </c>
      <c r="AQ34">
        <v>270</v>
      </c>
      <c r="AR34">
        <v>1.9699999999999999E-2</v>
      </c>
      <c r="AT34" s="3">
        <v>360</v>
      </c>
      <c r="AU34" s="3">
        <v>9</v>
      </c>
      <c r="AV34" s="3">
        <v>3</v>
      </c>
      <c r="AW34">
        <v>102.9</v>
      </c>
      <c r="AX34">
        <v>326.5</v>
      </c>
      <c r="AY34">
        <v>99.8</v>
      </c>
      <c r="AZ34" s="36">
        <v>270</v>
      </c>
      <c r="BA34">
        <v>101.7</v>
      </c>
      <c r="BB34">
        <v>101.3</v>
      </c>
      <c r="BC34">
        <v>0.02</v>
      </c>
      <c r="BD34" s="36">
        <v>359.7</v>
      </c>
      <c r="BE34">
        <v>1.9199999999999998E-2</v>
      </c>
      <c r="BF34">
        <v>270</v>
      </c>
      <c r="BG34">
        <v>1.9699999999999999E-2</v>
      </c>
    </row>
    <row r="35" spans="1:59" x14ac:dyDescent="0.25">
      <c r="A35" s="3">
        <v>360</v>
      </c>
      <c r="B35" s="3">
        <v>9</v>
      </c>
      <c r="C35" s="3">
        <v>4</v>
      </c>
      <c r="D35">
        <v>0</v>
      </c>
      <c r="E35">
        <v>0</v>
      </c>
      <c r="F35">
        <v>0</v>
      </c>
      <c r="G35" s="36">
        <v>0</v>
      </c>
      <c r="H35">
        <v>0</v>
      </c>
      <c r="I35">
        <v>0</v>
      </c>
      <c r="J35">
        <v>0</v>
      </c>
      <c r="K35" s="36">
        <v>0</v>
      </c>
      <c r="L35">
        <v>0</v>
      </c>
      <c r="M35">
        <v>0</v>
      </c>
      <c r="N35">
        <v>0</v>
      </c>
      <c r="P35" s="3">
        <v>360</v>
      </c>
      <c r="Q35" s="3">
        <v>9</v>
      </c>
      <c r="R35" s="3">
        <v>4</v>
      </c>
      <c r="S35">
        <v>0</v>
      </c>
      <c r="T35">
        <v>0</v>
      </c>
      <c r="U35">
        <v>0</v>
      </c>
      <c r="V35" s="36">
        <v>0</v>
      </c>
      <c r="W35">
        <v>0</v>
      </c>
      <c r="X35">
        <v>0</v>
      </c>
      <c r="Y35">
        <v>0</v>
      </c>
      <c r="Z35" s="36">
        <v>0</v>
      </c>
      <c r="AA35">
        <v>0</v>
      </c>
      <c r="AB35">
        <v>0</v>
      </c>
      <c r="AC35">
        <v>0</v>
      </c>
      <c r="AE35" s="3">
        <v>360</v>
      </c>
      <c r="AF35" s="3">
        <v>9</v>
      </c>
      <c r="AG35" s="3">
        <v>4</v>
      </c>
      <c r="AH35">
        <v>101.8</v>
      </c>
      <c r="AI35">
        <v>324.5</v>
      </c>
      <c r="AJ35">
        <v>98.8</v>
      </c>
      <c r="AK35" s="36">
        <v>353.3</v>
      </c>
      <c r="AL35">
        <v>100.9</v>
      </c>
      <c r="AM35">
        <v>100.4</v>
      </c>
      <c r="AN35">
        <v>2.01E-2</v>
      </c>
      <c r="AO35" s="36">
        <v>355.3</v>
      </c>
      <c r="AP35">
        <v>1.95E-2</v>
      </c>
      <c r="AQ35">
        <v>270</v>
      </c>
      <c r="AR35">
        <v>1.9800000000000002E-2</v>
      </c>
      <c r="AT35" s="3">
        <v>360</v>
      </c>
      <c r="AU35" s="3">
        <v>9</v>
      </c>
      <c r="AV35" s="3">
        <v>4</v>
      </c>
      <c r="AW35">
        <v>101.8</v>
      </c>
      <c r="AX35">
        <v>324.5</v>
      </c>
      <c r="AY35">
        <v>98.8</v>
      </c>
      <c r="AZ35" s="36">
        <v>353.3</v>
      </c>
      <c r="BA35">
        <v>100.9</v>
      </c>
      <c r="BB35">
        <v>100.4</v>
      </c>
      <c r="BC35">
        <v>2.01E-2</v>
      </c>
      <c r="BD35" s="36">
        <v>355.3</v>
      </c>
      <c r="BE35">
        <v>1.95E-2</v>
      </c>
      <c r="BF35">
        <v>270</v>
      </c>
      <c r="BG35">
        <v>1.9800000000000002E-2</v>
      </c>
    </row>
    <row r="36" spans="1:59" x14ac:dyDescent="0.25">
      <c r="A36" s="3">
        <v>360</v>
      </c>
      <c r="B36" s="3">
        <v>10</v>
      </c>
      <c r="C36" s="3">
        <v>1</v>
      </c>
      <c r="D36">
        <v>0</v>
      </c>
      <c r="E36">
        <v>0</v>
      </c>
      <c r="F36">
        <v>0</v>
      </c>
      <c r="G36" s="36">
        <v>0</v>
      </c>
      <c r="H36">
        <v>0</v>
      </c>
      <c r="I36">
        <v>0</v>
      </c>
      <c r="J36">
        <v>0</v>
      </c>
      <c r="K36" s="36">
        <v>0</v>
      </c>
      <c r="L36">
        <v>0</v>
      </c>
      <c r="M36">
        <v>0</v>
      </c>
      <c r="N36">
        <v>0</v>
      </c>
      <c r="P36" s="3">
        <v>360</v>
      </c>
      <c r="Q36" s="3">
        <v>10</v>
      </c>
      <c r="R36" s="3">
        <v>1</v>
      </c>
      <c r="S36">
        <v>0</v>
      </c>
      <c r="T36">
        <v>0</v>
      </c>
      <c r="U36">
        <v>0</v>
      </c>
      <c r="V36" s="36">
        <v>0</v>
      </c>
      <c r="W36">
        <v>0</v>
      </c>
      <c r="X36">
        <v>0</v>
      </c>
      <c r="Y36">
        <v>0</v>
      </c>
      <c r="Z36" s="36">
        <v>0</v>
      </c>
      <c r="AA36">
        <v>0</v>
      </c>
      <c r="AB36">
        <v>0</v>
      </c>
      <c r="AC36">
        <v>0</v>
      </c>
      <c r="AE36" s="3">
        <v>360</v>
      </c>
      <c r="AF36" s="3">
        <v>10</v>
      </c>
      <c r="AG36" s="3">
        <v>1</v>
      </c>
      <c r="AH36">
        <v>93.9</v>
      </c>
      <c r="AI36">
        <v>355.3</v>
      </c>
      <c r="AJ36">
        <v>92</v>
      </c>
      <c r="AK36" s="36">
        <v>298.89999999999998</v>
      </c>
      <c r="AL36">
        <v>92.6</v>
      </c>
      <c r="AM36">
        <v>92.9</v>
      </c>
      <c r="AN36">
        <v>1.9400000000000001E-2</v>
      </c>
      <c r="AO36" s="36">
        <v>335.3</v>
      </c>
      <c r="AP36">
        <v>1.8800000000000001E-2</v>
      </c>
      <c r="AQ36">
        <v>270</v>
      </c>
      <c r="AR36">
        <v>1.9300000000000001E-2</v>
      </c>
      <c r="AT36" s="3">
        <v>360</v>
      </c>
      <c r="AU36" s="3">
        <v>10</v>
      </c>
      <c r="AV36" s="3">
        <v>1</v>
      </c>
      <c r="AW36">
        <v>93.9</v>
      </c>
      <c r="AX36">
        <v>355.3</v>
      </c>
      <c r="AY36">
        <v>92</v>
      </c>
      <c r="AZ36" s="36">
        <v>298.89999999999998</v>
      </c>
      <c r="BA36">
        <v>92.6</v>
      </c>
      <c r="BB36">
        <v>92.9</v>
      </c>
      <c r="BC36">
        <v>1.9400000000000001E-2</v>
      </c>
      <c r="BD36" s="36">
        <v>335.3</v>
      </c>
      <c r="BE36">
        <v>1.8800000000000001E-2</v>
      </c>
      <c r="BF36">
        <v>270</v>
      </c>
      <c r="BG36">
        <v>1.9300000000000001E-2</v>
      </c>
    </row>
    <row r="37" spans="1:59" x14ac:dyDescent="0.25">
      <c r="A37" s="3">
        <v>360</v>
      </c>
      <c r="B37" s="3">
        <v>10</v>
      </c>
      <c r="C37" s="3">
        <v>2</v>
      </c>
      <c r="D37">
        <v>0</v>
      </c>
      <c r="E37">
        <v>0</v>
      </c>
      <c r="F37">
        <v>0</v>
      </c>
      <c r="G37" s="36">
        <v>0</v>
      </c>
      <c r="H37">
        <v>0</v>
      </c>
      <c r="I37">
        <v>0</v>
      </c>
      <c r="J37">
        <v>0</v>
      </c>
      <c r="K37" s="36">
        <v>0</v>
      </c>
      <c r="L37">
        <v>0</v>
      </c>
      <c r="M37">
        <v>0</v>
      </c>
      <c r="N37">
        <v>0</v>
      </c>
      <c r="P37" s="3">
        <v>360</v>
      </c>
      <c r="Q37" s="3">
        <v>10</v>
      </c>
      <c r="R37" s="3">
        <v>2</v>
      </c>
      <c r="S37">
        <v>0</v>
      </c>
      <c r="T37">
        <v>0</v>
      </c>
      <c r="U37">
        <v>0</v>
      </c>
      <c r="V37" s="36">
        <v>0</v>
      </c>
      <c r="W37">
        <v>0</v>
      </c>
      <c r="X37">
        <v>0</v>
      </c>
      <c r="Y37">
        <v>0</v>
      </c>
      <c r="Z37" s="36">
        <v>0</v>
      </c>
      <c r="AA37">
        <v>0</v>
      </c>
      <c r="AB37">
        <v>0</v>
      </c>
      <c r="AC37">
        <v>0</v>
      </c>
      <c r="AE37" s="3">
        <v>360</v>
      </c>
      <c r="AF37" s="3">
        <v>10</v>
      </c>
      <c r="AG37" s="3">
        <v>2</v>
      </c>
      <c r="AH37">
        <v>96.2</v>
      </c>
      <c r="AI37">
        <v>354.9</v>
      </c>
      <c r="AJ37">
        <v>94.2</v>
      </c>
      <c r="AK37" s="36">
        <v>300.10000000000002</v>
      </c>
      <c r="AL37">
        <v>94.8</v>
      </c>
      <c r="AM37">
        <v>95.1</v>
      </c>
      <c r="AN37">
        <v>1.9300000000000001E-2</v>
      </c>
      <c r="AO37" s="36">
        <v>359.7</v>
      </c>
      <c r="AP37">
        <v>1.8599999999999998E-2</v>
      </c>
      <c r="AQ37">
        <v>270</v>
      </c>
      <c r="AR37">
        <v>1.89E-2</v>
      </c>
      <c r="AT37" s="3">
        <v>360</v>
      </c>
      <c r="AU37" s="3">
        <v>10</v>
      </c>
      <c r="AV37" s="3">
        <v>2</v>
      </c>
      <c r="AW37">
        <v>96.2</v>
      </c>
      <c r="AX37">
        <v>354.9</v>
      </c>
      <c r="AY37">
        <v>94.2</v>
      </c>
      <c r="AZ37" s="36">
        <v>300.10000000000002</v>
      </c>
      <c r="BA37">
        <v>94.8</v>
      </c>
      <c r="BB37">
        <v>95.1</v>
      </c>
      <c r="BC37">
        <v>1.9300000000000001E-2</v>
      </c>
      <c r="BD37" s="36">
        <v>359.7</v>
      </c>
      <c r="BE37">
        <v>1.8599999999999998E-2</v>
      </c>
      <c r="BF37">
        <v>270</v>
      </c>
      <c r="BG37">
        <v>1.89E-2</v>
      </c>
    </row>
    <row r="38" spans="1:59" x14ac:dyDescent="0.25">
      <c r="A38" s="3">
        <v>360</v>
      </c>
      <c r="B38" s="3">
        <v>11</v>
      </c>
      <c r="C38" s="3">
        <v>1</v>
      </c>
      <c r="D38">
        <v>0</v>
      </c>
      <c r="E38">
        <v>0</v>
      </c>
      <c r="F38">
        <v>0</v>
      </c>
      <c r="G38" s="36">
        <v>0</v>
      </c>
      <c r="H38">
        <v>0</v>
      </c>
      <c r="I38">
        <v>0</v>
      </c>
      <c r="J38">
        <v>0</v>
      </c>
      <c r="K38" s="36">
        <v>0</v>
      </c>
      <c r="L38">
        <v>0</v>
      </c>
      <c r="M38">
        <v>0</v>
      </c>
      <c r="N38">
        <v>0</v>
      </c>
      <c r="P38" s="3">
        <v>360</v>
      </c>
      <c r="Q38" s="3">
        <v>11</v>
      </c>
      <c r="R38" s="3">
        <v>1</v>
      </c>
      <c r="S38">
        <v>0</v>
      </c>
      <c r="T38">
        <v>0</v>
      </c>
      <c r="U38">
        <v>0</v>
      </c>
      <c r="V38" s="36">
        <v>0</v>
      </c>
      <c r="W38">
        <v>0</v>
      </c>
      <c r="X38">
        <v>0</v>
      </c>
      <c r="Y38">
        <v>0</v>
      </c>
      <c r="Z38" s="36">
        <v>0</v>
      </c>
      <c r="AA38">
        <v>0</v>
      </c>
      <c r="AB38">
        <v>0</v>
      </c>
      <c r="AC38">
        <v>0</v>
      </c>
      <c r="AE38" s="3">
        <v>360</v>
      </c>
      <c r="AF38" s="3">
        <v>11</v>
      </c>
      <c r="AG38" s="3">
        <v>1</v>
      </c>
      <c r="AH38">
        <v>100.5</v>
      </c>
      <c r="AI38">
        <v>276.5</v>
      </c>
      <c r="AJ38">
        <v>97.4</v>
      </c>
      <c r="AK38" s="36">
        <v>351.7</v>
      </c>
      <c r="AL38">
        <v>99.8</v>
      </c>
      <c r="AM38">
        <v>99.5</v>
      </c>
      <c r="AN38">
        <v>2.0199999999999999E-2</v>
      </c>
      <c r="AO38" s="36">
        <v>359.7</v>
      </c>
      <c r="AP38">
        <v>1.9800000000000002E-2</v>
      </c>
      <c r="AQ38">
        <v>270</v>
      </c>
      <c r="AR38">
        <v>0.02</v>
      </c>
      <c r="AT38" s="3">
        <v>360</v>
      </c>
      <c r="AU38" s="3">
        <v>11</v>
      </c>
      <c r="AV38" s="3">
        <v>1</v>
      </c>
      <c r="AW38">
        <v>100.5</v>
      </c>
      <c r="AX38">
        <v>276.5</v>
      </c>
      <c r="AY38">
        <v>97.4</v>
      </c>
      <c r="AZ38" s="36">
        <v>351.7</v>
      </c>
      <c r="BA38">
        <v>99.8</v>
      </c>
      <c r="BB38">
        <v>99.5</v>
      </c>
      <c r="BC38">
        <v>2.0199999999999999E-2</v>
      </c>
      <c r="BD38" s="36">
        <v>359.7</v>
      </c>
      <c r="BE38">
        <v>1.9800000000000002E-2</v>
      </c>
      <c r="BF38">
        <v>270</v>
      </c>
      <c r="BG38">
        <v>0.02</v>
      </c>
    </row>
    <row r="39" spans="1:59" x14ac:dyDescent="0.25">
      <c r="A39" s="3">
        <v>360</v>
      </c>
      <c r="B39" s="3">
        <v>12</v>
      </c>
      <c r="C39" s="3">
        <v>1</v>
      </c>
      <c r="D39">
        <v>0</v>
      </c>
      <c r="E39">
        <v>0</v>
      </c>
      <c r="F39">
        <v>0</v>
      </c>
      <c r="G39" s="36">
        <v>0</v>
      </c>
      <c r="H39">
        <v>0</v>
      </c>
      <c r="I39">
        <v>0</v>
      </c>
      <c r="J39">
        <v>0</v>
      </c>
      <c r="K39" s="36">
        <v>0</v>
      </c>
      <c r="L39">
        <v>0</v>
      </c>
      <c r="M39">
        <v>0</v>
      </c>
      <c r="N39">
        <v>0</v>
      </c>
      <c r="P39" s="3">
        <v>360</v>
      </c>
      <c r="Q39" s="3">
        <v>12</v>
      </c>
      <c r="R39" s="3">
        <v>1</v>
      </c>
      <c r="S39">
        <v>0</v>
      </c>
      <c r="T39">
        <v>0</v>
      </c>
      <c r="U39">
        <v>0</v>
      </c>
      <c r="V39" s="36">
        <v>0</v>
      </c>
      <c r="W39">
        <v>0</v>
      </c>
      <c r="X39">
        <v>0</v>
      </c>
      <c r="Y39">
        <v>0</v>
      </c>
      <c r="Z39" s="36">
        <v>0</v>
      </c>
      <c r="AA39">
        <v>0</v>
      </c>
      <c r="AB39">
        <v>0</v>
      </c>
      <c r="AC39">
        <v>0</v>
      </c>
      <c r="AE39" s="3">
        <v>360</v>
      </c>
      <c r="AF39" s="3">
        <v>12</v>
      </c>
      <c r="AG39" s="3">
        <v>1</v>
      </c>
      <c r="AH39">
        <v>100.6</v>
      </c>
      <c r="AI39">
        <v>359.7</v>
      </c>
      <c r="AJ39">
        <v>96.4</v>
      </c>
      <c r="AK39" s="36">
        <v>349.3</v>
      </c>
      <c r="AL39">
        <v>99</v>
      </c>
      <c r="AM39">
        <v>98.7</v>
      </c>
      <c r="AN39">
        <v>2.0199999999999999E-2</v>
      </c>
      <c r="AO39" s="36">
        <v>288.10000000000002</v>
      </c>
      <c r="AP39">
        <v>0.02</v>
      </c>
      <c r="AQ39">
        <v>270</v>
      </c>
      <c r="AR39">
        <v>2.01E-2</v>
      </c>
      <c r="AT39" s="3">
        <v>360</v>
      </c>
      <c r="AU39" s="3">
        <v>12</v>
      </c>
      <c r="AV39" s="3">
        <v>1</v>
      </c>
      <c r="AW39">
        <v>100.6</v>
      </c>
      <c r="AX39">
        <v>359.7</v>
      </c>
      <c r="AY39">
        <v>96.4</v>
      </c>
      <c r="AZ39" s="36">
        <v>349.3</v>
      </c>
      <c r="BA39">
        <v>99</v>
      </c>
      <c r="BB39">
        <v>98.7</v>
      </c>
      <c r="BC39">
        <v>2.0199999999999999E-2</v>
      </c>
      <c r="BD39" s="36">
        <v>288.10000000000002</v>
      </c>
      <c r="BE39">
        <v>0.02</v>
      </c>
      <c r="BF39">
        <v>270</v>
      </c>
      <c r="BG39">
        <v>2.01E-2</v>
      </c>
    </row>
    <row r="40" spans="1:59" x14ac:dyDescent="0.25">
      <c r="A40" s="3">
        <v>360</v>
      </c>
      <c r="B40" s="3">
        <v>12</v>
      </c>
      <c r="C40" s="3">
        <v>2</v>
      </c>
      <c r="D40">
        <v>0</v>
      </c>
      <c r="E40">
        <v>0</v>
      </c>
      <c r="F40">
        <v>0</v>
      </c>
      <c r="G40" s="36">
        <v>0</v>
      </c>
      <c r="H40">
        <v>0</v>
      </c>
      <c r="I40">
        <v>0</v>
      </c>
      <c r="J40">
        <v>0</v>
      </c>
      <c r="K40" s="36">
        <v>0</v>
      </c>
      <c r="L40">
        <v>0</v>
      </c>
      <c r="M40">
        <v>0</v>
      </c>
      <c r="N40">
        <v>0</v>
      </c>
      <c r="P40" s="3">
        <v>360</v>
      </c>
      <c r="Q40" s="3">
        <v>12</v>
      </c>
      <c r="R40" s="3">
        <v>2</v>
      </c>
      <c r="S40">
        <v>0</v>
      </c>
      <c r="T40">
        <v>0</v>
      </c>
      <c r="U40">
        <v>0</v>
      </c>
      <c r="V40" s="36">
        <v>0</v>
      </c>
      <c r="W40">
        <v>0</v>
      </c>
      <c r="X40">
        <v>0</v>
      </c>
      <c r="Y40">
        <v>0</v>
      </c>
      <c r="Z40" s="36">
        <v>0</v>
      </c>
      <c r="AA40">
        <v>0</v>
      </c>
      <c r="AB40">
        <v>0</v>
      </c>
      <c r="AC40">
        <v>0</v>
      </c>
      <c r="AE40" s="3">
        <v>360</v>
      </c>
      <c r="AF40" s="3">
        <v>12</v>
      </c>
      <c r="AG40" s="3">
        <v>2</v>
      </c>
      <c r="AH40">
        <v>99.2</v>
      </c>
      <c r="AI40">
        <v>356.1</v>
      </c>
      <c r="AJ40">
        <v>95.2</v>
      </c>
      <c r="AK40" s="36">
        <v>346.9</v>
      </c>
      <c r="AL40">
        <v>97.4</v>
      </c>
      <c r="AM40">
        <v>97.1</v>
      </c>
      <c r="AN40">
        <v>2.0299999999999999E-2</v>
      </c>
      <c r="AO40" s="36">
        <v>289.7</v>
      </c>
      <c r="AP40">
        <v>2.0199999999999999E-2</v>
      </c>
      <c r="AQ40">
        <v>270</v>
      </c>
      <c r="AR40">
        <v>2.0199999999999999E-2</v>
      </c>
      <c r="AT40" s="3">
        <v>360</v>
      </c>
      <c r="AU40" s="3">
        <v>12</v>
      </c>
      <c r="AV40" s="3">
        <v>2</v>
      </c>
      <c r="AW40">
        <v>99.2</v>
      </c>
      <c r="AX40">
        <v>356.1</v>
      </c>
      <c r="AY40">
        <v>95.2</v>
      </c>
      <c r="AZ40" s="36">
        <v>346.9</v>
      </c>
      <c r="BA40">
        <v>97.4</v>
      </c>
      <c r="BB40">
        <v>97.1</v>
      </c>
      <c r="BC40">
        <v>2.0299999999999999E-2</v>
      </c>
      <c r="BD40" s="36">
        <v>289.7</v>
      </c>
      <c r="BE40">
        <v>2.0199999999999999E-2</v>
      </c>
      <c r="BF40">
        <v>270</v>
      </c>
      <c r="BG40">
        <v>2.0199999999999999E-2</v>
      </c>
    </row>
    <row r="41" spans="1:59" x14ac:dyDescent="0.25">
      <c r="A41" s="3">
        <v>360</v>
      </c>
      <c r="B41" s="3">
        <v>12</v>
      </c>
      <c r="C41" s="3">
        <v>3</v>
      </c>
      <c r="D41">
        <v>0</v>
      </c>
      <c r="E41">
        <v>0</v>
      </c>
      <c r="F41">
        <v>0</v>
      </c>
      <c r="G41" s="36">
        <v>0</v>
      </c>
      <c r="H41">
        <v>0</v>
      </c>
      <c r="I41">
        <v>0</v>
      </c>
      <c r="J41">
        <v>0</v>
      </c>
      <c r="K41" s="36">
        <v>0</v>
      </c>
      <c r="L41">
        <v>0</v>
      </c>
      <c r="M41">
        <v>0</v>
      </c>
      <c r="N41">
        <v>0</v>
      </c>
      <c r="P41" s="3">
        <v>360</v>
      </c>
      <c r="Q41" s="3">
        <v>12</v>
      </c>
      <c r="R41" s="3">
        <v>3</v>
      </c>
      <c r="S41">
        <v>0</v>
      </c>
      <c r="T41">
        <v>0</v>
      </c>
      <c r="U41">
        <v>0</v>
      </c>
      <c r="V41" s="36">
        <v>0</v>
      </c>
      <c r="W41">
        <v>0</v>
      </c>
      <c r="X41">
        <v>0</v>
      </c>
      <c r="Y41">
        <v>0</v>
      </c>
      <c r="Z41" s="36">
        <v>0</v>
      </c>
      <c r="AA41">
        <v>0</v>
      </c>
      <c r="AB41">
        <v>0</v>
      </c>
      <c r="AC41">
        <v>0</v>
      </c>
      <c r="AE41" s="3">
        <v>360</v>
      </c>
      <c r="AF41" s="3">
        <v>12</v>
      </c>
      <c r="AG41" s="3">
        <v>3</v>
      </c>
      <c r="AH41">
        <v>97.2</v>
      </c>
      <c r="AI41">
        <v>353.3</v>
      </c>
      <c r="AJ41">
        <v>93.8</v>
      </c>
      <c r="AK41" s="36">
        <v>344.5</v>
      </c>
      <c r="AL41">
        <v>95.5</v>
      </c>
      <c r="AM41">
        <v>95.2</v>
      </c>
      <c r="AN41">
        <v>2.0299999999999999E-2</v>
      </c>
      <c r="AO41" s="36">
        <v>302.10000000000002</v>
      </c>
      <c r="AP41">
        <v>2.0199999999999999E-2</v>
      </c>
      <c r="AQ41">
        <v>270</v>
      </c>
      <c r="AR41">
        <v>2.0299999999999999E-2</v>
      </c>
      <c r="AT41" s="3">
        <v>360</v>
      </c>
      <c r="AU41" s="3">
        <v>12</v>
      </c>
      <c r="AV41" s="3">
        <v>3</v>
      </c>
      <c r="AW41">
        <v>97.2</v>
      </c>
      <c r="AX41">
        <v>353.3</v>
      </c>
      <c r="AY41">
        <v>93.8</v>
      </c>
      <c r="AZ41" s="36">
        <v>344.5</v>
      </c>
      <c r="BA41">
        <v>95.5</v>
      </c>
      <c r="BB41">
        <v>95.2</v>
      </c>
      <c r="BC41">
        <v>2.0299999999999999E-2</v>
      </c>
      <c r="BD41" s="36">
        <v>302.10000000000002</v>
      </c>
      <c r="BE41">
        <v>2.0199999999999999E-2</v>
      </c>
      <c r="BF41">
        <v>270</v>
      </c>
      <c r="BG41">
        <v>2.0299999999999999E-2</v>
      </c>
    </row>
    <row r="42" spans="1:59" x14ac:dyDescent="0.25">
      <c r="A42" s="3">
        <v>360</v>
      </c>
      <c r="B42" s="3">
        <v>13</v>
      </c>
      <c r="C42" s="3">
        <v>1</v>
      </c>
      <c r="D42">
        <v>0</v>
      </c>
      <c r="E42">
        <v>0</v>
      </c>
      <c r="F42">
        <v>0</v>
      </c>
      <c r="G42" s="36">
        <v>0</v>
      </c>
      <c r="I42">
        <v>0</v>
      </c>
      <c r="J42">
        <v>0</v>
      </c>
      <c r="K42" s="36">
        <v>0</v>
      </c>
      <c r="L42">
        <v>0</v>
      </c>
      <c r="M42">
        <v>0</v>
      </c>
      <c r="N42">
        <v>0</v>
      </c>
      <c r="P42" s="3">
        <v>360</v>
      </c>
      <c r="Q42" s="3">
        <v>13</v>
      </c>
      <c r="R42" s="3">
        <v>1</v>
      </c>
      <c r="S42">
        <v>0</v>
      </c>
      <c r="T42">
        <v>0</v>
      </c>
      <c r="U42">
        <v>0</v>
      </c>
      <c r="V42" s="36">
        <v>0</v>
      </c>
      <c r="W42">
        <v>0</v>
      </c>
      <c r="X42">
        <v>0</v>
      </c>
      <c r="Y42">
        <v>0</v>
      </c>
      <c r="Z42" s="36">
        <v>0</v>
      </c>
      <c r="AA42">
        <v>0</v>
      </c>
      <c r="AB42">
        <v>0</v>
      </c>
      <c r="AC42">
        <v>0</v>
      </c>
      <c r="AE42" s="3">
        <v>360</v>
      </c>
      <c r="AF42" s="3">
        <v>13</v>
      </c>
      <c r="AG42" s="3">
        <v>1</v>
      </c>
      <c r="AH42">
        <v>95.1</v>
      </c>
      <c r="AI42">
        <v>350.5</v>
      </c>
      <c r="AJ42">
        <v>92</v>
      </c>
      <c r="AK42" s="36">
        <v>284.5</v>
      </c>
      <c r="AL42">
        <v>0</v>
      </c>
      <c r="AM42">
        <v>93</v>
      </c>
      <c r="AN42">
        <v>2.0199999999999999E-2</v>
      </c>
      <c r="AO42" s="36">
        <v>349.7</v>
      </c>
      <c r="AP42">
        <v>2.0199999999999999E-2</v>
      </c>
      <c r="AQ42">
        <v>284.5</v>
      </c>
      <c r="AR42">
        <v>2.0199999999999999E-2</v>
      </c>
      <c r="AT42" s="3">
        <v>360</v>
      </c>
      <c r="AU42" s="3">
        <v>13</v>
      </c>
      <c r="AV42" s="3">
        <v>1</v>
      </c>
      <c r="AW42">
        <v>95.1</v>
      </c>
      <c r="AX42">
        <v>350.5</v>
      </c>
      <c r="AY42">
        <v>92</v>
      </c>
      <c r="AZ42" s="36">
        <v>284.5</v>
      </c>
      <c r="BA42">
        <v>0</v>
      </c>
      <c r="BB42">
        <v>93</v>
      </c>
      <c r="BC42">
        <v>2.0199999999999999E-2</v>
      </c>
      <c r="BD42" s="36">
        <v>349.7</v>
      </c>
      <c r="BE42">
        <v>2.0199999999999999E-2</v>
      </c>
      <c r="BF42">
        <v>284.5</v>
      </c>
      <c r="BG42">
        <v>2.0199999999999999E-2</v>
      </c>
    </row>
    <row r="43" spans="1:59" x14ac:dyDescent="0.25">
      <c r="A43" s="3">
        <v>360</v>
      </c>
      <c r="B43" s="3">
        <v>13</v>
      </c>
      <c r="C43" s="3">
        <v>2</v>
      </c>
      <c r="D43">
        <v>0</v>
      </c>
      <c r="E43">
        <v>0</v>
      </c>
      <c r="F43">
        <v>0</v>
      </c>
      <c r="G43" s="36">
        <v>0</v>
      </c>
      <c r="I43">
        <v>0</v>
      </c>
      <c r="J43">
        <v>0</v>
      </c>
      <c r="K43" s="36">
        <v>0</v>
      </c>
      <c r="L43">
        <v>0</v>
      </c>
      <c r="M43">
        <v>0</v>
      </c>
      <c r="N43">
        <v>0</v>
      </c>
      <c r="P43" s="3">
        <v>360</v>
      </c>
      <c r="Q43" s="3">
        <v>13</v>
      </c>
      <c r="R43" s="3">
        <v>2</v>
      </c>
      <c r="S43">
        <v>0</v>
      </c>
      <c r="T43">
        <v>0</v>
      </c>
      <c r="U43">
        <v>0</v>
      </c>
      <c r="V43" s="36">
        <v>0</v>
      </c>
      <c r="W43">
        <v>0</v>
      </c>
      <c r="X43">
        <v>0</v>
      </c>
      <c r="Y43">
        <v>0</v>
      </c>
      <c r="Z43" s="36">
        <v>0</v>
      </c>
      <c r="AA43">
        <v>0</v>
      </c>
      <c r="AB43">
        <v>0</v>
      </c>
      <c r="AC43">
        <v>0</v>
      </c>
      <c r="AE43" s="3">
        <v>360</v>
      </c>
      <c r="AF43" s="3">
        <v>13</v>
      </c>
      <c r="AG43" s="3">
        <v>2</v>
      </c>
      <c r="AH43">
        <v>93.9</v>
      </c>
      <c r="AI43">
        <v>347.7</v>
      </c>
      <c r="AJ43">
        <v>91.1</v>
      </c>
      <c r="AK43" s="36">
        <v>287.3</v>
      </c>
      <c r="AL43">
        <v>0</v>
      </c>
      <c r="AM43">
        <v>92.2</v>
      </c>
      <c r="AN43">
        <v>2.0199999999999999E-2</v>
      </c>
      <c r="AO43" s="36">
        <v>346.5</v>
      </c>
      <c r="AP43">
        <v>2.0199999999999999E-2</v>
      </c>
      <c r="AQ43">
        <v>287.3</v>
      </c>
      <c r="AR43">
        <v>2.0199999999999999E-2</v>
      </c>
      <c r="AT43" s="3">
        <v>360</v>
      </c>
      <c r="AU43" s="3">
        <v>13</v>
      </c>
      <c r="AV43" s="3">
        <v>2</v>
      </c>
      <c r="AW43">
        <v>93.9</v>
      </c>
      <c r="AX43">
        <v>347.7</v>
      </c>
      <c r="AY43">
        <v>91.1</v>
      </c>
      <c r="AZ43" s="36">
        <v>287.3</v>
      </c>
      <c r="BA43">
        <v>0</v>
      </c>
      <c r="BB43">
        <v>92.2</v>
      </c>
      <c r="BC43">
        <v>2.0199999999999999E-2</v>
      </c>
      <c r="BD43" s="36">
        <v>346.5</v>
      </c>
      <c r="BE43">
        <v>2.0199999999999999E-2</v>
      </c>
      <c r="BF43">
        <v>287.3</v>
      </c>
      <c r="BG43">
        <v>2.0199999999999999E-2</v>
      </c>
    </row>
    <row r="44" spans="1:59" x14ac:dyDescent="0.25">
      <c r="A44" s="3">
        <v>360</v>
      </c>
      <c r="B44" s="3">
        <v>14</v>
      </c>
      <c r="C44" s="3">
        <v>1</v>
      </c>
      <c r="D44">
        <v>0</v>
      </c>
      <c r="E44">
        <v>0</v>
      </c>
      <c r="F44">
        <v>0</v>
      </c>
      <c r="G44" s="36">
        <v>0</v>
      </c>
      <c r="I44">
        <v>0</v>
      </c>
      <c r="J44">
        <v>0</v>
      </c>
      <c r="K44" s="36">
        <v>0</v>
      </c>
      <c r="L44">
        <v>0</v>
      </c>
      <c r="M44">
        <v>0</v>
      </c>
      <c r="N44">
        <v>0</v>
      </c>
      <c r="P44" s="3">
        <v>360</v>
      </c>
      <c r="Q44" s="3">
        <v>14</v>
      </c>
      <c r="R44" s="3">
        <v>1</v>
      </c>
      <c r="S44">
        <v>0</v>
      </c>
      <c r="T44">
        <v>0</v>
      </c>
      <c r="U44">
        <v>0</v>
      </c>
      <c r="V44" s="36">
        <v>0</v>
      </c>
      <c r="W44">
        <v>0</v>
      </c>
      <c r="X44">
        <v>0</v>
      </c>
      <c r="Y44">
        <v>0</v>
      </c>
      <c r="Z44" s="36">
        <v>0</v>
      </c>
      <c r="AA44">
        <v>0</v>
      </c>
      <c r="AB44">
        <v>0</v>
      </c>
      <c r="AC44">
        <v>0</v>
      </c>
      <c r="AE44" s="3">
        <v>360</v>
      </c>
      <c r="AF44" s="3">
        <v>14</v>
      </c>
      <c r="AG44" s="3">
        <v>1</v>
      </c>
      <c r="AH44">
        <v>92.3</v>
      </c>
      <c r="AI44">
        <v>345.3</v>
      </c>
      <c r="AJ44">
        <v>90.6</v>
      </c>
      <c r="AK44" s="36">
        <v>290.10000000000002</v>
      </c>
      <c r="AL44">
        <v>0</v>
      </c>
      <c r="AM44">
        <v>91.3</v>
      </c>
      <c r="AN44">
        <v>2.0199999999999999E-2</v>
      </c>
      <c r="AO44" s="36">
        <v>344.1</v>
      </c>
      <c r="AP44">
        <v>2.0199999999999999E-2</v>
      </c>
      <c r="AQ44">
        <v>289.3</v>
      </c>
      <c r="AR44">
        <v>2.0199999999999999E-2</v>
      </c>
      <c r="AT44" s="3">
        <v>360</v>
      </c>
      <c r="AU44" s="3">
        <v>14</v>
      </c>
      <c r="AV44" s="3">
        <v>1</v>
      </c>
      <c r="AW44">
        <v>92.3</v>
      </c>
      <c r="AX44">
        <v>345.3</v>
      </c>
      <c r="AY44">
        <v>90.6</v>
      </c>
      <c r="AZ44" s="36">
        <v>290.10000000000002</v>
      </c>
      <c r="BA44">
        <v>0</v>
      </c>
      <c r="BB44">
        <v>91.3</v>
      </c>
      <c r="BC44">
        <v>2.0199999999999999E-2</v>
      </c>
      <c r="BD44" s="36">
        <v>344.1</v>
      </c>
      <c r="BE44">
        <v>2.0199999999999999E-2</v>
      </c>
      <c r="BF44">
        <v>289.3</v>
      </c>
      <c r="BG44">
        <v>2.0199999999999999E-2</v>
      </c>
    </row>
    <row r="45" spans="1:59" x14ac:dyDescent="0.25">
      <c r="A45" s="3">
        <v>360</v>
      </c>
      <c r="B45" s="3">
        <v>14</v>
      </c>
      <c r="C45" s="3">
        <v>2</v>
      </c>
      <c r="D45">
        <v>0</v>
      </c>
      <c r="E45">
        <v>0</v>
      </c>
      <c r="F45">
        <v>0</v>
      </c>
      <c r="G45" s="36">
        <v>0</v>
      </c>
      <c r="I45">
        <v>0</v>
      </c>
      <c r="J45">
        <v>0</v>
      </c>
      <c r="K45" s="36">
        <v>0</v>
      </c>
      <c r="L45">
        <v>0</v>
      </c>
      <c r="M45">
        <v>0</v>
      </c>
      <c r="N45">
        <v>0</v>
      </c>
      <c r="P45" s="3">
        <v>360</v>
      </c>
      <c r="Q45" s="3">
        <v>14</v>
      </c>
      <c r="R45" s="3">
        <v>2</v>
      </c>
      <c r="S45">
        <v>0</v>
      </c>
      <c r="T45">
        <v>0</v>
      </c>
      <c r="U45">
        <v>0</v>
      </c>
      <c r="V45" s="36">
        <v>0</v>
      </c>
      <c r="W45">
        <v>0</v>
      </c>
      <c r="X45">
        <v>0</v>
      </c>
      <c r="Y45">
        <v>0</v>
      </c>
      <c r="Z45" s="36">
        <v>0</v>
      </c>
      <c r="AA45">
        <v>0</v>
      </c>
      <c r="AB45">
        <v>0</v>
      </c>
      <c r="AC45">
        <v>0</v>
      </c>
      <c r="AE45" s="3">
        <v>360</v>
      </c>
      <c r="AF45" s="3">
        <v>14</v>
      </c>
      <c r="AG45" s="3">
        <v>2</v>
      </c>
      <c r="AH45">
        <v>91.8</v>
      </c>
      <c r="AI45">
        <v>342.1</v>
      </c>
      <c r="AJ45">
        <v>90.2</v>
      </c>
      <c r="AK45" s="36">
        <v>289.3</v>
      </c>
      <c r="AL45">
        <v>0</v>
      </c>
      <c r="AM45">
        <v>90.7</v>
      </c>
      <c r="AN45">
        <v>2.0199999999999999E-2</v>
      </c>
      <c r="AO45" s="36">
        <v>341.7</v>
      </c>
      <c r="AP45">
        <v>2.0199999999999999E-2</v>
      </c>
      <c r="AQ45">
        <v>287.3</v>
      </c>
      <c r="AR45">
        <v>2.0199999999999999E-2</v>
      </c>
      <c r="AT45" s="3">
        <v>360</v>
      </c>
      <c r="AU45" s="3">
        <v>14</v>
      </c>
      <c r="AV45" s="3">
        <v>2</v>
      </c>
      <c r="AW45">
        <v>91.8</v>
      </c>
      <c r="AX45">
        <v>342.1</v>
      </c>
      <c r="AY45">
        <v>90.2</v>
      </c>
      <c r="AZ45" s="36">
        <v>289.3</v>
      </c>
      <c r="BA45">
        <v>0</v>
      </c>
      <c r="BB45">
        <v>90.7</v>
      </c>
      <c r="BC45">
        <v>2.0199999999999999E-2</v>
      </c>
      <c r="BD45" s="36">
        <v>341.7</v>
      </c>
      <c r="BE45">
        <v>2.0199999999999999E-2</v>
      </c>
      <c r="BF45">
        <v>287.3</v>
      </c>
      <c r="BG45">
        <v>2.0199999999999999E-2</v>
      </c>
    </row>
    <row r="46" spans="1:59" x14ac:dyDescent="0.25">
      <c r="A46" s="3">
        <v>360</v>
      </c>
      <c r="B46" s="3">
        <v>103</v>
      </c>
      <c r="C46" s="3">
        <v>1</v>
      </c>
      <c r="D46">
        <v>0</v>
      </c>
      <c r="E46">
        <v>0</v>
      </c>
      <c r="F46">
        <v>0</v>
      </c>
      <c r="G46" s="36">
        <v>0</v>
      </c>
      <c r="H46">
        <v>0</v>
      </c>
      <c r="I46">
        <v>0</v>
      </c>
      <c r="J46">
        <v>0</v>
      </c>
      <c r="K46" s="36">
        <v>0</v>
      </c>
      <c r="L46">
        <v>0</v>
      </c>
      <c r="M46">
        <v>0</v>
      </c>
      <c r="N46">
        <v>0</v>
      </c>
      <c r="P46" s="3">
        <v>360</v>
      </c>
      <c r="Q46" s="3">
        <v>103</v>
      </c>
      <c r="R46" s="3">
        <v>1</v>
      </c>
      <c r="S46">
        <v>0</v>
      </c>
      <c r="T46">
        <v>0</v>
      </c>
      <c r="U46">
        <v>0</v>
      </c>
      <c r="V46" s="36">
        <v>0</v>
      </c>
      <c r="W46">
        <v>0</v>
      </c>
      <c r="X46">
        <v>0</v>
      </c>
      <c r="Y46">
        <v>0</v>
      </c>
      <c r="Z46" s="36">
        <v>0</v>
      </c>
      <c r="AA46">
        <v>0</v>
      </c>
      <c r="AB46">
        <v>0</v>
      </c>
      <c r="AC46">
        <v>0</v>
      </c>
      <c r="AE46" s="3">
        <v>360</v>
      </c>
      <c r="AF46" s="3">
        <v>103</v>
      </c>
      <c r="AG46" s="3">
        <v>1</v>
      </c>
      <c r="AH46">
        <v>91.2</v>
      </c>
      <c r="AI46">
        <v>308.89999999999998</v>
      </c>
      <c r="AJ46">
        <v>90.4</v>
      </c>
      <c r="AK46" s="36">
        <v>340.1</v>
      </c>
      <c r="AL46">
        <v>90.7</v>
      </c>
      <c r="AM46">
        <v>90.7</v>
      </c>
      <c r="AN46">
        <v>2.0199999999999999E-2</v>
      </c>
      <c r="AO46" s="36">
        <v>308.89999999999998</v>
      </c>
      <c r="AP46">
        <v>2.0199999999999999E-2</v>
      </c>
      <c r="AQ46">
        <v>340.1</v>
      </c>
      <c r="AR46">
        <v>2.0199999999999999E-2</v>
      </c>
      <c r="AT46" s="3">
        <v>360</v>
      </c>
      <c r="AU46" s="3">
        <v>103</v>
      </c>
      <c r="AV46" s="3">
        <v>1</v>
      </c>
      <c r="AW46">
        <v>91.2</v>
      </c>
      <c r="AX46">
        <v>308.89999999999998</v>
      </c>
      <c r="AY46">
        <v>90.4</v>
      </c>
      <c r="AZ46" s="36">
        <v>340.1</v>
      </c>
      <c r="BA46">
        <v>90.7</v>
      </c>
      <c r="BB46">
        <v>90.7</v>
      </c>
      <c r="BC46">
        <v>2.0199999999999999E-2</v>
      </c>
      <c r="BD46" s="36">
        <v>308.89999999999998</v>
      </c>
      <c r="BE46">
        <v>2.0199999999999999E-2</v>
      </c>
      <c r="BF46">
        <v>340.1</v>
      </c>
      <c r="BG46">
        <v>2.0199999999999999E-2</v>
      </c>
    </row>
    <row r="47" spans="1:59" x14ac:dyDescent="0.25">
      <c r="A47" s="3">
        <v>360</v>
      </c>
      <c r="B47" s="3">
        <v>104</v>
      </c>
      <c r="C47" s="3">
        <v>1</v>
      </c>
      <c r="D47">
        <v>0</v>
      </c>
      <c r="E47">
        <v>0</v>
      </c>
      <c r="F47">
        <v>0</v>
      </c>
      <c r="G47" s="36">
        <v>0</v>
      </c>
      <c r="H47">
        <v>0</v>
      </c>
      <c r="I47">
        <v>0</v>
      </c>
      <c r="J47">
        <v>0</v>
      </c>
      <c r="K47" s="36">
        <v>0</v>
      </c>
      <c r="L47">
        <v>0</v>
      </c>
      <c r="M47">
        <v>0</v>
      </c>
      <c r="N47">
        <v>0</v>
      </c>
      <c r="P47" s="3">
        <v>360</v>
      </c>
      <c r="Q47" s="3">
        <v>104</v>
      </c>
      <c r="R47" s="3">
        <v>1</v>
      </c>
      <c r="S47">
        <v>0</v>
      </c>
      <c r="T47">
        <v>0</v>
      </c>
      <c r="U47">
        <v>0</v>
      </c>
      <c r="V47" s="36">
        <v>0</v>
      </c>
      <c r="W47">
        <v>0</v>
      </c>
      <c r="X47">
        <v>0</v>
      </c>
      <c r="Y47">
        <v>0</v>
      </c>
      <c r="Z47" s="36">
        <v>0</v>
      </c>
      <c r="AA47">
        <v>0</v>
      </c>
      <c r="AB47">
        <v>0</v>
      </c>
      <c r="AC47">
        <v>0</v>
      </c>
      <c r="AE47" s="3">
        <v>360</v>
      </c>
      <c r="AF47" s="3">
        <v>104</v>
      </c>
      <c r="AG47" s="3">
        <v>1</v>
      </c>
      <c r="AH47">
        <v>94.8</v>
      </c>
      <c r="AI47">
        <v>329.7</v>
      </c>
      <c r="AJ47">
        <v>90</v>
      </c>
      <c r="AK47" s="36">
        <v>303.7</v>
      </c>
      <c r="AL47">
        <v>92.5</v>
      </c>
      <c r="AM47">
        <v>90.6</v>
      </c>
      <c r="AN47">
        <v>2.0199999999999999E-2</v>
      </c>
      <c r="AO47" s="36">
        <v>303.7</v>
      </c>
      <c r="AP47">
        <v>1.9199999999999998E-2</v>
      </c>
      <c r="AQ47">
        <v>329.7</v>
      </c>
      <c r="AR47">
        <v>1.9900000000000001E-2</v>
      </c>
      <c r="AT47" s="3">
        <v>360</v>
      </c>
      <c r="AU47" s="3">
        <v>104</v>
      </c>
      <c r="AV47" s="3">
        <v>1</v>
      </c>
      <c r="AW47">
        <v>94.8</v>
      </c>
      <c r="AX47">
        <v>329.7</v>
      </c>
      <c r="AY47">
        <v>90</v>
      </c>
      <c r="AZ47" s="36">
        <v>303.7</v>
      </c>
      <c r="BA47">
        <v>92.5</v>
      </c>
      <c r="BB47">
        <v>90.6</v>
      </c>
      <c r="BC47">
        <v>2.0199999999999999E-2</v>
      </c>
      <c r="BD47" s="36">
        <v>303.7</v>
      </c>
      <c r="BE47">
        <v>1.9199999999999998E-2</v>
      </c>
      <c r="BF47">
        <v>329.7</v>
      </c>
      <c r="BG47">
        <v>1.9900000000000001E-2</v>
      </c>
    </row>
    <row r="48" spans="1:59" s="36" customFormat="1" x14ac:dyDescent="0.25">
      <c r="A48" s="37">
        <v>360</v>
      </c>
      <c r="B48" s="37">
        <v>110</v>
      </c>
      <c r="C48" s="37">
        <v>1</v>
      </c>
      <c r="D48" s="36">
        <v>0</v>
      </c>
      <c r="E48" s="36">
        <v>0</v>
      </c>
      <c r="F48" s="36">
        <v>0</v>
      </c>
      <c r="G48" s="38">
        <v>0.55924501922403558</v>
      </c>
      <c r="H48" s="36">
        <v>0</v>
      </c>
      <c r="I48" s="36">
        <v>0</v>
      </c>
      <c r="J48" s="36">
        <v>0</v>
      </c>
      <c r="K48" s="38">
        <v>0.55613486270421364</v>
      </c>
      <c r="L48" s="36">
        <v>0</v>
      </c>
      <c r="M48" s="36">
        <v>0</v>
      </c>
      <c r="N48" s="36">
        <v>0</v>
      </c>
      <c r="P48" s="37">
        <v>360</v>
      </c>
      <c r="Q48" s="37">
        <v>110</v>
      </c>
      <c r="R48" s="37">
        <v>1</v>
      </c>
      <c r="S48" s="36">
        <v>0</v>
      </c>
      <c r="T48" s="36">
        <v>0</v>
      </c>
      <c r="U48" s="36">
        <v>0</v>
      </c>
      <c r="V48" s="38">
        <v>1.5999999999999659</v>
      </c>
      <c r="W48" s="36">
        <v>0</v>
      </c>
      <c r="X48" s="36">
        <v>0</v>
      </c>
      <c r="Y48" s="36">
        <v>0</v>
      </c>
      <c r="Z48" s="38">
        <v>1.600000000000023</v>
      </c>
      <c r="AA48" s="36">
        <v>0</v>
      </c>
      <c r="AB48" s="36">
        <v>0</v>
      </c>
      <c r="AC48" s="36">
        <v>0</v>
      </c>
      <c r="AE48" s="37">
        <v>360</v>
      </c>
      <c r="AF48" s="37">
        <v>110</v>
      </c>
      <c r="AG48" s="37">
        <v>1</v>
      </c>
      <c r="AH48" s="36">
        <v>93.6</v>
      </c>
      <c r="AI48" s="36">
        <v>353.3</v>
      </c>
      <c r="AJ48" s="36">
        <v>90</v>
      </c>
      <c r="AK48" s="38">
        <v>287.7</v>
      </c>
      <c r="AL48" s="36">
        <v>92.3</v>
      </c>
      <c r="AM48" s="36">
        <v>90.3</v>
      </c>
      <c r="AN48" s="36">
        <v>2.0199999999999999E-2</v>
      </c>
      <c r="AO48" s="38">
        <v>289.3</v>
      </c>
      <c r="AP48" s="36">
        <v>1.9300000000000001E-2</v>
      </c>
      <c r="AQ48" s="36">
        <v>352.9</v>
      </c>
      <c r="AR48" s="36">
        <v>1.9900000000000001E-2</v>
      </c>
      <c r="AT48" s="37">
        <v>360</v>
      </c>
      <c r="AU48" s="37">
        <v>110</v>
      </c>
      <c r="AV48" s="37">
        <v>1</v>
      </c>
      <c r="AW48" s="36">
        <v>93.6</v>
      </c>
      <c r="AX48" s="36">
        <v>353.3</v>
      </c>
      <c r="AY48" s="36">
        <v>90</v>
      </c>
      <c r="AZ48" s="38">
        <v>286.10000000000002</v>
      </c>
      <c r="BA48" s="36">
        <v>92.3</v>
      </c>
      <c r="BB48" s="36">
        <v>90.3</v>
      </c>
      <c r="BC48" s="36">
        <v>2.0199999999999999E-2</v>
      </c>
      <c r="BD48" s="38">
        <v>287.7</v>
      </c>
      <c r="BE48" s="36">
        <v>1.9300000000000001E-2</v>
      </c>
      <c r="BF48" s="36">
        <v>352.9</v>
      </c>
      <c r="BG48" s="36">
        <v>1.9900000000000001E-2</v>
      </c>
    </row>
    <row r="49" spans="1:59" x14ac:dyDescent="0.25">
      <c r="A49" s="3">
        <v>360</v>
      </c>
      <c r="B49" s="3">
        <v>114</v>
      </c>
      <c r="C49" s="3">
        <v>1</v>
      </c>
      <c r="D49">
        <v>0</v>
      </c>
      <c r="E49">
        <v>0</v>
      </c>
      <c r="F49">
        <v>0</v>
      </c>
      <c r="G49" s="36">
        <v>0</v>
      </c>
      <c r="H49">
        <v>0</v>
      </c>
      <c r="J49">
        <v>0</v>
      </c>
      <c r="K49" s="36">
        <v>0</v>
      </c>
      <c r="L49">
        <v>0</v>
      </c>
      <c r="M49">
        <v>0</v>
      </c>
      <c r="N49">
        <v>0</v>
      </c>
      <c r="P49" s="3">
        <v>360</v>
      </c>
      <c r="Q49" s="3">
        <v>114</v>
      </c>
      <c r="R49" s="3">
        <v>1</v>
      </c>
      <c r="S49">
        <v>0</v>
      </c>
      <c r="T49">
        <v>0</v>
      </c>
      <c r="U49">
        <v>0</v>
      </c>
      <c r="V49" s="36">
        <v>0</v>
      </c>
      <c r="W49">
        <v>0</v>
      </c>
      <c r="X49">
        <v>0</v>
      </c>
      <c r="Y49">
        <v>0</v>
      </c>
      <c r="Z49" s="36">
        <v>0</v>
      </c>
      <c r="AA49">
        <v>0</v>
      </c>
      <c r="AB49">
        <v>0</v>
      </c>
      <c r="AC49">
        <v>0</v>
      </c>
      <c r="AE49" s="3">
        <v>360</v>
      </c>
      <c r="AF49" s="3">
        <v>114</v>
      </c>
      <c r="AG49" s="3">
        <v>1</v>
      </c>
      <c r="AH49">
        <v>95.1</v>
      </c>
      <c r="AI49">
        <v>318.10000000000002</v>
      </c>
      <c r="AJ49">
        <v>92.1</v>
      </c>
      <c r="AK49" s="36">
        <v>286.5</v>
      </c>
      <c r="AL49">
        <v>93.4</v>
      </c>
      <c r="AM49">
        <v>0</v>
      </c>
      <c r="AN49">
        <v>2.0299999999999999E-2</v>
      </c>
      <c r="AO49" s="36">
        <v>315.3</v>
      </c>
      <c r="AP49">
        <v>2.0199999999999999E-2</v>
      </c>
      <c r="AQ49">
        <v>286.10000000000002</v>
      </c>
      <c r="AR49">
        <v>2.0199999999999999E-2</v>
      </c>
      <c r="AT49" s="3">
        <v>360</v>
      </c>
      <c r="AU49" s="3">
        <v>114</v>
      </c>
      <c r="AV49" s="3">
        <v>1</v>
      </c>
      <c r="AW49">
        <v>95.1</v>
      </c>
      <c r="AX49">
        <v>318.10000000000002</v>
      </c>
      <c r="AY49">
        <v>92.1</v>
      </c>
      <c r="AZ49" s="36">
        <v>286.5</v>
      </c>
      <c r="BA49">
        <v>93.4</v>
      </c>
      <c r="BB49">
        <v>0</v>
      </c>
      <c r="BC49">
        <v>2.0299999999999999E-2</v>
      </c>
      <c r="BD49" s="36">
        <v>315.3</v>
      </c>
      <c r="BE49">
        <v>2.0199999999999999E-2</v>
      </c>
      <c r="BF49">
        <v>286.10000000000002</v>
      </c>
      <c r="BG49">
        <v>2.0199999999999999E-2</v>
      </c>
    </row>
    <row r="50" spans="1:59" x14ac:dyDescent="0.25">
      <c r="A50" s="3">
        <v>450</v>
      </c>
      <c r="B50" s="3">
        <v>1</v>
      </c>
      <c r="C50" s="3">
        <v>1</v>
      </c>
      <c r="D50">
        <v>0</v>
      </c>
      <c r="E50">
        <v>0</v>
      </c>
      <c r="F50">
        <v>0</v>
      </c>
      <c r="G50" s="36">
        <v>8.9665994171718028E-2</v>
      </c>
      <c r="H50">
        <v>0</v>
      </c>
      <c r="J50">
        <v>0</v>
      </c>
      <c r="K50" s="36">
        <v>0</v>
      </c>
      <c r="L50">
        <v>0</v>
      </c>
      <c r="M50">
        <v>0</v>
      </c>
      <c r="N50">
        <v>0</v>
      </c>
      <c r="P50" s="3">
        <v>450</v>
      </c>
      <c r="Q50" s="3">
        <v>1</v>
      </c>
      <c r="R50" s="3">
        <v>1</v>
      </c>
      <c r="S50">
        <v>0</v>
      </c>
      <c r="T50">
        <v>0</v>
      </c>
      <c r="U50">
        <v>0</v>
      </c>
      <c r="V50" s="36">
        <v>-0.40000000000003411</v>
      </c>
      <c r="W50">
        <v>0</v>
      </c>
      <c r="X50">
        <v>0</v>
      </c>
      <c r="Y50">
        <v>0</v>
      </c>
      <c r="Z50" s="36">
        <v>0</v>
      </c>
      <c r="AA50">
        <v>0</v>
      </c>
      <c r="AB50">
        <v>0</v>
      </c>
      <c r="AC50">
        <v>0</v>
      </c>
      <c r="AE50" s="3">
        <v>450</v>
      </c>
      <c r="AF50" s="3">
        <v>1</v>
      </c>
      <c r="AG50" s="3">
        <v>1</v>
      </c>
      <c r="AH50">
        <v>93.2</v>
      </c>
      <c r="AI50">
        <v>391.3</v>
      </c>
      <c r="AJ50">
        <v>90</v>
      </c>
      <c r="AK50" s="36">
        <v>445.7</v>
      </c>
      <c r="AL50">
        <v>90.3</v>
      </c>
      <c r="AM50">
        <v>0</v>
      </c>
      <c r="AN50">
        <v>2.0199999999999999E-2</v>
      </c>
      <c r="AO50" s="36">
        <v>391.3</v>
      </c>
      <c r="AP50">
        <v>2.0199999999999999E-2</v>
      </c>
      <c r="AQ50">
        <v>426.1</v>
      </c>
      <c r="AR50">
        <v>2.0199999999999999E-2</v>
      </c>
      <c r="AT50" s="3">
        <v>450</v>
      </c>
      <c r="AU50" s="3">
        <v>1</v>
      </c>
      <c r="AV50" s="3">
        <v>1</v>
      </c>
      <c r="AW50">
        <v>93.2</v>
      </c>
      <c r="AX50">
        <v>391.3</v>
      </c>
      <c r="AY50">
        <v>90</v>
      </c>
      <c r="AZ50" s="36">
        <v>446.1</v>
      </c>
      <c r="BA50">
        <v>90.3</v>
      </c>
      <c r="BB50">
        <v>0</v>
      </c>
      <c r="BC50">
        <v>2.0199999999999999E-2</v>
      </c>
      <c r="BD50" s="36">
        <v>391.3</v>
      </c>
      <c r="BE50">
        <v>2.0199999999999999E-2</v>
      </c>
      <c r="BF50">
        <v>426.1</v>
      </c>
      <c r="BG50">
        <v>2.0199999999999999E-2</v>
      </c>
    </row>
    <row r="51" spans="1:59" x14ac:dyDescent="0.25">
      <c r="A51" s="3">
        <v>450</v>
      </c>
      <c r="B51" s="3">
        <v>2</v>
      </c>
      <c r="C51" s="3">
        <v>1</v>
      </c>
      <c r="D51">
        <v>0</v>
      </c>
      <c r="E51">
        <v>0</v>
      </c>
      <c r="F51">
        <v>0</v>
      </c>
      <c r="G51" s="36">
        <v>0</v>
      </c>
      <c r="H51">
        <v>0</v>
      </c>
      <c r="J51">
        <v>0</v>
      </c>
      <c r="K51" s="36">
        <v>0</v>
      </c>
      <c r="L51">
        <v>0</v>
      </c>
      <c r="M51">
        <v>9.2314793445644416E-2</v>
      </c>
      <c r="N51">
        <v>0</v>
      </c>
      <c r="P51" s="3">
        <v>450</v>
      </c>
      <c r="Q51" s="3">
        <v>2</v>
      </c>
      <c r="R51" s="3">
        <v>1</v>
      </c>
      <c r="S51">
        <v>0</v>
      </c>
      <c r="T51">
        <v>0</v>
      </c>
      <c r="U51">
        <v>0</v>
      </c>
      <c r="V51" s="36">
        <v>0</v>
      </c>
      <c r="W51">
        <v>0</v>
      </c>
      <c r="X51">
        <v>0</v>
      </c>
      <c r="Y51">
        <v>0</v>
      </c>
      <c r="Z51" s="36">
        <v>0</v>
      </c>
      <c r="AA51">
        <v>0</v>
      </c>
      <c r="AB51">
        <v>0.39999999999997732</v>
      </c>
      <c r="AC51">
        <v>0</v>
      </c>
      <c r="AE51" s="3">
        <v>450</v>
      </c>
      <c r="AF51" s="3">
        <v>2</v>
      </c>
      <c r="AG51" s="3">
        <v>1</v>
      </c>
      <c r="AH51">
        <v>94.3</v>
      </c>
      <c r="AI51">
        <v>392.9</v>
      </c>
      <c r="AJ51">
        <v>90</v>
      </c>
      <c r="AK51" s="36">
        <v>383.7</v>
      </c>
      <c r="AL51">
        <v>90.4</v>
      </c>
      <c r="AM51">
        <v>0</v>
      </c>
      <c r="AN51">
        <v>2.0199999999999999E-2</v>
      </c>
      <c r="AO51" s="36">
        <v>392.9</v>
      </c>
      <c r="AP51">
        <v>2.0199999999999999E-2</v>
      </c>
      <c r="AQ51">
        <v>433.7</v>
      </c>
      <c r="AR51">
        <v>2.0199999999999999E-2</v>
      </c>
      <c r="AT51" s="3">
        <v>450</v>
      </c>
      <c r="AU51" s="3">
        <v>2</v>
      </c>
      <c r="AV51" s="3">
        <v>1</v>
      </c>
      <c r="AW51">
        <v>94.3</v>
      </c>
      <c r="AX51">
        <v>392.9</v>
      </c>
      <c r="AY51">
        <v>90</v>
      </c>
      <c r="AZ51" s="36">
        <v>383.7</v>
      </c>
      <c r="BA51">
        <v>90.4</v>
      </c>
      <c r="BB51">
        <v>0</v>
      </c>
      <c r="BC51">
        <v>2.0199999999999999E-2</v>
      </c>
      <c r="BD51" s="36">
        <v>392.9</v>
      </c>
      <c r="BE51">
        <v>2.0199999999999999E-2</v>
      </c>
      <c r="BF51">
        <v>433.3</v>
      </c>
      <c r="BG51">
        <v>2.0199999999999999E-2</v>
      </c>
    </row>
    <row r="52" spans="1:59" x14ac:dyDescent="0.25">
      <c r="A52" s="3">
        <v>450</v>
      </c>
      <c r="B52" s="3">
        <v>3</v>
      </c>
      <c r="C52" s="3">
        <v>1</v>
      </c>
      <c r="D52">
        <v>0</v>
      </c>
      <c r="E52">
        <v>0</v>
      </c>
      <c r="F52">
        <v>0</v>
      </c>
      <c r="G52" s="36">
        <v>0</v>
      </c>
      <c r="H52">
        <v>0</v>
      </c>
      <c r="J52">
        <v>0</v>
      </c>
      <c r="K52" s="36">
        <v>0</v>
      </c>
      <c r="L52">
        <v>0</v>
      </c>
      <c r="M52">
        <v>0</v>
      </c>
      <c r="N52">
        <v>0</v>
      </c>
      <c r="P52" s="3">
        <v>450</v>
      </c>
      <c r="Q52" s="3">
        <v>3</v>
      </c>
      <c r="R52" s="3">
        <v>1</v>
      </c>
      <c r="S52">
        <v>0</v>
      </c>
      <c r="T52">
        <v>0</v>
      </c>
      <c r="U52">
        <v>0</v>
      </c>
      <c r="V52" s="36">
        <v>0</v>
      </c>
      <c r="W52">
        <v>0</v>
      </c>
      <c r="X52">
        <v>0</v>
      </c>
      <c r="Y52">
        <v>0</v>
      </c>
      <c r="Z52" s="36">
        <v>0</v>
      </c>
      <c r="AA52">
        <v>0</v>
      </c>
      <c r="AB52">
        <v>0</v>
      </c>
      <c r="AC52">
        <v>0</v>
      </c>
      <c r="AE52" s="3">
        <v>450</v>
      </c>
      <c r="AF52" s="3">
        <v>3</v>
      </c>
      <c r="AG52" s="3">
        <v>1</v>
      </c>
      <c r="AH52">
        <v>95.1</v>
      </c>
      <c r="AI52">
        <v>394.9</v>
      </c>
      <c r="AJ52">
        <v>90</v>
      </c>
      <c r="AK52" s="36">
        <v>385.7</v>
      </c>
      <c r="AL52">
        <v>90.9</v>
      </c>
      <c r="AM52">
        <v>0</v>
      </c>
      <c r="AN52">
        <v>2.0199999999999999E-2</v>
      </c>
      <c r="AO52" s="36">
        <v>394.9</v>
      </c>
      <c r="AP52">
        <v>2.0199999999999999E-2</v>
      </c>
      <c r="AQ52">
        <v>385.7</v>
      </c>
      <c r="AR52">
        <v>2.0199999999999999E-2</v>
      </c>
      <c r="AT52" s="3">
        <v>450</v>
      </c>
      <c r="AU52" s="3">
        <v>3</v>
      </c>
      <c r="AV52" s="3">
        <v>1</v>
      </c>
      <c r="AW52">
        <v>95.1</v>
      </c>
      <c r="AX52">
        <v>394.9</v>
      </c>
      <c r="AY52">
        <v>90</v>
      </c>
      <c r="AZ52" s="36">
        <v>385.7</v>
      </c>
      <c r="BA52">
        <v>90.9</v>
      </c>
      <c r="BB52">
        <v>0</v>
      </c>
      <c r="BC52">
        <v>2.0199999999999999E-2</v>
      </c>
      <c r="BD52" s="36">
        <v>394.9</v>
      </c>
      <c r="BE52">
        <v>2.0199999999999999E-2</v>
      </c>
      <c r="BF52">
        <v>385.7</v>
      </c>
      <c r="BG52">
        <v>2.0199999999999999E-2</v>
      </c>
    </row>
    <row r="53" spans="1:59" x14ac:dyDescent="0.25">
      <c r="A53" s="3">
        <v>450</v>
      </c>
      <c r="B53" s="3">
        <v>3</v>
      </c>
      <c r="C53" s="3">
        <v>2</v>
      </c>
      <c r="D53">
        <v>0</v>
      </c>
      <c r="E53">
        <v>0</v>
      </c>
      <c r="F53">
        <v>0</v>
      </c>
      <c r="G53" s="36">
        <v>0</v>
      </c>
      <c r="H53">
        <v>0</v>
      </c>
      <c r="J53">
        <v>0</v>
      </c>
      <c r="K53" s="36">
        <v>0</v>
      </c>
      <c r="L53">
        <v>0</v>
      </c>
      <c r="M53">
        <v>0</v>
      </c>
      <c r="N53">
        <v>0</v>
      </c>
      <c r="P53" s="3">
        <v>450</v>
      </c>
      <c r="Q53" s="3">
        <v>3</v>
      </c>
      <c r="R53" s="3">
        <v>2</v>
      </c>
      <c r="S53">
        <v>0</v>
      </c>
      <c r="T53">
        <v>0</v>
      </c>
      <c r="U53">
        <v>0</v>
      </c>
      <c r="V53" s="36">
        <v>0</v>
      </c>
      <c r="W53">
        <v>0</v>
      </c>
      <c r="X53">
        <v>0</v>
      </c>
      <c r="Y53">
        <v>0</v>
      </c>
      <c r="Z53" s="36">
        <v>0</v>
      </c>
      <c r="AA53">
        <v>0</v>
      </c>
      <c r="AB53">
        <v>0</v>
      </c>
      <c r="AC53">
        <v>0</v>
      </c>
      <c r="AE53" s="3">
        <v>450</v>
      </c>
      <c r="AF53" s="3">
        <v>3</v>
      </c>
      <c r="AG53" s="3">
        <v>2</v>
      </c>
      <c r="AH53">
        <v>95.7</v>
      </c>
      <c r="AI53">
        <v>398.5</v>
      </c>
      <c r="AJ53">
        <v>90.3</v>
      </c>
      <c r="AK53" s="36">
        <v>388.1</v>
      </c>
      <c r="AL53">
        <v>91.5</v>
      </c>
      <c r="AM53">
        <v>0</v>
      </c>
      <c r="AN53">
        <v>2.0299999999999999E-2</v>
      </c>
      <c r="AO53" s="36">
        <v>397.7</v>
      </c>
      <c r="AP53">
        <v>2.0199999999999999E-2</v>
      </c>
      <c r="AQ53">
        <v>388.1</v>
      </c>
      <c r="AR53">
        <v>2.0199999999999999E-2</v>
      </c>
      <c r="AT53" s="3">
        <v>450</v>
      </c>
      <c r="AU53" s="3">
        <v>3</v>
      </c>
      <c r="AV53" s="3">
        <v>2</v>
      </c>
      <c r="AW53">
        <v>95.7</v>
      </c>
      <c r="AX53">
        <v>398.5</v>
      </c>
      <c r="AY53">
        <v>90.3</v>
      </c>
      <c r="AZ53" s="36">
        <v>388.1</v>
      </c>
      <c r="BA53">
        <v>91.5</v>
      </c>
      <c r="BB53">
        <v>0</v>
      </c>
      <c r="BC53">
        <v>2.0299999999999999E-2</v>
      </c>
      <c r="BD53" s="36">
        <v>397.7</v>
      </c>
      <c r="BE53">
        <v>2.0199999999999999E-2</v>
      </c>
      <c r="BF53">
        <v>388.1</v>
      </c>
      <c r="BG53">
        <v>2.0199999999999999E-2</v>
      </c>
    </row>
    <row r="54" spans="1:59" x14ac:dyDescent="0.25">
      <c r="A54" s="3">
        <v>450</v>
      </c>
      <c r="B54" s="3">
        <v>4</v>
      </c>
      <c r="C54" s="3">
        <v>1</v>
      </c>
      <c r="D54">
        <v>0</v>
      </c>
      <c r="E54">
        <v>0</v>
      </c>
      <c r="F54">
        <v>0</v>
      </c>
      <c r="G54" s="36">
        <v>0</v>
      </c>
      <c r="I54">
        <v>0</v>
      </c>
      <c r="J54">
        <v>0</v>
      </c>
      <c r="K54" s="36">
        <v>0</v>
      </c>
      <c r="L54">
        <v>0</v>
      </c>
      <c r="M54">
        <v>0</v>
      </c>
      <c r="N54">
        <v>0</v>
      </c>
      <c r="P54" s="3">
        <v>450</v>
      </c>
      <c r="Q54" s="3">
        <v>4</v>
      </c>
      <c r="R54" s="3">
        <v>1</v>
      </c>
      <c r="S54">
        <v>0</v>
      </c>
      <c r="T54">
        <v>0</v>
      </c>
      <c r="U54">
        <v>0</v>
      </c>
      <c r="V54" s="36">
        <v>0</v>
      </c>
      <c r="W54">
        <v>0</v>
      </c>
      <c r="X54">
        <v>0</v>
      </c>
      <c r="Y54">
        <v>0</v>
      </c>
      <c r="Z54" s="36">
        <v>0</v>
      </c>
      <c r="AA54">
        <v>0</v>
      </c>
      <c r="AB54">
        <v>0</v>
      </c>
      <c r="AC54">
        <v>0</v>
      </c>
      <c r="AE54" s="3">
        <v>450</v>
      </c>
      <c r="AF54" s="3">
        <v>4</v>
      </c>
      <c r="AG54" s="3">
        <v>1</v>
      </c>
      <c r="AH54">
        <v>99</v>
      </c>
      <c r="AI54">
        <v>431.3</v>
      </c>
      <c r="AJ54">
        <v>93.8</v>
      </c>
      <c r="AK54" s="36">
        <v>414.1</v>
      </c>
      <c r="AL54">
        <v>0</v>
      </c>
      <c r="AM54">
        <v>95.2</v>
      </c>
      <c r="AN54">
        <v>2.0199999999999999E-2</v>
      </c>
      <c r="AO54" s="36">
        <v>449.7</v>
      </c>
      <c r="AP54">
        <v>1.9699999999999999E-2</v>
      </c>
      <c r="AQ54">
        <v>360</v>
      </c>
      <c r="AR54">
        <v>1.9900000000000001E-2</v>
      </c>
      <c r="AT54" s="3">
        <v>450</v>
      </c>
      <c r="AU54" s="3">
        <v>4</v>
      </c>
      <c r="AV54" s="3">
        <v>1</v>
      </c>
      <c r="AW54">
        <v>99</v>
      </c>
      <c r="AX54">
        <v>431.3</v>
      </c>
      <c r="AY54">
        <v>93.8</v>
      </c>
      <c r="AZ54" s="36">
        <v>414.1</v>
      </c>
      <c r="BA54">
        <v>0</v>
      </c>
      <c r="BB54">
        <v>95.2</v>
      </c>
      <c r="BC54">
        <v>2.0199999999999999E-2</v>
      </c>
      <c r="BD54" s="36">
        <v>449.7</v>
      </c>
      <c r="BE54">
        <v>1.9699999999999999E-2</v>
      </c>
      <c r="BF54">
        <v>360</v>
      </c>
      <c r="BG54">
        <v>1.9900000000000001E-2</v>
      </c>
    </row>
    <row r="55" spans="1:59" x14ac:dyDescent="0.25">
      <c r="A55" s="3">
        <v>450</v>
      </c>
      <c r="B55" s="3">
        <v>4</v>
      </c>
      <c r="C55" s="3">
        <v>2</v>
      </c>
      <c r="D55">
        <v>0</v>
      </c>
      <c r="E55">
        <v>0</v>
      </c>
      <c r="F55">
        <v>0</v>
      </c>
      <c r="G55" s="36">
        <v>0</v>
      </c>
      <c r="I55">
        <v>0</v>
      </c>
      <c r="J55">
        <v>0</v>
      </c>
      <c r="K55" s="36">
        <v>0</v>
      </c>
      <c r="L55">
        <v>0</v>
      </c>
      <c r="M55">
        <v>0</v>
      </c>
      <c r="N55">
        <v>0</v>
      </c>
      <c r="P55" s="3">
        <v>450</v>
      </c>
      <c r="Q55" s="3">
        <v>4</v>
      </c>
      <c r="R55" s="3">
        <v>2</v>
      </c>
      <c r="S55">
        <v>0</v>
      </c>
      <c r="T55">
        <v>0</v>
      </c>
      <c r="U55">
        <v>0</v>
      </c>
      <c r="V55" s="36">
        <v>0</v>
      </c>
      <c r="W55">
        <v>0</v>
      </c>
      <c r="X55">
        <v>0</v>
      </c>
      <c r="Y55">
        <v>0</v>
      </c>
      <c r="Z55" s="36">
        <v>0</v>
      </c>
      <c r="AA55">
        <v>0</v>
      </c>
      <c r="AB55">
        <v>0</v>
      </c>
      <c r="AC55">
        <v>0</v>
      </c>
      <c r="AE55" s="3">
        <v>450</v>
      </c>
      <c r="AF55" s="3">
        <v>4</v>
      </c>
      <c r="AG55" s="3">
        <v>2</v>
      </c>
      <c r="AH55">
        <v>99.2</v>
      </c>
      <c r="AI55">
        <v>428.1</v>
      </c>
      <c r="AJ55">
        <v>94.1</v>
      </c>
      <c r="AK55" s="36">
        <v>397.7</v>
      </c>
      <c r="AL55">
        <v>0</v>
      </c>
      <c r="AM55">
        <v>95.5</v>
      </c>
      <c r="AN55">
        <v>2.0199999999999999E-2</v>
      </c>
      <c r="AO55" s="36">
        <v>449.7</v>
      </c>
      <c r="AP55">
        <v>1.9800000000000002E-2</v>
      </c>
      <c r="AQ55">
        <v>360</v>
      </c>
      <c r="AR55">
        <v>1.9900000000000001E-2</v>
      </c>
      <c r="AT55" s="3">
        <v>450</v>
      </c>
      <c r="AU55" s="3">
        <v>4</v>
      </c>
      <c r="AV55" s="3">
        <v>2</v>
      </c>
      <c r="AW55">
        <v>99.2</v>
      </c>
      <c r="AX55">
        <v>428.1</v>
      </c>
      <c r="AY55">
        <v>94.1</v>
      </c>
      <c r="AZ55" s="36">
        <v>397.7</v>
      </c>
      <c r="BA55">
        <v>0</v>
      </c>
      <c r="BB55">
        <v>95.5</v>
      </c>
      <c r="BC55">
        <v>2.0199999999999999E-2</v>
      </c>
      <c r="BD55" s="36">
        <v>449.7</v>
      </c>
      <c r="BE55">
        <v>1.9800000000000002E-2</v>
      </c>
      <c r="BF55">
        <v>360</v>
      </c>
      <c r="BG55">
        <v>1.9900000000000001E-2</v>
      </c>
    </row>
    <row r="56" spans="1:59" x14ac:dyDescent="0.25">
      <c r="A56" s="3">
        <v>450</v>
      </c>
      <c r="B56" s="3">
        <v>4</v>
      </c>
      <c r="C56" s="3">
        <v>3</v>
      </c>
      <c r="D56">
        <v>0</v>
      </c>
      <c r="E56">
        <v>0</v>
      </c>
      <c r="F56">
        <v>0</v>
      </c>
      <c r="G56" s="36">
        <v>0</v>
      </c>
      <c r="I56">
        <v>0</v>
      </c>
      <c r="J56">
        <v>0</v>
      </c>
      <c r="K56" s="36">
        <v>0</v>
      </c>
      <c r="L56">
        <v>0</v>
      </c>
      <c r="M56">
        <v>0</v>
      </c>
      <c r="N56">
        <v>0</v>
      </c>
      <c r="P56" s="3">
        <v>450</v>
      </c>
      <c r="Q56" s="3">
        <v>4</v>
      </c>
      <c r="R56" s="3">
        <v>3</v>
      </c>
      <c r="S56">
        <v>0</v>
      </c>
      <c r="T56">
        <v>0</v>
      </c>
      <c r="U56">
        <v>0</v>
      </c>
      <c r="V56" s="36">
        <v>0</v>
      </c>
      <c r="W56">
        <v>0</v>
      </c>
      <c r="X56">
        <v>0</v>
      </c>
      <c r="Y56">
        <v>0</v>
      </c>
      <c r="Z56" s="36">
        <v>0</v>
      </c>
      <c r="AA56">
        <v>0</v>
      </c>
      <c r="AB56">
        <v>0</v>
      </c>
      <c r="AC56">
        <v>0</v>
      </c>
      <c r="AE56" s="3">
        <v>450</v>
      </c>
      <c r="AF56" s="3">
        <v>4</v>
      </c>
      <c r="AG56" s="3">
        <v>3</v>
      </c>
      <c r="AH56">
        <v>99.3</v>
      </c>
      <c r="AI56">
        <v>425.3</v>
      </c>
      <c r="AJ56">
        <v>94</v>
      </c>
      <c r="AK56" s="36">
        <v>388.9</v>
      </c>
      <c r="AL56">
        <v>0</v>
      </c>
      <c r="AM56">
        <v>95.9</v>
      </c>
      <c r="AN56">
        <v>2.0199999999999999E-2</v>
      </c>
      <c r="AO56" s="36">
        <v>449.7</v>
      </c>
      <c r="AP56">
        <v>1.9800000000000002E-2</v>
      </c>
      <c r="AQ56">
        <v>366.1</v>
      </c>
      <c r="AR56">
        <v>1.9900000000000001E-2</v>
      </c>
      <c r="AT56" s="3">
        <v>450</v>
      </c>
      <c r="AU56" s="3">
        <v>4</v>
      </c>
      <c r="AV56" s="3">
        <v>3</v>
      </c>
      <c r="AW56">
        <v>99.3</v>
      </c>
      <c r="AX56">
        <v>425.3</v>
      </c>
      <c r="AY56">
        <v>94</v>
      </c>
      <c r="AZ56" s="36">
        <v>388.9</v>
      </c>
      <c r="BA56">
        <v>0</v>
      </c>
      <c r="BB56">
        <v>95.9</v>
      </c>
      <c r="BC56">
        <v>2.0199999999999999E-2</v>
      </c>
      <c r="BD56" s="36">
        <v>449.7</v>
      </c>
      <c r="BE56">
        <v>1.9800000000000002E-2</v>
      </c>
      <c r="BF56">
        <v>366.1</v>
      </c>
      <c r="BG56">
        <v>1.9900000000000001E-2</v>
      </c>
    </row>
    <row r="57" spans="1:59" x14ac:dyDescent="0.25">
      <c r="A57" s="3">
        <v>450</v>
      </c>
      <c r="B57" s="3">
        <v>5</v>
      </c>
      <c r="C57" s="3">
        <v>1</v>
      </c>
      <c r="D57">
        <v>0</v>
      </c>
      <c r="E57">
        <v>0</v>
      </c>
      <c r="F57">
        <v>0</v>
      </c>
      <c r="G57" s="36">
        <v>0</v>
      </c>
      <c r="H57">
        <v>0</v>
      </c>
      <c r="I57">
        <v>0</v>
      </c>
      <c r="J57">
        <v>0</v>
      </c>
      <c r="K57" s="36">
        <v>0</v>
      </c>
      <c r="L57">
        <v>0</v>
      </c>
      <c r="M57">
        <v>0</v>
      </c>
      <c r="N57">
        <v>0</v>
      </c>
      <c r="P57" s="3">
        <v>450</v>
      </c>
      <c r="Q57" s="3">
        <v>5</v>
      </c>
      <c r="R57" s="3">
        <v>1</v>
      </c>
      <c r="S57">
        <v>0</v>
      </c>
      <c r="T57">
        <v>0</v>
      </c>
      <c r="U57">
        <v>0</v>
      </c>
      <c r="V57" s="36">
        <v>0</v>
      </c>
      <c r="W57">
        <v>0</v>
      </c>
      <c r="X57">
        <v>0</v>
      </c>
      <c r="Y57">
        <v>0</v>
      </c>
      <c r="Z57" s="36">
        <v>0</v>
      </c>
      <c r="AA57">
        <v>0</v>
      </c>
      <c r="AB57">
        <v>0</v>
      </c>
      <c r="AC57">
        <v>0</v>
      </c>
      <c r="AE57" s="3">
        <v>450</v>
      </c>
      <c r="AF57" s="3">
        <v>5</v>
      </c>
      <c r="AG57" s="3">
        <v>1</v>
      </c>
      <c r="AH57">
        <v>95.9</v>
      </c>
      <c r="AI57">
        <v>401.7</v>
      </c>
      <c r="AJ57">
        <v>90.9</v>
      </c>
      <c r="AK57" s="36">
        <v>392.1</v>
      </c>
      <c r="AL57">
        <v>92.4</v>
      </c>
      <c r="AM57">
        <v>91.4</v>
      </c>
      <c r="AN57">
        <v>2.0299999999999999E-2</v>
      </c>
      <c r="AO57" s="36">
        <v>400.9</v>
      </c>
      <c r="AP57">
        <v>2.0299999999999999E-2</v>
      </c>
      <c r="AQ57">
        <v>438.1</v>
      </c>
      <c r="AR57">
        <v>2.0299999999999999E-2</v>
      </c>
      <c r="AT57" s="3">
        <v>450</v>
      </c>
      <c r="AU57" s="3">
        <v>5</v>
      </c>
      <c r="AV57" s="3">
        <v>1</v>
      </c>
      <c r="AW57">
        <v>95.9</v>
      </c>
      <c r="AX57">
        <v>401.7</v>
      </c>
      <c r="AY57">
        <v>90.9</v>
      </c>
      <c r="AZ57" s="36">
        <v>392.1</v>
      </c>
      <c r="BA57">
        <v>92.4</v>
      </c>
      <c r="BB57">
        <v>91.4</v>
      </c>
      <c r="BC57">
        <v>2.0299999999999999E-2</v>
      </c>
      <c r="BD57" s="36">
        <v>400.9</v>
      </c>
      <c r="BE57">
        <v>2.0299999999999999E-2</v>
      </c>
      <c r="BF57">
        <v>438.1</v>
      </c>
      <c r="BG57">
        <v>2.0299999999999999E-2</v>
      </c>
    </row>
    <row r="58" spans="1:59" x14ac:dyDescent="0.25">
      <c r="A58" s="3">
        <v>450</v>
      </c>
      <c r="B58" s="3">
        <v>5</v>
      </c>
      <c r="C58" s="3">
        <v>2</v>
      </c>
      <c r="D58">
        <v>0</v>
      </c>
      <c r="E58">
        <v>0</v>
      </c>
      <c r="F58">
        <v>0</v>
      </c>
      <c r="G58" s="36">
        <v>0</v>
      </c>
      <c r="H58">
        <v>0</v>
      </c>
      <c r="I58">
        <v>0</v>
      </c>
      <c r="J58">
        <v>0</v>
      </c>
      <c r="K58" s="36">
        <v>0</v>
      </c>
      <c r="L58">
        <v>0</v>
      </c>
      <c r="M58">
        <v>0</v>
      </c>
      <c r="N58">
        <v>0</v>
      </c>
      <c r="P58" s="3">
        <v>450</v>
      </c>
      <c r="Q58" s="3">
        <v>5</v>
      </c>
      <c r="R58" s="3">
        <v>2</v>
      </c>
      <c r="S58">
        <v>0</v>
      </c>
      <c r="T58">
        <v>0</v>
      </c>
      <c r="U58">
        <v>0</v>
      </c>
      <c r="V58" s="36">
        <v>0</v>
      </c>
      <c r="W58">
        <v>0</v>
      </c>
      <c r="X58">
        <v>0</v>
      </c>
      <c r="Y58">
        <v>0</v>
      </c>
      <c r="Z58" s="36">
        <v>0</v>
      </c>
      <c r="AA58">
        <v>0</v>
      </c>
      <c r="AB58">
        <v>0</v>
      </c>
      <c r="AC58">
        <v>0</v>
      </c>
      <c r="AE58" s="3">
        <v>450</v>
      </c>
      <c r="AF58" s="3">
        <v>5</v>
      </c>
      <c r="AG58" s="3">
        <v>2</v>
      </c>
      <c r="AH58">
        <v>96.7</v>
      </c>
      <c r="AI58">
        <v>404.9</v>
      </c>
      <c r="AJ58">
        <v>91.5</v>
      </c>
      <c r="AK58" s="36">
        <v>395.3</v>
      </c>
      <c r="AL58">
        <v>93.2</v>
      </c>
      <c r="AM58">
        <v>92.4</v>
      </c>
      <c r="AN58">
        <v>2.0299999999999999E-2</v>
      </c>
      <c r="AO58" s="36">
        <v>404.1</v>
      </c>
      <c r="AP58">
        <v>2.0299999999999999E-2</v>
      </c>
      <c r="AQ58">
        <v>372.1</v>
      </c>
      <c r="AR58">
        <v>2.0299999999999999E-2</v>
      </c>
      <c r="AT58" s="3">
        <v>450</v>
      </c>
      <c r="AU58" s="3">
        <v>5</v>
      </c>
      <c r="AV58" s="3">
        <v>2</v>
      </c>
      <c r="AW58">
        <v>96.7</v>
      </c>
      <c r="AX58">
        <v>404.9</v>
      </c>
      <c r="AY58">
        <v>91.5</v>
      </c>
      <c r="AZ58" s="36">
        <v>395.3</v>
      </c>
      <c r="BA58">
        <v>93.2</v>
      </c>
      <c r="BB58">
        <v>92.4</v>
      </c>
      <c r="BC58">
        <v>2.0299999999999999E-2</v>
      </c>
      <c r="BD58" s="36">
        <v>404.1</v>
      </c>
      <c r="BE58">
        <v>2.0299999999999999E-2</v>
      </c>
      <c r="BF58">
        <v>372.1</v>
      </c>
      <c r="BG58">
        <v>2.0299999999999999E-2</v>
      </c>
    </row>
    <row r="59" spans="1:59" x14ac:dyDescent="0.25">
      <c r="A59" s="3">
        <v>450</v>
      </c>
      <c r="B59" s="3">
        <v>5</v>
      </c>
      <c r="C59" s="3">
        <v>3</v>
      </c>
      <c r="D59">
        <v>0</v>
      </c>
      <c r="E59">
        <v>0</v>
      </c>
      <c r="F59">
        <v>0</v>
      </c>
      <c r="G59" s="36">
        <v>0</v>
      </c>
      <c r="H59">
        <v>0</v>
      </c>
      <c r="I59">
        <v>0</v>
      </c>
      <c r="J59">
        <v>0</v>
      </c>
      <c r="K59" s="36">
        <v>0</v>
      </c>
      <c r="L59">
        <v>0</v>
      </c>
      <c r="M59">
        <v>0</v>
      </c>
      <c r="N59">
        <v>0</v>
      </c>
      <c r="P59" s="3">
        <v>450</v>
      </c>
      <c r="Q59" s="3">
        <v>5</v>
      </c>
      <c r="R59" s="3">
        <v>3</v>
      </c>
      <c r="S59">
        <v>0</v>
      </c>
      <c r="T59">
        <v>0</v>
      </c>
      <c r="U59">
        <v>0</v>
      </c>
      <c r="V59" s="36">
        <v>0</v>
      </c>
      <c r="W59">
        <v>0</v>
      </c>
      <c r="X59">
        <v>0</v>
      </c>
      <c r="Y59">
        <v>0</v>
      </c>
      <c r="Z59" s="36">
        <v>0</v>
      </c>
      <c r="AA59">
        <v>0</v>
      </c>
      <c r="AB59">
        <v>0</v>
      </c>
      <c r="AC59">
        <v>0</v>
      </c>
      <c r="AE59" s="3">
        <v>450</v>
      </c>
      <c r="AF59" s="3">
        <v>5</v>
      </c>
      <c r="AG59" s="3">
        <v>3</v>
      </c>
      <c r="AH59">
        <v>97.8</v>
      </c>
      <c r="AI59">
        <v>408.9</v>
      </c>
      <c r="AJ59">
        <v>92.3</v>
      </c>
      <c r="AK59" s="36">
        <v>398.5</v>
      </c>
      <c r="AL59">
        <v>94.6</v>
      </c>
      <c r="AM59">
        <v>94.4</v>
      </c>
      <c r="AN59">
        <v>2.0299999999999999E-2</v>
      </c>
      <c r="AO59" s="36">
        <v>418.1</v>
      </c>
      <c r="AP59">
        <v>2.01E-2</v>
      </c>
      <c r="AQ59">
        <v>372.5</v>
      </c>
      <c r="AR59">
        <v>2.0199999999999999E-2</v>
      </c>
      <c r="AT59" s="3">
        <v>450</v>
      </c>
      <c r="AU59" s="3">
        <v>5</v>
      </c>
      <c r="AV59" s="3">
        <v>3</v>
      </c>
      <c r="AW59">
        <v>97.8</v>
      </c>
      <c r="AX59">
        <v>408.9</v>
      </c>
      <c r="AY59">
        <v>92.3</v>
      </c>
      <c r="AZ59" s="36">
        <v>398.5</v>
      </c>
      <c r="BA59">
        <v>94.6</v>
      </c>
      <c r="BB59">
        <v>94.4</v>
      </c>
      <c r="BC59">
        <v>2.0299999999999999E-2</v>
      </c>
      <c r="BD59" s="36">
        <v>418.1</v>
      </c>
      <c r="BE59">
        <v>2.01E-2</v>
      </c>
      <c r="BF59">
        <v>372.5</v>
      </c>
      <c r="BG59">
        <v>2.0199999999999999E-2</v>
      </c>
    </row>
    <row r="60" spans="1:59" x14ac:dyDescent="0.25">
      <c r="A60" s="3">
        <v>450</v>
      </c>
      <c r="B60" s="3">
        <v>6</v>
      </c>
      <c r="C60" s="3">
        <v>1</v>
      </c>
      <c r="D60">
        <v>0</v>
      </c>
      <c r="E60">
        <v>0</v>
      </c>
      <c r="F60">
        <v>0</v>
      </c>
      <c r="G60" s="36">
        <v>0</v>
      </c>
      <c r="I60">
        <v>0</v>
      </c>
      <c r="J60">
        <v>0</v>
      </c>
      <c r="K60" s="36">
        <v>0</v>
      </c>
      <c r="L60">
        <v>0</v>
      </c>
      <c r="M60">
        <v>0</v>
      </c>
      <c r="N60">
        <v>0</v>
      </c>
      <c r="P60" s="3">
        <v>450</v>
      </c>
      <c r="Q60" s="3">
        <v>6</v>
      </c>
      <c r="R60" s="3">
        <v>1</v>
      </c>
      <c r="S60">
        <v>0</v>
      </c>
      <c r="T60">
        <v>0</v>
      </c>
      <c r="U60">
        <v>0</v>
      </c>
      <c r="V60" s="36">
        <v>0</v>
      </c>
      <c r="W60">
        <v>0</v>
      </c>
      <c r="X60">
        <v>0</v>
      </c>
      <c r="Y60">
        <v>0</v>
      </c>
      <c r="Z60" s="36">
        <v>0</v>
      </c>
      <c r="AA60">
        <v>0</v>
      </c>
      <c r="AB60">
        <v>0</v>
      </c>
      <c r="AC60">
        <v>0</v>
      </c>
      <c r="AE60" s="3">
        <v>450</v>
      </c>
      <c r="AF60" s="3">
        <v>6</v>
      </c>
      <c r="AG60" s="3">
        <v>1</v>
      </c>
      <c r="AH60">
        <v>103.2</v>
      </c>
      <c r="AI60">
        <v>422.5</v>
      </c>
      <c r="AJ60">
        <v>95.6</v>
      </c>
      <c r="AK60" s="36">
        <v>411.3</v>
      </c>
      <c r="AL60">
        <v>0</v>
      </c>
      <c r="AM60">
        <v>97.7</v>
      </c>
      <c r="AN60">
        <v>2.0199999999999999E-2</v>
      </c>
      <c r="AO60" s="36">
        <v>449.7</v>
      </c>
      <c r="AP60">
        <v>1.9699999999999999E-2</v>
      </c>
      <c r="AQ60">
        <v>378.1</v>
      </c>
      <c r="AR60">
        <v>1.9900000000000001E-2</v>
      </c>
      <c r="AT60" s="3">
        <v>450</v>
      </c>
      <c r="AU60" s="3">
        <v>6</v>
      </c>
      <c r="AV60" s="3">
        <v>1</v>
      </c>
      <c r="AW60">
        <v>103.2</v>
      </c>
      <c r="AX60">
        <v>422.5</v>
      </c>
      <c r="AY60">
        <v>95.6</v>
      </c>
      <c r="AZ60" s="36">
        <v>411.3</v>
      </c>
      <c r="BA60">
        <v>0</v>
      </c>
      <c r="BB60">
        <v>97.7</v>
      </c>
      <c r="BC60">
        <v>2.0199999999999999E-2</v>
      </c>
      <c r="BD60" s="36">
        <v>449.7</v>
      </c>
      <c r="BE60">
        <v>1.9699999999999999E-2</v>
      </c>
      <c r="BF60">
        <v>378.1</v>
      </c>
      <c r="BG60">
        <v>1.9900000000000001E-2</v>
      </c>
    </row>
    <row r="61" spans="1:59" x14ac:dyDescent="0.25">
      <c r="A61" s="3">
        <v>450</v>
      </c>
      <c r="B61" s="3">
        <v>6</v>
      </c>
      <c r="C61" s="3">
        <v>2</v>
      </c>
      <c r="D61">
        <v>0</v>
      </c>
      <c r="E61">
        <v>0</v>
      </c>
      <c r="F61">
        <v>0</v>
      </c>
      <c r="G61" s="36">
        <v>0</v>
      </c>
      <c r="I61">
        <v>0</v>
      </c>
      <c r="J61">
        <v>0</v>
      </c>
      <c r="K61" s="36">
        <v>0</v>
      </c>
      <c r="L61">
        <v>0</v>
      </c>
      <c r="M61">
        <v>0</v>
      </c>
      <c r="N61">
        <v>0</v>
      </c>
      <c r="P61" s="3">
        <v>450</v>
      </c>
      <c r="Q61" s="3">
        <v>6</v>
      </c>
      <c r="R61" s="3">
        <v>2</v>
      </c>
      <c r="S61">
        <v>0</v>
      </c>
      <c r="T61">
        <v>0</v>
      </c>
      <c r="U61">
        <v>0</v>
      </c>
      <c r="V61" s="36">
        <v>0</v>
      </c>
      <c r="W61">
        <v>0</v>
      </c>
      <c r="X61">
        <v>0</v>
      </c>
      <c r="Y61">
        <v>0</v>
      </c>
      <c r="Z61" s="36">
        <v>0</v>
      </c>
      <c r="AA61">
        <v>0</v>
      </c>
      <c r="AB61">
        <v>0</v>
      </c>
      <c r="AC61">
        <v>0</v>
      </c>
      <c r="AE61" s="3">
        <v>450</v>
      </c>
      <c r="AF61" s="3">
        <v>6</v>
      </c>
      <c r="AG61" s="3">
        <v>2</v>
      </c>
      <c r="AH61">
        <v>103.6</v>
      </c>
      <c r="AI61">
        <v>419.3</v>
      </c>
      <c r="AJ61">
        <v>95.5</v>
      </c>
      <c r="AK61" s="36">
        <v>407.3</v>
      </c>
      <c r="AL61">
        <v>0</v>
      </c>
      <c r="AM61">
        <v>98.2</v>
      </c>
      <c r="AN61">
        <v>2.0199999999999999E-2</v>
      </c>
      <c r="AO61" s="36">
        <v>449.7</v>
      </c>
      <c r="AP61">
        <v>1.9699999999999999E-2</v>
      </c>
      <c r="AQ61">
        <v>365.7</v>
      </c>
      <c r="AR61">
        <v>1.9900000000000001E-2</v>
      </c>
      <c r="AT61" s="3">
        <v>450</v>
      </c>
      <c r="AU61" s="3">
        <v>6</v>
      </c>
      <c r="AV61" s="3">
        <v>2</v>
      </c>
      <c r="AW61">
        <v>103.6</v>
      </c>
      <c r="AX61">
        <v>419.3</v>
      </c>
      <c r="AY61">
        <v>95.5</v>
      </c>
      <c r="AZ61" s="36">
        <v>407.3</v>
      </c>
      <c r="BA61">
        <v>0</v>
      </c>
      <c r="BB61">
        <v>98.2</v>
      </c>
      <c r="BC61">
        <v>2.0199999999999999E-2</v>
      </c>
      <c r="BD61" s="36">
        <v>449.7</v>
      </c>
      <c r="BE61">
        <v>1.9699999999999999E-2</v>
      </c>
      <c r="BF61">
        <v>365.7</v>
      </c>
      <c r="BG61">
        <v>1.9900000000000001E-2</v>
      </c>
    </row>
    <row r="62" spans="1:59" x14ac:dyDescent="0.25">
      <c r="A62" s="3">
        <v>450</v>
      </c>
      <c r="B62" s="3">
        <v>6</v>
      </c>
      <c r="C62" s="3">
        <v>3</v>
      </c>
      <c r="D62">
        <v>0</v>
      </c>
      <c r="E62">
        <v>0</v>
      </c>
      <c r="F62">
        <v>0</v>
      </c>
      <c r="G62" s="36">
        <v>0</v>
      </c>
      <c r="I62">
        <v>0</v>
      </c>
      <c r="J62">
        <v>0</v>
      </c>
      <c r="K62" s="36">
        <v>0</v>
      </c>
      <c r="L62">
        <v>0</v>
      </c>
      <c r="M62">
        <v>0</v>
      </c>
      <c r="N62">
        <v>0</v>
      </c>
      <c r="P62" s="3">
        <v>450</v>
      </c>
      <c r="Q62" s="3">
        <v>6</v>
      </c>
      <c r="R62" s="3">
        <v>3</v>
      </c>
      <c r="S62">
        <v>0</v>
      </c>
      <c r="T62">
        <v>0</v>
      </c>
      <c r="U62">
        <v>0</v>
      </c>
      <c r="V62" s="36">
        <v>0</v>
      </c>
      <c r="W62">
        <v>0</v>
      </c>
      <c r="X62">
        <v>0</v>
      </c>
      <c r="Y62">
        <v>0</v>
      </c>
      <c r="Z62" s="36">
        <v>0</v>
      </c>
      <c r="AA62">
        <v>0</v>
      </c>
      <c r="AB62">
        <v>0</v>
      </c>
      <c r="AC62">
        <v>0</v>
      </c>
      <c r="AE62" s="3">
        <v>450</v>
      </c>
      <c r="AF62" s="3">
        <v>6</v>
      </c>
      <c r="AG62" s="3">
        <v>3</v>
      </c>
      <c r="AH62">
        <v>105.2</v>
      </c>
      <c r="AI62">
        <v>415.3</v>
      </c>
      <c r="AJ62">
        <v>94.5</v>
      </c>
      <c r="AK62" s="36">
        <v>401.7</v>
      </c>
      <c r="AL62">
        <v>0</v>
      </c>
      <c r="AM62">
        <v>98.7</v>
      </c>
      <c r="AN62">
        <v>2.0199999999999999E-2</v>
      </c>
      <c r="AO62" s="36">
        <v>449.7</v>
      </c>
      <c r="AP62">
        <v>1.9599999999999999E-2</v>
      </c>
      <c r="AQ62">
        <v>360</v>
      </c>
      <c r="AR62">
        <v>0.02</v>
      </c>
      <c r="AT62" s="3">
        <v>450</v>
      </c>
      <c r="AU62" s="3">
        <v>6</v>
      </c>
      <c r="AV62" s="3">
        <v>3</v>
      </c>
      <c r="AW62">
        <v>105.2</v>
      </c>
      <c r="AX62">
        <v>415.3</v>
      </c>
      <c r="AY62">
        <v>94.5</v>
      </c>
      <c r="AZ62" s="36">
        <v>401.7</v>
      </c>
      <c r="BA62">
        <v>0</v>
      </c>
      <c r="BB62">
        <v>98.7</v>
      </c>
      <c r="BC62">
        <v>2.0199999999999999E-2</v>
      </c>
      <c r="BD62" s="36">
        <v>449.7</v>
      </c>
      <c r="BE62">
        <v>1.9599999999999999E-2</v>
      </c>
      <c r="BF62">
        <v>360</v>
      </c>
      <c r="BG62">
        <v>0.02</v>
      </c>
    </row>
    <row r="63" spans="1:59" x14ac:dyDescent="0.25">
      <c r="A63" s="3">
        <v>450</v>
      </c>
      <c r="B63" s="3">
        <v>7</v>
      </c>
      <c r="C63" s="3">
        <v>1</v>
      </c>
      <c r="D63">
        <v>0</v>
      </c>
      <c r="E63">
        <v>0</v>
      </c>
      <c r="F63">
        <v>0</v>
      </c>
      <c r="G63" s="36">
        <v>0</v>
      </c>
      <c r="H63">
        <v>0</v>
      </c>
      <c r="I63">
        <v>0</v>
      </c>
      <c r="J63">
        <v>0</v>
      </c>
      <c r="K63" s="36">
        <v>0</v>
      </c>
      <c r="L63">
        <v>0</v>
      </c>
      <c r="M63">
        <v>0</v>
      </c>
      <c r="N63">
        <v>0</v>
      </c>
      <c r="P63" s="3">
        <v>450</v>
      </c>
      <c r="Q63" s="3">
        <v>7</v>
      </c>
      <c r="R63" s="3">
        <v>1</v>
      </c>
      <c r="S63">
        <v>0</v>
      </c>
      <c r="T63">
        <v>0</v>
      </c>
      <c r="U63">
        <v>0</v>
      </c>
      <c r="V63" s="36">
        <v>0</v>
      </c>
      <c r="W63">
        <v>0</v>
      </c>
      <c r="X63">
        <v>0</v>
      </c>
      <c r="Y63">
        <v>0</v>
      </c>
      <c r="Z63" s="36">
        <v>0</v>
      </c>
      <c r="AA63">
        <v>0</v>
      </c>
      <c r="AB63">
        <v>0</v>
      </c>
      <c r="AC63">
        <v>0</v>
      </c>
      <c r="AE63" s="3">
        <v>450</v>
      </c>
      <c r="AF63" s="3">
        <v>7</v>
      </c>
      <c r="AG63" s="3">
        <v>1</v>
      </c>
      <c r="AH63">
        <v>101.9</v>
      </c>
      <c r="AI63">
        <v>442.5</v>
      </c>
      <c r="AJ63">
        <v>97.7</v>
      </c>
      <c r="AK63" s="36">
        <v>401.7</v>
      </c>
      <c r="AL63">
        <v>99.5</v>
      </c>
      <c r="AM63">
        <v>101.1</v>
      </c>
      <c r="AN63">
        <v>2.0299999999999999E-2</v>
      </c>
      <c r="AO63" s="36">
        <v>449.7</v>
      </c>
      <c r="AP63">
        <v>1.9599999999999999E-2</v>
      </c>
      <c r="AQ63">
        <v>360</v>
      </c>
      <c r="AR63">
        <v>1.9900000000000001E-2</v>
      </c>
      <c r="AT63" s="3">
        <v>450</v>
      </c>
      <c r="AU63" s="3">
        <v>7</v>
      </c>
      <c r="AV63" s="3">
        <v>1</v>
      </c>
      <c r="AW63">
        <v>101.9</v>
      </c>
      <c r="AX63">
        <v>442.5</v>
      </c>
      <c r="AY63">
        <v>97.7</v>
      </c>
      <c r="AZ63" s="36">
        <v>401.7</v>
      </c>
      <c r="BA63">
        <v>99.5</v>
      </c>
      <c r="BB63">
        <v>101.1</v>
      </c>
      <c r="BC63">
        <v>2.0299999999999999E-2</v>
      </c>
      <c r="BD63" s="36">
        <v>449.7</v>
      </c>
      <c r="BE63">
        <v>1.9599999999999999E-2</v>
      </c>
      <c r="BF63">
        <v>360</v>
      </c>
      <c r="BG63">
        <v>1.9900000000000001E-2</v>
      </c>
    </row>
    <row r="64" spans="1:59" x14ac:dyDescent="0.25">
      <c r="A64" s="3">
        <v>450</v>
      </c>
      <c r="B64" s="3">
        <v>8</v>
      </c>
      <c r="C64" s="3">
        <v>1</v>
      </c>
      <c r="D64">
        <v>0</v>
      </c>
      <c r="E64">
        <v>0</v>
      </c>
      <c r="F64">
        <v>0</v>
      </c>
      <c r="G64" s="36">
        <v>0</v>
      </c>
      <c r="H64">
        <v>0</v>
      </c>
      <c r="I64">
        <v>0</v>
      </c>
      <c r="J64">
        <v>0</v>
      </c>
      <c r="K64" s="36">
        <v>0</v>
      </c>
      <c r="L64">
        <v>0</v>
      </c>
      <c r="M64">
        <v>0</v>
      </c>
      <c r="N64">
        <v>0</v>
      </c>
      <c r="P64" s="3">
        <v>450</v>
      </c>
      <c r="Q64" s="3">
        <v>8</v>
      </c>
      <c r="R64" s="3">
        <v>1</v>
      </c>
      <c r="S64">
        <v>0</v>
      </c>
      <c r="T64">
        <v>0</v>
      </c>
      <c r="U64">
        <v>0</v>
      </c>
      <c r="V64" s="36">
        <v>0</v>
      </c>
      <c r="W64">
        <v>0</v>
      </c>
      <c r="X64">
        <v>0</v>
      </c>
      <c r="Y64">
        <v>0</v>
      </c>
      <c r="Z64" s="36">
        <v>0</v>
      </c>
      <c r="AA64">
        <v>0</v>
      </c>
      <c r="AB64">
        <v>0</v>
      </c>
      <c r="AC64">
        <v>0</v>
      </c>
      <c r="AE64" s="3">
        <v>450</v>
      </c>
      <c r="AF64" s="3">
        <v>8</v>
      </c>
      <c r="AG64" s="3">
        <v>1</v>
      </c>
      <c r="AH64">
        <v>95.7</v>
      </c>
      <c r="AI64">
        <v>405.7</v>
      </c>
      <c r="AJ64">
        <v>94.4</v>
      </c>
      <c r="AK64" s="36">
        <v>372.9</v>
      </c>
      <c r="AL64">
        <v>95</v>
      </c>
      <c r="AM64">
        <v>94.7</v>
      </c>
      <c r="AN64">
        <v>1.9699999999999999E-2</v>
      </c>
      <c r="AO64" s="36">
        <v>449.7</v>
      </c>
      <c r="AP64">
        <v>1.9300000000000001E-2</v>
      </c>
      <c r="AQ64">
        <v>360</v>
      </c>
      <c r="AR64">
        <v>1.95E-2</v>
      </c>
      <c r="AT64" s="3">
        <v>450</v>
      </c>
      <c r="AU64" s="3">
        <v>8</v>
      </c>
      <c r="AV64" s="3">
        <v>1</v>
      </c>
      <c r="AW64">
        <v>95.7</v>
      </c>
      <c r="AX64">
        <v>405.7</v>
      </c>
      <c r="AY64">
        <v>94.4</v>
      </c>
      <c r="AZ64" s="36">
        <v>372.9</v>
      </c>
      <c r="BA64">
        <v>95</v>
      </c>
      <c r="BB64">
        <v>94.7</v>
      </c>
      <c r="BC64">
        <v>1.9699999999999999E-2</v>
      </c>
      <c r="BD64" s="36">
        <v>449.7</v>
      </c>
      <c r="BE64">
        <v>1.9300000000000001E-2</v>
      </c>
      <c r="BF64">
        <v>360</v>
      </c>
      <c r="BG64">
        <v>1.95E-2</v>
      </c>
    </row>
    <row r="65" spans="1:59" x14ac:dyDescent="0.25">
      <c r="A65" s="3">
        <v>450</v>
      </c>
      <c r="B65" s="3">
        <v>8</v>
      </c>
      <c r="C65" s="3">
        <v>2</v>
      </c>
      <c r="D65">
        <v>0</v>
      </c>
      <c r="E65">
        <v>0</v>
      </c>
      <c r="F65">
        <v>0</v>
      </c>
      <c r="G65" s="36">
        <v>0</v>
      </c>
      <c r="H65">
        <v>0</v>
      </c>
      <c r="I65">
        <v>0</v>
      </c>
      <c r="J65">
        <v>0</v>
      </c>
      <c r="K65" s="36">
        <v>0</v>
      </c>
      <c r="L65">
        <v>0</v>
      </c>
      <c r="M65">
        <v>0</v>
      </c>
      <c r="N65">
        <v>0</v>
      </c>
      <c r="P65" s="3">
        <v>450</v>
      </c>
      <c r="Q65" s="3">
        <v>8</v>
      </c>
      <c r="R65" s="3">
        <v>2</v>
      </c>
      <c r="S65">
        <v>0</v>
      </c>
      <c r="T65">
        <v>0</v>
      </c>
      <c r="U65">
        <v>0</v>
      </c>
      <c r="V65" s="36">
        <v>0</v>
      </c>
      <c r="W65">
        <v>0</v>
      </c>
      <c r="X65">
        <v>0</v>
      </c>
      <c r="Y65">
        <v>0</v>
      </c>
      <c r="Z65" s="36">
        <v>0</v>
      </c>
      <c r="AA65">
        <v>0</v>
      </c>
      <c r="AB65">
        <v>0</v>
      </c>
      <c r="AC65">
        <v>0</v>
      </c>
      <c r="AE65" s="3">
        <v>450</v>
      </c>
      <c r="AF65" s="3">
        <v>8</v>
      </c>
      <c r="AG65" s="3">
        <v>2</v>
      </c>
      <c r="AH65">
        <v>93.3</v>
      </c>
      <c r="AI65">
        <v>406.5</v>
      </c>
      <c r="AJ65">
        <v>92.3</v>
      </c>
      <c r="AK65" s="36">
        <v>426.5</v>
      </c>
      <c r="AL65">
        <v>92.7</v>
      </c>
      <c r="AM65">
        <v>92.5</v>
      </c>
      <c r="AN65">
        <v>1.9900000000000001E-2</v>
      </c>
      <c r="AO65" s="36">
        <v>427.7</v>
      </c>
      <c r="AP65">
        <v>1.9599999999999999E-2</v>
      </c>
      <c r="AQ65">
        <v>360.9</v>
      </c>
      <c r="AR65">
        <v>1.9800000000000002E-2</v>
      </c>
      <c r="AT65" s="3">
        <v>450</v>
      </c>
      <c r="AU65" s="3">
        <v>8</v>
      </c>
      <c r="AV65" s="3">
        <v>2</v>
      </c>
      <c r="AW65">
        <v>93.3</v>
      </c>
      <c r="AX65">
        <v>406.5</v>
      </c>
      <c r="AY65">
        <v>92.3</v>
      </c>
      <c r="AZ65" s="36">
        <v>426.5</v>
      </c>
      <c r="BA65">
        <v>92.7</v>
      </c>
      <c r="BB65">
        <v>92.5</v>
      </c>
      <c r="BC65">
        <v>1.9900000000000001E-2</v>
      </c>
      <c r="BD65" s="36">
        <v>427.7</v>
      </c>
      <c r="BE65">
        <v>1.9599999999999999E-2</v>
      </c>
      <c r="BF65">
        <v>360.9</v>
      </c>
      <c r="BG65">
        <v>1.9800000000000002E-2</v>
      </c>
    </row>
    <row r="66" spans="1:59" x14ac:dyDescent="0.25">
      <c r="A66" s="3">
        <v>450</v>
      </c>
      <c r="B66" s="3">
        <v>9</v>
      </c>
      <c r="C66" s="3">
        <v>1</v>
      </c>
      <c r="D66">
        <v>0</v>
      </c>
      <c r="E66">
        <v>0</v>
      </c>
      <c r="F66">
        <v>0</v>
      </c>
      <c r="G66" s="36">
        <v>0</v>
      </c>
      <c r="H66">
        <v>0</v>
      </c>
      <c r="I66">
        <v>0</v>
      </c>
      <c r="J66">
        <v>0</v>
      </c>
      <c r="K66" s="36">
        <v>0</v>
      </c>
      <c r="L66">
        <v>0</v>
      </c>
      <c r="M66">
        <v>0</v>
      </c>
      <c r="N66">
        <v>0</v>
      </c>
      <c r="P66" s="3">
        <v>450</v>
      </c>
      <c r="Q66" s="3">
        <v>9</v>
      </c>
      <c r="R66" s="3">
        <v>1</v>
      </c>
      <c r="S66">
        <v>0</v>
      </c>
      <c r="T66">
        <v>0</v>
      </c>
      <c r="U66">
        <v>0</v>
      </c>
      <c r="V66" s="36">
        <v>0</v>
      </c>
      <c r="W66">
        <v>0</v>
      </c>
      <c r="X66">
        <v>0</v>
      </c>
      <c r="Y66">
        <v>0</v>
      </c>
      <c r="Z66" s="36">
        <v>0</v>
      </c>
      <c r="AA66">
        <v>0</v>
      </c>
      <c r="AB66">
        <v>0</v>
      </c>
      <c r="AC66">
        <v>0</v>
      </c>
      <c r="AE66" s="3">
        <v>450</v>
      </c>
      <c r="AF66" s="3">
        <v>9</v>
      </c>
      <c r="AG66" s="3">
        <v>1</v>
      </c>
      <c r="AH66">
        <v>103.5</v>
      </c>
      <c r="AI66">
        <v>430.1</v>
      </c>
      <c r="AJ66">
        <v>101.1</v>
      </c>
      <c r="AK66" s="36">
        <v>360</v>
      </c>
      <c r="AL66">
        <v>102</v>
      </c>
      <c r="AM66">
        <v>102.5</v>
      </c>
      <c r="AN66">
        <v>2.0299999999999999E-2</v>
      </c>
      <c r="AO66" s="36">
        <v>449.7</v>
      </c>
      <c r="AP66">
        <v>1.9699999999999999E-2</v>
      </c>
      <c r="AQ66">
        <v>360</v>
      </c>
      <c r="AR66">
        <v>0.02</v>
      </c>
      <c r="AT66" s="3">
        <v>450</v>
      </c>
      <c r="AU66" s="3">
        <v>9</v>
      </c>
      <c r="AV66" s="3">
        <v>1</v>
      </c>
      <c r="AW66">
        <v>103.5</v>
      </c>
      <c r="AX66">
        <v>430.1</v>
      </c>
      <c r="AY66">
        <v>101.1</v>
      </c>
      <c r="AZ66" s="36">
        <v>360</v>
      </c>
      <c r="BA66">
        <v>102</v>
      </c>
      <c r="BB66">
        <v>102.5</v>
      </c>
      <c r="BC66">
        <v>2.0299999999999999E-2</v>
      </c>
      <c r="BD66" s="36">
        <v>449.7</v>
      </c>
      <c r="BE66">
        <v>1.9699999999999999E-2</v>
      </c>
      <c r="BF66">
        <v>360</v>
      </c>
      <c r="BG66">
        <v>0.02</v>
      </c>
    </row>
    <row r="67" spans="1:59" x14ac:dyDescent="0.25">
      <c r="A67" s="3">
        <v>450</v>
      </c>
      <c r="B67" s="3">
        <v>9</v>
      </c>
      <c r="C67" s="3">
        <v>2</v>
      </c>
      <c r="D67">
        <v>0</v>
      </c>
      <c r="E67">
        <v>0</v>
      </c>
      <c r="F67">
        <v>0</v>
      </c>
      <c r="G67" s="36">
        <v>0</v>
      </c>
      <c r="H67">
        <v>0</v>
      </c>
      <c r="I67">
        <v>0</v>
      </c>
      <c r="J67">
        <v>0</v>
      </c>
      <c r="K67" s="36">
        <v>0</v>
      </c>
      <c r="L67">
        <v>0</v>
      </c>
      <c r="M67">
        <v>0</v>
      </c>
      <c r="N67">
        <v>0</v>
      </c>
      <c r="P67" s="3">
        <v>450</v>
      </c>
      <c r="Q67" s="3">
        <v>9</v>
      </c>
      <c r="R67" s="3">
        <v>2</v>
      </c>
      <c r="S67">
        <v>0</v>
      </c>
      <c r="T67">
        <v>0</v>
      </c>
      <c r="U67">
        <v>0</v>
      </c>
      <c r="V67" s="36">
        <v>0</v>
      </c>
      <c r="W67">
        <v>0</v>
      </c>
      <c r="X67">
        <v>0</v>
      </c>
      <c r="Y67">
        <v>0</v>
      </c>
      <c r="Z67" s="36">
        <v>0</v>
      </c>
      <c r="AA67">
        <v>0</v>
      </c>
      <c r="AB67">
        <v>0</v>
      </c>
      <c r="AC67">
        <v>0</v>
      </c>
      <c r="AE67" s="3">
        <v>450</v>
      </c>
      <c r="AF67" s="3">
        <v>9</v>
      </c>
      <c r="AG67" s="3">
        <v>2</v>
      </c>
      <c r="AH67">
        <v>104.4</v>
      </c>
      <c r="AI67">
        <v>418.1</v>
      </c>
      <c r="AJ67">
        <v>101</v>
      </c>
      <c r="AK67" s="36">
        <v>360</v>
      </c>
      <c r="AL67">
        <v>102.7</v>
      </c>
      <c r="AM67">
        <v>102.7</v>
      </c>
      <c r="AN67">
        <v>2.0400000000000001E-2</v>
      </c>
      <c r="AO67" s="36">
        <v>449.7</v>
      </c>
      <c r="AP67">
        <v>1.9900000000000001E-2</v>
      </c>
      <c r="AQ67">
        <v>360</v>
      </c>
      <c r="AR67">
        <v>2.01E-2</v>
      </c>
      <c r="AT67" s="3">
        <v>450</v>
      </c>
      <c r="AU67" s="3">
        <v>9</v>
      </c>
      <c r="AV67" s="3">
        <v>2</v>
      </c>
      <c r="AW67">
        <v>104.4</v>
      </c>
      <c r="AX67">
        <v>418.1</v>
      </c>
      <c r="AY67">
        <v>101</v>
      </c>
      <c r="AZ67" s="36">
        <v>360</v>
      </c>
      <c r="BA67">
        <v>102.7</v>
      </c>
      <c r="BB67">
        <v>102.7</v>
      </c>
      <c r="BC67">
        <v>2.0400000000000001E-2</v>
      </c>
      <c r="BD67" s="36">
        <v>449.7</v>
      </c>
      <c r="BE67">
        <v>1.9900000000000001E-2</v>
      </c>
      <c r="BF67">
        <v>360</v>
      </c>
      <c r="BG67">
        <v>2.01E-2</v>
      </c>
    </row>
    <row r="68" spans="1:59" x14ac:dyDescent="0.25">
      <c r="A68" s="3">
        <v>450</v>
      </c>
      <c r="B68" s="3">
        <v>9</v>
      </c>
      <c r="C68" s="3">
        <v>3</v>
      </c>
      <c r="D68">
        <v>0</v>
      </c>
      <c r="E68">
        <v>0</v>
      </c>
      <c r="F68">
        <v>0</v>
      </c>
      <c r="G68" s="36">
        <v>0</v>
      </c>
      <c r="H68">
        <v>0</v>
      </c>
      <c r="I68">
        <v>0</v>
      </c>
      <c r="J68">
        <v>0</v>
      </c>
      <c r="K68" s="36">
        <v>0</v>
      </c>
      <c r="L68">
        <v>0</v>
      </c>
      <c r="M68">
        <v>0</v>
      </c>
      <c r="N68">
        <v>0</v>
      </c>
      <c r="P68" s="3">
        <v>450</v>
      </c>
      <c r="Q68" s="3">
        <v>9</v>
      </c>
      <c r="R68" s="3">
        <v>3</v>
      </c>
      <c r="S68">
        <v>0</v>
      </c>
      <c r="T68">
        <v>0</v>
      </c>
      <c r="U68">
        <v>0</v>
      </c>
      <c r="V68" s="36">
        <v>0</v>
      </c>
      <c r="W68">
        <v>0</v>
      </c>
      <c r="X68">
        <v>0</v>
      </c>
      <c r="Y68">
        <v>0</v>
      </c>
      <c r="Z68" s="36">
        <v>0</v>
      </c>
      <c r="AA68">
        <v>0</v>
      </c>
      <c r="AB68">
        <v>0</v>
      </c>
      <c r="AC68">
        <v>0</v>
      </c>
      <c r="AE68" s="3">
        <v>450</v>
      </c>
      <c r="AF68" s="3">
        <v>9</v>
      </c>
      <c r="AG68" s="3">
        <v>3</v>
      </c>
      <c r="AH68">
        <v>103.5</v>
      </c>
      <c r="AI68">
        <v>415.7</v>
      </c>
      <c r="AJ68">
        <v>100.2</v>
      </c>
      <c r="AK68" s="36">
        <v>445.3</v>
      </c>
      <c r="AL68">
        <v>102.3</v>
      </c>
      <c r="AM68">
        <v>101.9</v>
      </c>
      <c r="AN68">
        <v>2.0400000000000001E-2</v>
      </c>
      <c r="AO68" s="36">
        <v>449.7</v>
      </c>
      <c r="AP68">
        <v>0.02</v>
      </c>
      <c r="AQ68">
        <v>360</v>
      </c>
      <c r="AR68">
        <v>2.0199999999999999E-2</v>
      </c>
      <c r="AT68" s="3">
        <v>450</v>
      </c>
      <c r="AU68" s="3">
        <v>9</v>
      </c>
      <c r="AV68" s="3">
        <v>3</v>
      </c>
      <c r="AW68">
        <v>103.5</v>
      </c>
      <c r="AX68">
        <v>415.7</v>
      </c>
      <c r="AY68">
        <v>100.2</v>
      </c>
      <c r="AZ68" s="36">
        <v>445.3</v>
      </c>
      <c r="BA68">
        <v>102.3</v>
      </c>
      <c r="BB68">
        <v>101.9</v>
      </c>
      <c r="BC68">
        <v>2.0400000000000001E-2</v>
      </c>
      <c r="BD68" s="36">
        <v>449.7</v>
      </c>
      <c r="BE68">
        <v>0.02</v>
      </c>
      <c r="BF68">
        <v>360</v>
      </c>
      <c r="BG68">
        <v>2.0199999999999999E-2</v>
      </c>
    </row>
    <row r="69" spans="1:59" x14ac:dyDescent="0.25">
      <c r="A69" s="3">
        <v>450</v>
      </c>
      <c r="B69" s="3">
        <v>9</v>
      </c>
      <c r="C69" s="3">
        <v>4</v>
      </c>
      <c r="D69">
        <v>0</v>
      </c>
      <c r="E69">
        <v>0</v>
      </c>
      <c r="F69">
        <v>0</v>
      </c>
      <c r="G69" s="36">
        <v>0</v>
      </c>
      <c r="H69">
        <v>0</v>
      </c>
      <c r="I69">
        <v>0</v>
      </c>
      <c r="J69">
        <v>0</v>
      </c>
      <c r="K69" s="36">
        <v>0</v>
      </c>
      <c r="L69">
        <v>0</v>
      </c>
      <c r="M69">
        <v>0</v>
      </c>
      <c r="N69">
        <v>0</v>
      </c>
      <c r="P69" s="3">
        <v>450</v>
      </c>
      <c r="Q69" s="3">
        <v>9</v>
      </c>
      <c r="R69" s="3">
        <v>4</v>
      </c>
      <c r="S69">
        <v>0</v>
      </c>
      <c r="T69">
        <v>0</v>
      </c>
      <c r="U69">
        <v>0</v>
      </c>
      <c r="V69" s="36">
        <v>0</v>
      </c>
      <c r="W69">
        <v>0</v>
      </c>
      <c r="X69">
        <v>0</v>
      </c>
      <c r="Y69">
        <v>0</v>
      </c>
      <c r="Z69" s="36">
        <v>0</v>
      </c>
      <c r="AA69">
        <v>0</v>
      </c>
      <c r="AB69">
        <v>0</v>
      </c>
      <c r="AC69">
        <v>0</v>
      </c>
      <c r="AE69" s="3">
        <v>450</v>
      </c>
      <c r="AF69" s="3">
        <v>9</v>
      </c>
      <c r="AG69" s="3">
        <v>4</v>
      </c>
      <c r="AH69">
        <v>102.3</v>
      </c>
      <c r="AI69">
        <v>414.1</v>
      </c>
      <c r="AJ69">
        <v>99</v>
      </c>
      <c r="AK69" s="36">
        <v>443.3</v>
      </c>
      <c r="AL69">
        <v>101.3</v>
      </c>
      <c r="AM69">
        <v>100.8</v>
      </c>
      <c r="AN69">
        <v>2.0299999999999999E-2</v>
      </c>
      <c r="AO69" s="36">
        <v>445.3</v>
      </c>
      <c r="AP69">
        <v>0.02</v>
      </c>
      <c r="AQ69">
        <v>360</v>
      </c>
      <c r="AR69">
        <v>2.0199999999999999E-2</v>
      </c>
      <c r="AT69" s="3">
        <v>450</v>
      </c>
      <c r="AU69" s="3">
        <v>9</v>
      </c>
      <c r="AV69" s="3">
        <v>4</v>
      </c>
      <c r="AW69">
        <v>102.3</v>
      </c>
      <c r="AX69">
        <v>414.1</v>
      </c>
      <c r="AY69">
        <v>99</v>
      </c>
      <c r="AZ69" s="36">
        <v>443.3</v>
      </c>
      <c r="BA69">
        <v>101.3</v>
      </c>
      <c r="BB69">
        <v>100.8</v>
      </c>
      <c r="BC69">
        <v>2.0299999999999999E-2</v>
      </c>
      <c r="BD69" s="36">
        <v>445.3</v>
      </c>
      <c r="BE69">
        <v>0.02</v>
      </c>
      <c r="BF69">
        <v>360</v>
      </c>
      <c r="BG69">
        <v>2.0199999999999999E-2</v>
      </c>
    </row>
    <row r="70" spans="1:59" x14ac:dyDescent="0.25">
      <c r="A70" s="3">
        <v>450</v>
      </c>
      <c r="B70" s="3">
        <v>10</v>
      </c>
      <c r="C70" s="3">
        <v>1</v>
      </c>
      <c r="D70">
        <v>0</v>
      </c>
      <c r="E70">
        <v>0</v>
      </c>
      <c r="F70">
        <v>0</v>
      </c>
      <c r="G70" s="36">
        <v>0</v>
      </c>
      <c r="H70">
        <v>0</v>
      </c>
      <c r="I70">
        <v>0</v>
      </c>
      <c r="J70">
        <v>0</v>
      </c>
      <c r="K70" s="36">
        <v>0</v>
      </c>
      <c r="L70">
        <v>0</v>
      </c>
      <c r="M70">
        <v>0</v>
      </c>
      <c r="N70">
        <v>0</v>
      </c>
      <c r="P70" s="3">
        <v>450</v>
      </c>
      <c r="Q70" s="3">
        <v>10</v>
      </c>
      <c r="R70" s="3">
        <v>1</v>
      </c>
      <c r="S70">
        <v>0</v>
      </c>
      <c r="T70">
        <v>0</v>
      </c>
      <c r="U70">
        <v>0</v>
      </c>
      <c r="V70" s="36">
        <v>0</v>
      </c>
      <c r="W70">
        <v>0</v>
      </c>
      <c r="X70">
        <v>0</v>
      </c>
      <c r="Y70">
        <v>0</v>
      </c>
      <c r="Z70" s="36">
        <v>0</v>
      </c>
      <c r="AA70">
        <v>0</v>
      </c>
      <c r="AB70">
        <v>0</v>
      </c>
      <c r="AC70">
        <v>0</v>
      </c>
      <c r="AE70" s="3">
        <v>450</v>
      </c>
      <c r="AF70" s="3">
        <v>10</v>
      </c>
      <c r="AG70" s="3">
        <v>1</v>
      </c>
      <c r="AH70">
        <v>94.4</v>
      </c>
      <c r="AI70">
        <v>445.3</v>
      </c>
      <c r="AJ70">
        <v>92.5</v>
      </c>
      <c r="AK70" s="36">
        <v>390.1</v>
      </c>
      <c r="AL70">
        <v>93.2</v>
      </c>
      <c r="AM70">
        <v>93.4</v>
      </c>
      <c r="AN70">
        <v>1.9699999999999999E-2</v>
      </c>
      <c r="AO70" s="36">
        <v>424.9</v>
      </c>
      <c r="AP70">
        <v>1.9400000000000001E-2</v>
      </c>
      <c r="AQ70">
        <v>360</v>
      </c>
      <c r="AR70">
        <v>1.9699999999999999E-2</v>
      </c>
      <c r="AT70" s="3">
        <v>450</v>
      </c>
      <c r="AU70" s="3">
        <v>10</v>
      </c>
      <c r="AV70" s="3">
        <v>1</v>
      </c>
      <c r="AW70">
        <v>94.4</v>
      </c>
      <c r="AX70">
        <v>445.3</v>
      </c>
      <c r="AY70">
        <v>92.5</v>
      </c>
      <c r="AZ70" s="36">
        <v>390.1</v>
      </c>
      <c r="BA70">
        <v>93.2</v>
      </c>
      <c r="BB70">
        <v>93.4</v>
      </c>
      <c r="BC70">
        <v>1.9699999999999999E-2</v>
      </c>
      <c r="BD70" s="36">
        <v>424.9</v>
      </c>
      <c r="BE70">
        <v>1.9400000000000001E-2</v>
      </c>
      <c r="BF70">
        <v>360</v>
      </c>
      <c r="BG70">
        <v>1.9699999999999999E-2</v>
      </c>
    </row>
    <row r="71" spans="1:59" x14ac:dyDescent="0.25">
      <c r="A71" s="3">
        <v>450</v>
      </c>
      <c r="B71" s="3">
        <v>10</v>
      </c>
      <c r="C71" s="3">
        <v>2</v>
      </c>
      <c r="D71">
        <v>0</v>
      </c>
      <c r="E71">
        <v>0</v>
      </c>
      <c r="F71">
        <v>0</v>
      </c>
      <c r="G71" s="36">
        <v>0</v>
      </c>
      <c r="H71">
        <v>0</v>
      </c>
      <c r="I71">
        <v>0</v>
      </c>
      <c r="J71">
        <v>0</v>
      </c>
      <c r="K71" s="36">
        <v>0</v>
      </c>
      <c r="L71">
        <v>0</v>
      </c>
      <c r="M71">
        <v>0</v>
      </c>
      <c r="N71">
        <v>0</v>
      </c>
      <c r="P71" s="3">
        <v>450</v>
      </c>
      <c r="Q71" s="3">
        <v>10</v>
      </c>
      <c r="R71" s="3">
        <v>2</v>
      </c>
      <c r="S71">
        <v>0</v>
      </c>
      <c r="T71">
        <v>0</v>
      </c>
      <c r="U71">
        <v>0</v>
      </c>
      <c r="V71" s="36">
        <v>0</v>
      </c>
      <c r="W71">
        <v>0</v>
      </c>
      <c r="X71">
        <v>0</v>
      </c>
      <c r="Y71">
        <v>0</v>
      </c>
      <c r="Z71" s="36">
        <v>0</v>
      </c>
      <c r="AA71">
        <v>0</v>
      </c>
      <c r="AB71">
        <v>0</v>
      </c>
      <c r="AC71">
        <v>0</v>
      </c>
      <c r="AE71" s="3">
        <v>450</v>
      </c>
      <c r="AF71" s="3">
        <v>10</v>
      </c>
      <c r="AG71" s="3">
        <v>2</v>
      </c>
      <c r="AH71">
        <v>96.8</v>
      </c>
      <c r="AI71">
        <v>444.9</v>
      </c>
      <c r="AJ71">
        <v>95.1</v>
      </c>
      <c r="AK71" s="36">
        <v>390.9</v>
      </c>
      <c r="AL71">
        <v>95.7</v>
      </c>
      <c r="AM71">
        <v>95.9</v>
      </c>
      <c r="AN71">
        <v>1.9800000000000002E-2</v>
      </c>
      <c r="AO71" s="36">
        <v>444.5</v>
      </c>
      <c r="AP71">
        <v>1.9300000000000001E-2</v>
      </c>
      <c r="AQ71">
        <v>360</v>
      </c>
      <c r="AR71">
        <v>1.95E-2</v>
      </c>
      <c r="AT71" s="3">
        <v>450</v>
      </c>
      <c r="AU71" s="3">
        <v>10</v>
      </c>
      <c r="AV71" s="3">
        <v>2</v>
      </c>
      <c r="AW71">
        <v>96.8</v>
      </c>
      <c r="AX71">
        <v>444.9</v>
      </c>
      <c r="AY71">
        <v>95.1</v>
      </c>
      <c r="AZ71" s="36">
        <v>390.9</v>
      </c>
      <c r="BA71">
        <v>95.7</v>
      </c>
      <c r="BB71">
        <v>95.9</v>
      </c>
      <c r="BC71">
        <v>1.9800000000000002E-2</v>
      </c>
      <c r="BD71" s="36">
        <v>444.5</v>
      </c>
      <c r="BE71">
        <v>1.9300000000000001E-2</v>
      </c>
      <c r="BF71">
        <v>360</v>
      </c>
      <c r="BG71">
        <v>1.95E-2</v>
      </c>
    </row>
    <row r="72" spans="1:59" x14ac:dyDescent="0.25">
      <c r="A72" s="3">
        <v>450</v>
      </c>
      <c r="B72" s="3">
        <v>11</v>
      </c>
      <c r="C72" s="3">
        <v>1</v>
      </c>
      <c r="D72">
        <v>0</v>
      </c>
      <c r="E72">
        <v>0</v>
      </c>
      <c r="F72">
        <v>0</v>
      </c>
      <c r="G72" s="36">
        <v>0</v>
      </c>
      <c r="H72">
        <v>0</v>
      </c>
      <c r="I72">
        <v>0</v>
      </c>
      <c r="J72">
        <v>0</v>
      </c>
      <c r="K72" s="36">
        <v>0</v>
      </c>
      <c r="L72">
        <v>0</v>
      </c>
      <c r="M72">
        <v>0</v>
      </c>
      <c r="N72">
        <v>0</v>
      </c>
      <c r="P72" s="3">
        <v>450</v>
      </c>
      <c r="Q72" s="3">
        <v>11</v>
      </c>
      <c r="R72" s="3">
        <v>1</v>
      </c>
      <c r="S72">
        <v>0</v>
      </c>
      <c r="T72">
        <v>0</v>
      </c>
      <c r="U72">
        <v>0</v>
      </c>
      <c r="V72" s="36">
        <v>0</v>
      </c>
      <c r="W72">
        <v>0</v>
      </c>
      <c r="X72">
        <v>0</v>
      </c>
      <c r="Y72">
        <v>0</v>
      </c>
      <c r="Z72" s="36">
        <v>0</v>
      </c>
      <c r="AA72">
        <v>0</v>
      </c>
      <c r="AB72">
        <v>0</v>
      </c>
      <c r="AC72">
        <v>0</v>
      </c>
      <c r="AE72" s="3">
        <v>450</v>
      </c>
      <c r="AF72" s="3">
        <v>11</v>
      </c>
      <c r="AG72" s="3">
        <v>1</v>
      </c>
      <c r="AH72">
        <v>100.7</v>
      </c>
      <c r="AI72">
        <v>365.7</v>
      </c>
      <c r="AJ72">
        <v>97.6</v>
      </c>
      <c r="AK72" s="36">
        <v>441.7</v>
      </c>
      <c r="AL72">
        <v>100.1</v>
      </c>
      <c r="AM72">
        <v>99.8</v>
      </c>
      <c r="AN72">
        <v>2.0299999999999999E-2</v>
      </c>
      <c r="AO72" s="36">
        <v>449.7</v>
      </c>
      <c r="AP72">
        <v>2.0199999999999999E-2</v>
      </c>
      <c r="AQ72">
        <v>390.5</v>
      </c>
      <c r="AR72">
        <v>2.0199999999999999E-2</v>
      </c>
      <c r="AT72" s="3">
        <v>450</v>
      </c>
      <c r="AU72" s="3">
        <v>11</v>
      </c>
      <c r="AV72" s="3">
        <v>1</v>
      </c>
      <c r="AW72">
        <v>100.7</v>
      </c>
      <c r="AX72">
        <v>365.7</v>
      </c>
      <c r="AY72">
        <v>97.6</v>
      </c>
      <c r="AZ72" s="36">
        <v>441.7</v>
      </c>
      <c r="BA72">
        <v>100.1</v>
      </c>
      <c r="BB72">
        <v>99.8</v>
      </c>
      <c r="BC72">
        <v>2.0299999999999999E-2</v>
      </c>
      <c r="BD72" s="36">
        <v>449.7</v>
      </c>
      <c r="BE72">
        <v>2.0199999999999999E-2</v>
      </c>
      <c r="BF72">
        <v>390.5</v>
      </c>
      <c r="BG72">
        <v>2.0199999999999999E-2</v>
      </c>
    </row>
    <row r="73" spans="1:59" x14ac:dyDescent="0.25">
      <c r="A73" s="3">
        <v>450</v>
      </c>
      <c r="B73" s="3">
        <v>12</v>
      </c>
      <c r="C73" s="3">
        <v>1</v>
      </c>
      <c r="D73">
        <v>0</v>
      </c>
      <c r="E73">
        <v>0</v>
      </c>
      <c r="F73">
        <v>0</v>
      </c>
      <c r="G73" s="36">
        <v>0</v>
      </c>
      <c r="H73">
        <v>0</v>
      </c>
      <c r="I73">
        <v>0</v>
      </c>
      <c r="J73">
        <v>0</v>
      </c>
      <c r="K73" s="36">
        <v>0</v>
      </c>
      <c r="L73">
        <v>0</v>
      </c>
      <c r="M73">
        <v>0</v>
      </c>
      <c r="N73">
        <v>0</v>
      </c>
      <c r="P73" s="3">
        <v>450</v>
      </c>
      <c r="Q73" s="3">
        <v>12</v>
      </c>
      <c r="R73" s="3">
        <v>1</v>
      </c>
      <c r="S73">
        <v>0</v>
      </c>
      <c r="T73">
        <v>0</v>
      </c>
      <c r="U73">
        <v>0</v>
      </c>
      <c r="V73" s="36">
        <v>0</v>
      </c>
      <c r="W73">
        <v>0</v>
      </c>
      <c r="X73">
        <v>0</v>
      </c>
      <c r="Y73">
        <v>0</v>
      </c>
      <c r="Z73" s="36">
        <v>0</v>
      </c>
      <c r="AA73">
        <v>0</v>
      </c>
      <c r="AB73">
        <v>0</v>
      </c>
      <c r="AC73">
        <v>0</v>
      </c>
      <c r="AE73" s="3">
        <v>450</v>
      </c>
      <c r="AF73" s="3">
        <v>12</v>
      </c>
      <c r="AG73" s="3">
        <v>1</v>
      </c>
      <c r="AH73">
        <v>100.7</v>
      </c>
      <c r="AI73">
        <v>449.7</v>
      </c>
      <c r="AJ73">
        <v>96.5</v>
      </c>
      <c r="AK73" s="36">
        <v>439.3</v>
      </c>
      <c r="AL73">
        <v>99.1</v>
      </c>
      <c r="AM73">
        <v>98.8</v>
      </c>
      <c r="AN73">
        <v>2.0299999999999999E-2</v>
      </c>
      <c r="AO73" s="36">
        <v>449.7</v>
      </c>
      <c r="AP73">
        <v>2.0199999999999999E-2</v>
      </c>
      <c r="AQ73">
        <v>360</v>
      </c>
      <c r="AR73">
        <v>2.0299999999999999E-2</v>
      </c>
      <c r="AT73" s="3">
        <v>450</v>
      </c>
      <c r="AU73" s="3">
        <v>12</v>
      </c>
      <c r="AV73" s="3">
        <v>1</v>
      </c>
      <c r="AW73">
        <v>100.7</v>
      </c>
      <c r="AX73">
        <v>449.7</v>
      </c>
      <c r="AY73">
        <v>96.5</v>
      </c>
      <c r="AZ73" s="36">
        <v>439.3</v>
      </c>
      <c r="BA73">
        <v>99.1</v>
      </c>
      <c r="BB73">
        <v>98.8</v>
      </c>
      <c r="BC73">
        <v>2.0299999999999999E-2</v>
      </c>
      <c r="BD73" s="36">
        <v>449.7</v>
      </c>
      <c r="BE73">
        <v>2.0199999999999999E-2</v>
      </c>
      <c r="BF73">
        <v>360</v>
      </c>
      <c r="BG73">
        <v>2.0299999999999999E-2</v>
      </c>
    </row>
    <row r="74" spans="1:59" x14ac:dyDescent="0.25">
      <c r="A74" s="3">
        <v>450</v>
      </c>
      <c r="B74" s="3">
        <v>12</v>
      </c>
      <c r="C74" s="3">
        <v>2</v>
      </c>
      <c r="D74">
        <v>0</v>
      </c>
      <c r="E74">
        <v>0</v>
      </c>
      <c r="F74">
        <v>0</v>
      </c>
      <c r="G74" s="36">
        <v>0</v>
      </c>
      <c r="H74">
        <v>0</v>
      </c>
      <c r="I74">
        <v>0</v>
      </c>
      <c r="J74">
        <v>0</v>
      </c>
      <c r="K74" s="36">
        <v>0</v>
      </c>
      <c r="L74">
        <v>0</v>
      </c>
      <c r="M74">
        <v>0</v>
      </c>
      <c r="N74">
        <v>0</v>
      </c>
      <c r="P74" s="3">
        <v>450</v>
      </c>
      <c r="Q74" s="3">
        <v>12</v>
      </c>
      <c r="R74" s="3">
        <v>2</v>
      </c>
      <c r="S74">
        <v>0</v>
      </c>
      <c r="T74">
        <v>0</v>
      </c>
      <c r="U74">
        <v>0</v>
      </c>
      <c r="V74" s="36">
        <v>0</v>
      </c>
      <c r="W74">
        <v>0</v>
      </c>
      <c r="X74">
        <v>0</v>
      </c>
      <c r="Y74">
        <v>0</v>
      </c>
      <c r="Z74" s="36">
        <v>0</v>
      </c>
      <c r="AA74">
        <v>0</v>
      </c>
      <c r="AB74">
        <v>0</v>
      </c>
      <c r="AC74">
        <v>0</v>
      </c>
      <c r="AE74" s="3">
        <v>450</v>
      </c>
      <c r="AF74" s="3">
        <v>12</v>
      </c>
      <c r="AG74" s="3">
        <v>2</v>
      </c>
      <c r="AH74">
        <v>99.2</v>
      </c>
      <c r="AI74">
        <v>446.1</v>
      </c>
      <c r="AJ74">
        <v>95.3</v>
      </c>
      <c r="AK74" s="36">
        <v>436.9</v>
      </c>
      <c r="AL74">
        <v>97.5</v>
      </c>
      <c r="AM74">
        <v>97.2</v>
      </c>
      <c r="AN74">
        <v>2.0299999999999999E-2</v>
      </c>
      <c r="AO74" s="36">
        <v>444.9</v>
      </c>
      <c r="AP74">
        <v>2.0299999999999999E-2</v>
      </c>
      <c r="AQ74">
        <v>360</v>
      </c>
      <c r="AR74">
        <v>2.0299999999999999E-2</v>
      </c>
      <c r="AT74" s="3">
        <v>450</v>
      </c>
      <c r="AU74" s="3">
        <v>12</v>
      </c>
      <c r="AV74" s="3">
        <v>2</v>
      </c>
      <c r="AW74">
        <v>99.2</v>
      </c>
      <c r="AX74">
        <v>446.1</v>
      </c>
      <c r="AY74">
        <v>95.3</v>
      </c>
      <c r="AZ74" s="36">
        <v>436.9</v>
      </c>
      <c r="BA74">
        <v>97.5</v>
      </c>
      <c r="BB74">
        <v>97.2</v>
      </c>
      <c r="BC74">
        <v>2.0299999999999999E-2</v>
      </c>
      <c r="BD74" s="36">
        <v>444.9</v>
      </c>
      <c r="BE74">
        <v>2.0299999999999999E-2</v>
      </c>
      <c r="BF74">
        <v>360</v>
      </c>
      <c r="BG74">
        <v>2.0299999999999999E-2</v>
      </c>
    </row>
    <row r="75" spans="1:59" x14ac:dyDescent="0.25">
      <c r="A75" s="3">
        <v>450</v>
      </c>
      <c r="B75" s="3">
        <v>12</v>
      </c>
      <c r="C75" s="3">
        <v>3</v>
      </c>
      <c r="D75">
        <v>0</v>
      </c>
      <c r="E75">
        <v>0</v>
      </c>
      <c r="F75">
        <v>0</v>
      </c>
      <c r="G75" s="36">
        <v>0</v>
      </c>
      <c r="H75">
        <v>0</v>
      </c>
      <c r="I75">
        <v>0</v>
      </c>
      <c r="J75">
        <v>0</v>
      </c>
      <c r="K75" s="36">
        <v>0</v>
      </c>
      <c r="L75">
        <v>0</v>
      </c>
      <c r="M75">
        <v>0</v>
      </c>
      <c r="N75">
        <v>0</v>
      </c>
      <c r="P75" s="3">
        <v>450</v>
      </c>
      <c r="Q75" s="3">
        <v>12</v>
      </c>
      <c r="R75" s="3">
        <v>3</v>
      </c>
      <c r="S75">
        <v>0</v>
      </c>
      <c r="T75">
        <v>0</v>
      </c>
      <c r="U75">
        <v>0</v>
      </c>
      <c r="V75" s="36">
        <v>0</v>
      </c>
      <c r="W75">
        <v>0</v>
      </c>
      <c r="X75">
        <v>0</v>
      </c>
      <c r="Y75">
        <v>0</v>
      </c>
      <c r="Z75" s="36">
        <v>0</v>
      </c>
      <c r="AA75">
        <v>0</v>
      </c>
      <c r="AB75">
        <v>0</v>
      </c>
      <c r="AC75">
        <v>0</v>
      </c>
      <c r="AE75" s="3">
        <v>450</v>
      </c>
      <c r="AF75" s="3">
        <v>12</v>
      </c>
      <c r="AG75" s="3">
        <v>3</v>
      </c>
      <c r="AH75">
        <v>97.2</v>
      </c>
      <c r="AI75">
        <v>443.3</v>
      </c>
      <c r="AJ75">
        <v>93.8</v>
      </c>
      <c r="AK75" s="36">
        <v>434.5</v>
      </c>
      <c r="AL75">
        <v>95.5</v>
      </c>
      <c r="AM75">
        <v>95.2</v>
      </c>
      <c r="AN75">
        <v>2.0299999999999999E-2</v>
      </c>
      <c r="AO75" s="36">
        <v>414.9</v>
      </c>
      <c r="AP75">
        <v>2.0199999999999999E-2</v>
      </c>
      <c r="AQ75">
        <v>371.3</v>
      </c>
      <c r="AR75">
        <v>2.0299999999999999E-2</v>
      </c>
      <c r="AT75" s="3">
        <v>450</v>
      </c>
      <c r="AU75" s="3">
        <v>12</v>
      </c>
      <c r="AV75" s="3">
        <v>3</v>
      </c>
      <c r="AW75">
        <v>97.2</v>
      </c>
      <c r="AX75">
        <v>443.3</v>
      </c>
      <c r="AY75">
        <v>93.8</v>
      </c>
      <c r="AZ75" s="36">
        <v>434.5</v>
      </c>
      <c r="BA75">
        <v>95.5</v>
      </c>
      <c r="BB75">
        <v>95.2</v>
      </c>
      <c r="BC75">
        <v>2.0299999999999999E-2</v>
      </c>
      <c r="BD75" s="36">
        <v>414.9</v>
      </c>
      <c r="BE75">
        <v>2.0199999999999999E-2</v>
      </c>
      <c r="BF75">
        <v>371.3</v>
      </c>
      <c r="BG75">
        <v>2.0299999999999999E-2</v>
      </c>
    </row>
    <row r="76" spans="1:59" x14ac:dyDescent="0.25">
      <c r="A76" s="3">
        <v>450</v>
      </c>
      <c r="B76" s="3">
        <v>13</v>
      </c>
      <c r="C76" s="3">
        <v>1</v>
      </c>
      <c r="D76">
        <v>0</v>
      </c>
      <c r="E76">
        <v>0</v>
      </c>
      <c r="F76">
        <v>0</v>
      </c>
      <c r="G76" s="36">
        <v>0</v>
      </c>
      <c r="I76">
        <v>0</v>
      </c>
      <c r="J76">
        <v>0</v>
      </c>
      <c r="K76" s="36">
        <v>0</v>
      </c>
      <c r="L76">
        <v>0</v>
      </c>
      <c r="M76">
        <v>0</v>
      </c>
      <c r="N76">
        <v>0</v>
      </c>
      <c r="P76" s="3">
        <v>450</v>
      </c>
      <c r="Q76" s="3">
        <v>13</v>
      </c>
      <c r="R76" s="3">
        <v>1</v>
      </c>
      <c r="S76">
        <v>0</v>
      </c>
      <c r="T76">
        <v>0</v>
      </c>
      <c r="U76">
        <v>0</v>
      </c>
      <c r="V76" s="36">
        <v>0</v>
      </c>
      <c r="W76">
        <v>0</v>
      </c>
      <c r="X76">
        <v>0</v>
      </c>
      <c r="Y76">
        <v>0</v>
      </c>
      <c r="Z76" s="36">
        <v>0</v>
      </c>
      <c r="AA76">
        <v>0</v>
      </c>
      <c r="AB76">
        <v>0</v>
      </c>
      <c r="AC76">
        <v>0</v>
      </c>
      <c r="AE76" s="3">
        <v>450</v>
      </c>
      <c r="AF76" s="3">
        <v>13</v>
      </c>
      <c r="AG76" s="3">
        <v>1</v>
      </c>
      <c r="AH76">
        <v>95</v>
      </c>
      <c r="AI76">
        <v>440.9</v>
      </c>
      <c r="AJ76">
        <v>92</v>
      </c>
      <c r="AK76" s="36">
        <v>374.5</v>
      </c>
      <c r="AL76">
        <v>0</v>
      </c>
      <c r="AM76">
        <v>93</v>
      </c>
      <c r="AN76">
        <v>2.0199999999999999E-2</v>
      </c>
      <c r="AO76" s="36">
        <v>439.3</v>
      </c>
      <c r="AP76">
        <v>2.0199999999999999E-2</v>
      </c>
      <c r="AQ76">
        <v>374.5</v>
      </c>
      <c r="AR76">
        <v>2.0199999999999999E-2</v>
      </c>
      <c r="AT76" s="3">
        <v>450</v>
      </c>
      <c r="AU76" s="3">
        <v>13</v>
      </c>
      <c r="AV76" s="3">
        <v>1</v>
      </c>
      <c r="AW76">
        <v>95</v>
      </c>
      <c r="AX76">
        <v>440.9</v>
      </c>
      <c r="AY76">
        <v>92</v>
      </c>
      <c r="AZ76" s="36">
        <v>374.5</v>
      </c>
      <c r="BA76">
        <v>0</v>
      </c>
      <c r="BB76">
        <v>93</v>
      </c>
      <c r="BC76">
        <v>2.0199999999999999E-2</v>
      </c>
      <c r="BD76" s="36">
        <v>439.3</v>
      </c>
      <c r="BE76">
        <v>2.0199999999999999E-2</v>
      </c>
      <c r="BF76">
        <v>374.5</v>
      </c>
      <c r="BG76">
        <v>2.0199999999999999E-2</v>
      </c>
    </row>
    <row r="77" spans="1:59" x14ac:dyDescent="0.25">
      <c r="A77" s="3">
        <v>450</v>
      </c>
      <c r="B77" s="3">
        <v>13</v>
      </c>
      <c r="C77" s="3">
        <v>2</v>
      </c>
      <c r="D77">
        <v>0</v>
      </c>
      <c r="E77">
        <v>0</v>
      </c>
      <c r="F77">
        <v>0</v>
      </c>
      <c r="G77" s="36">
        <v>0</v>
      </c>
      <c r="I77">
        <v>0</v>
      </c>
      <c r="J77">
        <v>0</v>
      </c>
      <c r="K77" s="36">
        <v>0</v>
      </c>
      <c r="L77">
        <v>0</v>
      </c>
      <c r="M77">
        <v>0</v>
      </c>
      <c r="N77">
        <v>0</v>
      </c>
      <c r="P77" s="3">
        <v>450</v>
      </c>
      <c r="Q77" s="3">
        <v>13</v>
      </c>
      <c r="R77" s="3">
        <v>2</v>
      </c>
      <c r="S77">
        <v>0</v>
      </c>
      <c r="T77">
        <v>0</v>
      </c>
      <c r="U77">
        <v>0</v>
      </c>
      <c r="V77" s="36">
        <v>0</v>
      </c>
      <c r="W77">
        <v>0</v>
      </c>
      <c r="X77">
        <v>0</v>
      </c>
      <c r="Y77">
        <v>0</v>
      </c>
      <c r="Z77" s="36">
        <v>0</v>
      </c>
      <c r="AA77">
        <v>0</v>
      </c>
      <c r="AB77">
        <v>0</v>
      </c>
      <c r="AC77">
        <v>0</v>
      </c>
      <c r="AE77" s="3">
        <v>450</v>
      </c>
      <c r="AF77" s="3">
        <v>13</v>
      </c>
      <c r="AG77" s="3">
        <v>2</v>
      </c>
      <c r="AH77">
        <v>93.9</v>
      </c>
      <c r="AI77">
        <v>437.7</v>
      </c>
      <c r="AJ77">
        <v>91.1</v>
      </c>
      <c r="AK77" s="36">
        <v>377.3</v>
      </c>
      <c r="AL77">
        <v>0</v>
      </c>
      <c r="AM77">
        <v>92.2</v>
      </c>
      <c r="AN77">
        <v>2.0199999999999999E-2</v>
      </c>
      <c r="AO77" s="36">
        <v>436.9</v>
      </c>
      <c r="AP77">
        <v>2.0199999999999999E-2</v>
      </c>
      <c r="AQ77">
        <v>377.3</v>
      </c>
      <c r="AR77">
        <v>2.0199999999999999E-2</v>
      </c>
      <c r="AT77" s="3">
        <v>450</v>
      </c>
      <c r="AU77" s="3">
        <v>13</v>
      </c>
      <c r="AV77" s="3">
        <v>2</v>
      </c>
      <c r="AW77">
        <v>93.9</v>
      </c>
      <c r="AX77">
        <v>437.7</v>
      </c>
      <c r="AY77">
        <v>91.1</v>
      </c>
      <c r="AZ77" s="36">
        <v>377.3</v>
      </c>
      <c r="BA77">
        <v>0</v>
      </c>
      <c r="BB77">
        <v>92.2</v>
      </c>
      <c r="BC77">
        <v>2.0199999999999999E-2</v>
      </c>
      <c r="BD77" s="36">
        <v>436.9</v>
      </c>
      <c r="BE77">
        <v>2.0199999999999999E-2</v>
      </c>
      <c r="BF77">
        <v>377.3</v>
      </c>
      <c r="BG77">
        <v>2.0199999999999999E-2</v>
      </c>
    </row>
    <row r="78" spans="1:59" x14ac:dyDescent="0.25">
      <c r="A78" s="3">
        <v>450</v>
      </c>
      <c r="B78" s="3">
        <v>14</v>
      </c>
      <c r="C78" s="3">
        <v>1</v>
      </c>
      <c r="D78">
        <v>0</v>
      </c>
      <c r="E78">
        <v>0</v>
      </c>
      <c r="F78">
        <v>0</v>
      </c>
      <c r="G78" s="36">
        <v>0</v>
      </c>
      <c r="I78">
        <v>0</v>
      </c>
      <c r="J78">
        <v>0</v>
      </c>
      <c r="K78" s="36">
        <v>0</v>
      </c>
      <c r="L78">
        <v>0</v>
      </c>
      <c r="M78">
        <v>0</v>
      </c>
      <c r="N78">
        <v>0</v>
      </c>
      <c r="P78" s="3">
        <v>450</v>
      </c>
      <c r="Q78" s="3">
        <v>14</v>
      </c>
      <c r="R78" s="3">
        <v>1</v>
      </c>
      <c r="S78">
        <v>0</v>
      </c>
      <c r="T78">
        <v>0</v>
      </c>
      <c r="U78">
        <v>0</v>
      </c>
      <c r="V78" s="36">
        <v>0</v>
      </c>
      <c r="W78">
        <v>0</v>
      </c>
      <c r="X78">
        <v>0</v>
      </c>
      <c r="Y78">
        <v>0</v>
      </c>
      <c r="Z78" s="36">
        <v>0</v>
      </c>
      <c r="AA78">
        <v>0</v>
      </c>
      <c r="AB78">
        <v>0</v>
      </c>
      <c r="AC78">
        <v>0</v>
      </c>
      <c r="AE78" s="3">
        <v>450</v>
      </c>
      <c r="AF78" s="3">
        <v>14</v>
      </c>
      <c r="AG78" s="3">
        <v>1</v>
      </c>
      <c r="AH78">
        <v>92.3</v>
      </c>
      <c r="AI78">
        <v>435.3</v>
      </c>
      <c r="AJ78">
        <v>90.6</v>
      </c>
      <c r="AK78" s="36">
        <v>380.1</v>
      </c>
      <c r="AL78">
        <v>0</v>
      </c>
      <c r="AM78">
        <v>91.3</v>
      </c>
      <c r="AN78">
        <v>2.0199999999999999E-2</v>
      </c>
      <c r="AO78" s="36">
        <v>434.5</v>
      </c>
      <c r="AP78">
        <v>2.0199999999999999E-2</v>
      </c>
      <c r="AQ78">
        <v>379.3</v>
      </c>
      <c r="AR78">
        <v>2.0199999999999999E-2</v>
      </c>
      <c r="AT78" s="3">
        <v>450</v>
      </c>
      <c r="AU78" s="3">
        <v>14</v>
      </c>
      <c r="AV78" s="3">
        <v>1</v>
      </c>
      <c r="AW78">
        <v>92.3</v>
      </c>
      <c r="AX78">
        <v>435.3</v>
      </c>
      <c r="AY78">
        <v>90.6</v>
      </c>
      <c r="AZ78" s="36">
        <v>380.1</v>
      </c>
      <c r="BA78">
        <v>0</v>
      </c>
      <c r="BB78">
        <v>91.3</v>
      </c>
      <c r="BC78">
        <v>2.0199999999999999E-2</v>
      </c>
      <c r="BD78" s="36">
        <v>434.5</v>
      </c>
      <c r="BE78">
        <v>2.0199999999999999E-2</v>
      </c>
      <c r="BF78">
        <v>379.3</v>
      </c>
      <c r="BG78">
        <v>2.0199999999999999E-2</v>
      </c>
    </row>
    <row r="79" spans="1:59" x14ac:dyDescent="0.25">
      <c r="A79" s="3">
        <v>450</v>
      </c>
      <c r="B79" s="3">
        <v>14</v>
      </c>
      <c r="C79" s="3">
        <v>2</v>
      </c>
      <c r="D79">
        <v>0</v>
      </c>
      <c r="E79">
        <v>0</v>
      </c>
      <c r="F79">
        <v>0</v>
      </c>
      <c r="G79" s="36">
        <v>0</v>
      </c>
      <c r="I79">
        <v>0</v>
      </c>
      <c r="J79">
        <v>0</v>
      </c>
      <c r="K79" s="36">
        <v>0</v>
      </c>
      <c r="L79">
        <v>0</v>
      </c>
      <c r="M79">
        <v>0</v>
      </c>
      <c r="N79">
        <v>0</v>
      </c>
      <c r="P79" s="3">
        <v>450</v>
      </c>
      <c r="Q79" s="3">
        <v>14</v>
      </c>
      <c r="R79" s="3">
        <v>2</v>
      </c>
      <c r="S79">
        <v>0</v>
      </c>
      <c r="T79">
        <v>0</v>
      </c>
      <c r="U79">
        <v>0</v>
      </c>
      <c r="V79" s="36">
        <v>0</v>
      </c>
      <c r="W79">
        <v>0</v>
      </c>
      <c r="X79">
        <v>0</v>
      </c>
      <c r="Y79">
        <v>0</v>
      </c>
      <c r="Z79" s="36">
        <v>0</v>
      </c>
      <c r="AA79">
        <v>0</v>
      </c>
      <c r="AB79">
        <v>0</v>
      </c>
      <c r="AC79">
        <v>0</v>
      </c>
      <c r="AE79" s="3">
        <v>450</v>
      </c>
      <c r="AF79" s="3">
        <v>14</v>
      </c>
      <c r="AG79" s="3">
        <v>2</v>
      </c>
      <c r="AH79">
        <v>91.8</v>
      </c>
      <c r="AI79">
        <v>432.1</v>
      </c>
      <c r="AJ79">
        <v>90.2</v>
      </c>
      <c r="AK79" s="36">
        <v>379.3</v>
      </c>
      <c r="AL79">
        <v>0</v>
      </c>
      <c r="AM79">
        <v>90.7</v>
      </c>
      <c r="AN79">
        <v>2.0199999999999999E-2</v>
      </c>
      <c r="AO79" s="36">
        <v>432.1</v>
      </c>
      <c r="AP79">
        <v>2.0199999999999999E-2</v>
      </c>
      <c r="AQ79">
        <v>377.3</v>
      </c>
      <c r="AR79">
        <v>2.0199999999999999E-2</v>
      </c>
      <c r="AT79" s="3">
        <v>450</v>
      </c>
      <c r="AU79" s="3">
        <v>14</v>
      </c>
      <c r="AV79" s="3">
        <v>2</v>
      </c>
      <c r="AW79">
        <v>91.8</v>
      </c>
      <c r="AX79">
        <v>432.1</v>
      </c>
      <c r="AY79">
        <v>90.2</v>
      </c>
      <c r="AZ79" s="36">
        <v>379.3</v>
      </c>
      <c r="BA79">
        <v>0</v>
      </c>
      <c r="BB79">
        <v>90.7</v>
      </c>
      <c r="BC79">
        <v>2.0199999999999999E-2</v>
      </c>
      <c r="BD79" s="36">
        <v>432.1</v>
      </c>
      <c r="BE79">
        <v>2.0199999999999999E-2</v>
      </c>
      <c r="BF79">
        <v>377.3</v>
      </c>
      <c r="BG79">
        <v>2.0199999999999999E-2</v>
      </c>
    </row>
    <row r="80" spans="1:59" x14ac:dyDescent="0.25">
      <c r="A80" s="3">
        <v>450</v>
      </c>
      <c r="B80" s="3">
        <v>103</v>
      </c>
      <c r="C80" s="3">
        <v>1</v>
      </c>
      <c r="D80">
        <v>0</v>
      </c>
      <c r="E80">
        <v>0</v>
      </c>
      <c r="F80">
        <v>0</v>
      </c>
      <c r="G80" s="36">
        <v>0</v>
      </c>
      <c r="H80">
        <v>0</v>
      </c>
      <c r="I80">
        <v>0</v>
      </c>
      <c r="J80">
        <v>0</v>
      </c>
      <c r="K80" s="36">
        <v>0</v>
      </c>
      <c r="L80">
        <v>0</v>
      </c>
      <c r="M80">
        <v>0</v>
      </c>
      <c r="N80">
        <v>0</v>
      </c>
      <c r="P80" s="3">
        <v>450</v>
      </c>
      <c r="Q80" s="3">
        <v>103</v>
      </c>
      <c r="R80" s="3">
        <v>1</v>
      </c>
      <c r="S80">
        <v>0</v>
      </c>
      <c r="T80">
        <v>0</v>
      </c>
      <c r="U80">
        <v>0</v>
      </c>
      <c r="V80" s="36">
        <v>0</v>
      </c>
      <c r="W80">
        <v>0</v>
      </c>
      <c r="X80">
        <v>0</v>
      </c>
      <c r="Y80">
        <v>0</v>
      </c>
      <c r="Z80" s="36">
        <v>0</v>
      </c>
      <c r="AA80">
        <v>0</v>
      </c>
      <c r="AB80">
        <v>0</v>
      </c>
      <c r="AC80">
        <v>0</v>
      </c>
      <c r="AE80" s="3">
        <v>450</v>
      </c>
      <c r="AF80" s="3">
        <v>103</v>
      </c>
      <c r="AG80" s="3">
        <v>1</v>
      </c>
      <c r="AH80">
        <v>91.3</v>
      </c>
      <c r="AI80">
        <v>398.9</v>
      </c>
      <c r="AJ80">
        <v>90.4</v>
      </c>
      <c r="AK80" s="36">
        <v>430.1</v>
      </c>
      <c r="AL80">
        <v>90.7</v>
      </c>
      <c r="AM80">
        <v>90.7</v>
      </c>
      <c r="AN80">
        <v>2.0199999999999999E-2</v>
      </c>
      <c r="AO80" s="36">
        <v>398.5</v>
      </c>
      <c r="AP80">
        <v>2.0199999999999999E-2</v>
      </c>
      <c r="AQ80">
        <v>429.7</v>
      </c>
      <c r="AR80">
        <v>2.0199999999999999E-2</v>
      </c>
      <c r="AT80" s="3">
        <v>450</v>
      </c>
      <c r="AU80" s="3">
        <v>103</v>
      </c>
      <c r="AV80" s="3">
        <v>1</v>
      </c>
      <c r="AW80">
        <v>91.3</v>
      </c>
      <c r="AX80">
        <v>398.9</v>
      </c>
      <c r="AY80">
        <v>90.4</v>
      </c>
      <c r="AZ80" s="36">
        <v>430.1</v>
      </c>
      <c r="BA80">
        <v>90.7</v>
      </c>
      <c r="BB80">
        <v>90.7</v>
      </c>
      <c r="BC80">
        <v>2.0199999999999999E-2</v>
      </c>
      <c r="BD80" s="36">
        <v>398.5</v>
      </c>
      <c r="BE80">
        <v>2.0199999999999999E-2</v>
      </c>
      <c r="BF80">
        <v>429.7</v>
      </c>
      <c r="BG80">
        <v>2.0199999999999999E-2</v>
      </c>
    </row>
    <row r="81" spans="1:59" x14ac:dyDescent="0.25">
      <c r="A81" s="3">
        <v>450</v>
      </c>
      <c r="B81" s="3">
        <v>104</v>
      </c>
      <c r="C81" s="3">
        <v>1</v>
      </c>
      <c r="D81">
        <v>0</v>
      </c>
      <c r="E81">
        <v>0</v>
      </c>
      <c r="F81">
        <v>0</v>
      </c>
      <c r="G81" s="36">
        <v>0</v>
      </c>
      <c r="H81">
        <v>0</v>
      </c>
      <c r="I81">
        <v>0</v>
      </c>
      <c r="J81">
        <v>0</v>
      </c>
      <c r="K81" s="36">
        <v>0</v>
      </c>
      <c r="L81">
        <v>0</v>
      </c>
      <c r="M81">
        <v>0</v>
      </c>
      <c r="N81">
        <v>0</v>
      </c>
      <c r="P81" s="3">
        <v>450</v>
      </c>
      <c r="Q81" s="3">
        <v>104</v>
      </c>
      <c r="R81" s="3">
        <v>1</v>
      </c>
      <c r="S81">
        <v>0</v>
      </c>
      <c r="T81">
        <v>0</v>
      </c>
      <c r="U81">
        <v>0</v>
      </c>
      <c r="V81" s="36">
        <v>0</v>
      </c>
      <c r="W81">
        <v>0</v>
      </c>
      <c r="X81">
        <v>0</v>
      </c>
      <c r="Y81">
        <v>0</v>
      </c>
      <c r="Z81" s="36">
        <v>0</v>
      </c>
      <c r="AA81">
        <v>0</v>
      </c>
      <c r="AB81">
        <v>0</v>
      </c>
      <c r="AC81">
        <v>0</v>
      </c>
      <c r="AE81" s="3">
        <v>450</v>
      </c>
      <c r="AF81" s="3">
        <v>104</v>
      </c>
      <c r="AG81" s="3">
        <v>1</v>
      </c>
      <c r="AH81">
        <v>95.3</v>
      </c>
      <c r="AI81">
        <v>419.7</v>
      </c>
      <c r="AJ81">
        <v>90</v>
      </c>
      <c r="AK81" s="36">
        <v>393.7</v>
      </c>
      <c r="AL81">
        <v>92.8</v>
      </c>
      <c r="AM81">
        <v>90.7</v>
      </c>
      <c r="AN81">
        <v>2.0199999999999999E-2</v>
      </c>
      <c r="AO81" s="36">
        <v>393.7</v>
      </c>
      <c r="AP81">
        <v>1.9900000000000001E-2</v>
      </c>
      <c r="AQ81">
        <v>418.1</v>
      </c>
      <c r="AR81">
        <v>2.01E-2</v>
      </c>
      <c r="AT81" s="3">
        <v>450</v>
      </c>
      <c r="AU81" s="3">
        <v>104</v>
      </c>
      <c r="AV81" s="3">
        <v>1</v>
      </c>
      <c r="AW81">
        <v>95.3</v>
      </c>
      <c r="AX81">
        <v>419.7</v>
      </c>
      <c r="AY81">
        <v>90</v>
      </c>
      <c r="AZ81" s="36">
        <v>393.7</v>
      </c>
      <c r="BA81">
        <v>92.8</v>
      </c>
      <c r="BB81">
        <v>90.7</v>
      </c>
      <c r="BC81">
        <v>2.0199999999999999E-2</v>
      </c>
      <c r="BD81" s="36">
        <v>393.7</v>
      </c>
      <c r="BE81">
        <v>1.9900000000000001E-2</v>
      </c>
      <c r="BF81">
        <v>418.1</v>
      </c>
      <c r="BG81">
        <v>2.01E-2</v>
      </c>
    </row>
    <row r="82" spans="1:59" x14ac:dyDescent="0.25">
      <c r="A82" s="3">
        <v>450</v>
      </c>
      <c r="B82" s="3">
        <v>110</v>
      </c>
      <c r="C82" s="3">
        <v>1</v>
      </c>
      <c r="D82">
        <v>0</v>
      </c>
      <c r="E82">
        <v>0</v>
      </c>
      <c r="F82">
        <v>0</v>
      </c>
      <c r="G82" s="36">
        <v>0.31838684001062489</v>
      </c>
      <c r="H82">
        <v>0</v>
      </c>
      <c r="I82">
        <v>0</v>
      </c>
      <c r="J82">
        <v>0</v>
      </c>
      <c r="K82" s="36">
        <v>0.31838684001062489</v>
      </c>
      <c r="L82">
        <v>0</v>
      </c>
      <c r="M82">
        <v>0</v>
      </c>
      <c r="N82">
        <v>0</v>
      </c>
      <c r="P82" s="3">
        <v>450</v>
      </c>
      <c r="Q82" s="3">
        <v>110</v>
      </c>
      <c r="R82" s="3">
        <v>1</v>
      </c>
      <c r="S82">
        <v>0</v>
      </c>
      <c r="T82">
        <v>0</v>
      </c>
      <c r="U82">
        <v>0</v>
      </c>
      <c r="V82" s="36">
        <v>1.200000000000045</v>
      </c>
      <c r="W82">
        <v>0</v>
      </c>
      <c r="X82">
        <v>0</v>
      </c>
      <c r="Y82">
        <v>0</v>
      </c>
      <c r="Z82" s="36">
        <v>1.200000000000045</v>
      </c>
      <c r="AA82">
        <v>0</v>
      </c>
      <c r="AB82">
        <v>0</v>
      </c>
      <c r="AC82">
        <v>0</v>
      </c>
      <c r="AE82" s="3">
        <v>450</v>
      </c>
      <c r="AF82" s="3">
        <v>110</v>
      </c>
      <c r="AG82" s="3">
        <v>1</v>
      </c>
      <c r="AH82">
        <v>94.1</v>
      </c>
      <c r="AI82">
        <v>443.3</v>
      </c>
      <c r="AJ82">
        <v>90</v>
      </c>
      <c r="AK82" s="36">
        <v>378.1</v>
      </c>
      <c r="AL82">
        <v>92.7</v>
      </c>
      <c r="AM82">
        <v>90.4</v>
      </c>
      <c r="AN82">
        <v>2.0199999999999999E-2</v>
      </c>
      <c r="AO82" s="36">
        <v>378.1</v>
      </c>
      <c r="AP82">
        <v>1.9699999999999999E-2</v>
      </c>
      <c r="AQ82">
        <v>439.3</v>
      </c>
      <c r="AR82">
        <v>0.02</v>
      </c>
      <c r="AT82" s="3">
        <v>450</v>
      </c>
      <c r="AU82" s="3">
        <v>110</v>
      </c>
      <c r="AV82" s="3">
        <v>1</v>
      </c>
      <c r="AW82">
        <v>94.1</v>
      </c>
      <c r="AX82">
        <v>443.3</v>
      </c>
      <c r="AY82">
        <v>90</v>
      </c>
      <c r="AZ82" s="36">
        <v>376.9</v>
      </c>
      <c r="BA82">
        <v>92.7</v>
      </c>
      <c r="BB82">
        <v>90.4</v>
      </c>
      <c r="BC82">
        <v>2.0199999999999999E-2</v>
      </c>
      <c r="BD82" s="36">
        <v>376.9</v>
      </c>
      <c r="BE82">
        <v>1.9699999999999999E-2</v>
      </c>
      <c r="BF82">
        <v>439.3</v>
      </c>
      <c r="BG82">
        <v>0.02</v>
      </c>
    </row>
    <row r="83" spans="1:59" x14ac:dyDescent="0.25">
      <c r="A83" s="3">
        <v>450</v>
      </c>
      <c r="B83" s="3">
        <v>114</v>
      </c>
      <c r="C83" s="3">
        <v>1</v>
      </c>
      <c r="D83">
        <v>0</v>
      </c>
      <c r="E83">
        <v>0</v>
      </c>
      <c r="F83">
        <v>0</v>
      </c>
      <c r="G83" s="36">
        <v>0</v>
      </c>
      <c r="H83">
        <v>0</v>
      </c>
      <c r="J83">
        <v>0</v>
      </c>
      <c r="K83" s="36">
        <v>0</v>
      </c>
      <c r="L83">
        <v>0</v>
      </c>
      <c r="M83">
        <v>0</v>
      </c>
      <c r="N83">
        <v>0</v>
      </c>
      <c r="P83" s="3">
        <v>450</v>
      </c>
      <c r="Q83" s="3">
        <v>114</v>
      </c>
      <c r="R83" s="3">
        <v>1</v>
      </c>
      <c r="S83">
        <v>0</v>
      </c>
      <c r="T83">
        <v>0</v>
      </c>
      <c r="U83">
        <v>0</v>
      </c>
      <c r="V83" s="36">
        <v>0</v>
      </c>
      <c r="W83">
        <v>0</v>
      </c>
      <c r="X83">
        <v>0</v>
      </c>
      <c r="Y83">
        <v>0</v>
      </c>
      <c r="Z83" s="36">
        <v>0</v>
      </c>
      <c r="AA83">
        <v>0</v>
      </c>
      <c r="AB83">
        <v>0</v>
      </c>
      <c r="AC83">
        <v>0</v>
      </c>
      <c r="AE83" s="3">
        <v>450</v>
      </c>
      <c r="AF83" s="3">
        <v>114</v>
      </c>
      <c r="AG83" s="3">
        <v>1</v>
      </c>
      <c r="AH83">
        <v>95.1</v>
      </c>
      <c r="AI83">
        <v>408.1</v>
      </c>
      <c r="AJ83">
        <v>92.1</v>
      </c>
      <c r="AK83" s="36">
        <v>376.5</v>
      </c>
      <c r="AL83">
        <v>93.5</v>
      </c>
      <c r="AM83">
        <v>0</v>
      </c>
      <c r="AN83">
        <v>2.0299999999999999E-2</v>
      </c>
      <c r="AO83" s="36">
        <v>408.1</v>
      </c>
      <c r="AP83">
        <v>2.0199999999999999E-2</v>
      </c>
      <c r="AQ83">
        <v>376.1</v>
      </c>
      <c r="AR83">
        <v>2.0199999999999999E-2</v>
      </c>
      <c r="AT83" s="3">
        <v>450</v>
      </c>
      <c r="AU83" s="3">
        <v>114</v>
      </c>
      <c r="AV83" s="3">
        <v>1</v>
      </c>
      <c r="AW83">
        <v>95.1</v>
      </c>
      <c r="AX83">
        <v>408.1</v>
      </c>
      <c r="AY83">
        <v>92.1</v>
      </c>
      <c r="AZ83" s="36">
        <v>376.5</v>
      </c>
      <c r="BA83">
        <v>93.5</v>
      </c>
      <c r="BB83">
        <v>0</v>
      </c>
      <c r="BC83">
        <v>2.0299999999999999E-2</v>
      </c>
      <c r="BD83" s="36">
        <v>408.1</v>
      </c>
      <c r="BE83">
        <v>2.0199999999999999E-2</v>
      </c>
      <c r="BF83">
        <v>376.1</v>
      </c>
      <c r="BG83">
        <v>2.0199999999999999E-2</v>
      </c>
    </row>
    <row r="84" spans="1:59" x14ac:dyDescent="0.25">
      <c r="A84" s="3">
        <v>720</v>
      </c>
      <c r="B84" s="3">
        <v>1</v>
      </c>
      <c r="C84" s="3">
        <v>1</v>
      </c>
      <c r="D84">
        <v>0</v>
      </c>
      <c r="E84">
        <v>0</v>
      </c>
      <c r="F84">
        <v>0</v>
      </c>
      <c r="G84" s="36">
        <v>0</v>
      </c>
      <c r="H84">
        <v>0</v>
      </c>
      <c r="J84">
        <v>0</v>
      </c>
      <c r="K84" s="36">
        <v>0</v>
      </c>
      <c r="L84">
        <v>0</v>
      </c>
      <c r="M84">
        <v>5.743000717874764E-2</v>
      </c>
      <c r="N84">
        <v>0</v>
      </c>
      <c r="P84" s="3">
        <v>720</v>
      </c>
      <c r="Q84" s="3">
        <v>1</v>
      </c>
      <c r="R84" s="3">
        <v>1</v>
      </c>
      <c r="S84">
        <v>0</v>
      </c>
      <c r="T84">
        <v>0</v>
      </c>
      <c r="U84">
        <v>0</v>
      </c>
      <c r="V84" s="36">
        <v>0</v>
      </c>
      <c r="W84">
        <v>0</v>
      </c>
      <c r="X84">
        <v>0</v>
      </c>
      <c r="Y84">
        <v>0</v>
      </c>
      <c r="Z84" s="36">
        <v>0</v>
      </c>
      <c r="AA84">
        <v>0</v>
      </c>
      <c r="AB84">
        <v>0.39999999999997732</v>
      </c>
      <c r="AC84">
        <v>0</v>
      </c>
      <c r="AE84" s="3">
        <v>720</v>
      </c>
      <c r="AF84" s="3">
        <v>1</v>
      </c>
      <c r="AG84" s="3">
        <v>1</v>
      </c>
      <c r="AH84">
        <v>91.6</v>
      </c>
      <c r="AI84">
        <v>661.7</v>
      </c>
      <c r="AJ84">
        <v>89.3</v>
      </c>
      <c r="AK84" s="36">
        <v>651.29999999999995</v>
      </c>
      <c r="AL84">
        <v>89.6</v>
      </c>
      <c r="AM84">
        <v>0</v>
      </c>
      <c r="AN84">
        <v>2.0199999999999999E-2</v>
      </c>
      <c r="AO84" s="36">
        <v>661.3</v>
      </c>
      <c r="AP84">
        <v>2.0199999999999999E-2</v>
      </c>
      <c r="AQ84">
        <v>696.9</v>
      </c>
      <c r="AR84">
        <v>2.0199999999999999E-2</v>
      </c>
      <c r="AT84" s="3">
        <v>720</v>
      </c>
      <c r="AU84" s="3">
        <v>1</v>
      </c>
      <c r="AV84" s="3">
        <v>1</v>
      </c>
      <c r="AW84">
        <v>91.6</v>
      </c>
      <c r="AX84">
        <v>661.7</v>
      </c>
      <c r="AY84">
        <v>89.3</v>
      </c>
      <c r="AZ84" s="36">
        <v>651.29999999999995</v>
      </c>
      <c r="BA84">
        <v>89.6</v>
      </c>
      <c r="BB84">
        <v>0</v>
      </c>
      <c r="BC84">
        <v>2.0199999999999999E-2</v>
      </c>
      <c r="BD84" s="36">
        <v>661.3</v>
      </c>
      <c r="BE84">
        <v>2.0199999999999999E-2</v>
      </c>
      <c r="BF84">
        <v>696.5</v>
      </c>
      <c r="BG84">
        <v>2.0199999999999999E-2</v>
      </c>
    </row>
    <row r="85" spans="1:59" x14ac:dyDescent="0.25">
      <c r="A85" s="3">
        <v>720</v>
      </c>
      <c r="B85" s="3">
        <v>2</v>
      </c>
      <c r="C85" s="3">
        <v>1</v>
      </c>
      <c r="D85">
        <v>0</v>
      </c>
      <c r="E85">
        <v>0</v>
      </c>
      <c r="F85">
        <v>0</v>
      </c>
      <c r="G85" s="36">
        <v>0</v>
      </c>
      <c r="H85">
        <v>0</v>
      </c>
      <c r="J85">
        <v>0</v>
      </c>
      <c r="K85" s="36">
        <v>0</v>
      </c>
      <c r="L85">
        <v>0</v>
      </c>
      <c r="M85">
        <v>0</v>
      </c>
      <c r="N85">
        <v>0</v>
      </c>
      <c r="P85" s="3">
        <v>720</v>
      </c>
      <c r="Q85" s="3">
        <v>2</v>
      </c>
      <c r="R85" s="3">
        <v>1</v>
      </c>
      <c r="S85">
        <v>0</v>
      </c>
      <c r="T85">
        <v>0</v>
      </c>
      <c r="U85">
        <v>0</v>
      </c>
      <c r="V85" s="36">
        <v>0</v>
      </c>
      <c r="W85">
        <v>0</v>
      </c>
      <c r="X85">
        <v>0</v>
      </c>
      <c r="Y85">
        <v>0</v>
      </c>
      <c r="Z85" s="36">
        <v>0</v>
      </c>
      <c r="AA85">
        <v>0</v>
      </c>
      <c r="AB85">
        <v>0</v>
      </c>
      <c r="AC85">
        <v>0</v>
      </c>
      <c r="AE85" s="3">
        <v>720</v>
      </c>
      <c r="AF85" s="3">
        <v>2</v>
      </c>
      <c r="AG85" s="3">
        <v>1</v>
      </c>
      <c r="AH85">
        <v>92.1</v>
      </c>
      <c r="AI85">
        <v>663.3</v>
      </c>
      <c r="AJ85">
        <v>88.7</v>
      </c>
      <c r="AK85" s="36">
        <v>655.29999999999995</v>
      </c>
      <c r="AL85">
        <v>89.2</v>
      </c>
      <c r="AM85">
        <v>0</v>
      </c>
      <c r="AN85">
        <v>2.0199999999999999E-2</v>
      </c>
      <c r="AO85" s="36">
        <v>662.9</v>
      </c>
      <c r="AP85">
        <v>2.0199999999999999E-2</v>
      </c>
      <c r="AQ85">
        <v>704.5</v>
      </c>
      <c r="AR85">
        <v>2.0199999999999999E-2</v>
      </c>
      <c r="AT85" s="3">
        <v>720</v>
      </c>
      <c r="AU85" s="3">
        <v>2</v>
      </c>
      <c r="AV85" s="3">
        <v>1</v>
      </c>
      <c r="AW85">
        <v>92.1</v>
      </c>
      <c r="AX85">
        <v>663.3</v>
      </c>
      <c r="AY85">
        <v>88.7</v>
      </c>
      <c r="AZ85" s="36">
        <v>655.29999999999995</v>
      </c>
      <c r="BA85">
        <v>89.2</v>
      </c>
      <c r="BB85">
        <v>0</v>
      </c>
      <c r="BC85">
        <v>2.0199999999999999E-2</v>
      </c>
      <c r="BD85" s="36">
        <v>662.9</v>
      </c>
      <c r="BE85">
        <v>2.0199999999999999E-2</v>
      </c>
      <c r="BF85">
        <v>704.5</v>
      </c>
      <c r="BG85">
        <v>2.0199999999999999E-2</v>
      </c>
    </row>
    <row r="86" spans="1:59" x14ac:dyDescent="0.25">
      <c r="A86" s="3">
        <v>720</v>
      </c>
      <c r="B86" s="3">
        <v>3</v>
      </c>
      <c r="C86" s="3">
        <v>1</v>
      </c>
      <c r="D86">
        <v>0</v>
      </c>
      <c r="E86">
        <v>0</v>
      </c>
      <c r="F86">
        <v>0</v>
      </c>
      <c r="G86" s="36">
        <v>0</v>
      </c>
      <c r="H86">
        <v>0</v>
      </c>
      <c r="J86">
        <v>0</v>
      </c>
      <c r="K86" s="36">
        <v>0</v>
      </c>
      <c r="L86">
        <v>0</v>
      </c>
      <c r="M86">
        <v>0</v>
      </c>
      <c r="N86">
        <v>0</v>
      </c>
      <c r="P86" s="3">
        <v>720</v>
      </c>
      <c r="Q86" s="3">
        <v>3</v>
      </c>
      <c r="R86" s="3">
        <v>1</v>
      </c>
      <c r="S86">
        <v>0</v>
      </c>
      <c r="T86">
        <v>0</v>
      </c>
      <c r="U86">
        <v>0</v>
      </c>
      <c r="V86" s="36">
        <v>0</v>
      </c>
      <c r="W86">
        <v>0</v>
      </c>
      <c r="X86">
        <v>0</v>
      </c>
      <c r="Y86">
        <v>0</v>
      </c>
      <c r="Z86" s="36">
        <v>0</v>
      </c>
      <c r="AA86">
        <v>0</v>
      </c>
      <c r="AB86">
        <v>0</v>
      </c>
      <c r="AC86">
        <v>0</v>
      </c>
      <c r="AE86" s="3">
        <v>720</v>
      </c>
      <c r="AF86" s="3">
        <v>3</v>
      </c>
      <c r="AG86" s="3">
        <v>1</v>
      </c>
      <c r="AH86">
        <v>92.4</v>
      </c>
      <c r="AI86">
        <v>665.7</v>
      </c>
      <c r="AJ86">
        <v>87.8</v>
      </c>
      <c r="AK86" s="36">
        <v>656.9</v>
      </c>
      <c r="AL86">
        <v>88.7</v>
      </c>
      <c r="AM86">
        <v>0</v>
      </c>
      <c r="AN86">
        <v>2.0199999999999999E-2</v>
      </c>
      <c r="AO86" s="36">
        <v>664.9</v>
      </c>
      <c r="AP86">
        <v>2.0199999999999999E-2</v>
      </c>
      <c r="AQ86">
        <v>632.5</v>
      </c>
      <c r="AR86">
        <v>2.0199999999999999E-2</v>
      </c>
      <c r="AT86" s="3">
        <v>720</v>
      </c>
      <c r="AU86" s="3">
        <v>3</v>
      </c>
      <c r="AV86" s="3">
        <v>1</v>
      </c>
      <c r="AW86">
        <v>92.4</v>
      </c>
      <c r="AX86">
        <v>665.7</v>
      </c>
      <c r="AY86">
        <v>87.8</v>
      </c>
      <c r="AZ86" s="36">
        <v>656.9</v>
      </c>
      <c r="BA86">
        <v>88.7</v>
      </c>
      <c r="BB86">
        <v>0</v>
      </c>
      <c r="BC86">
        <v>2.0199999999999999E-2</v>
      </c>
      <c r="BD86" s="36">
        <v>664.9</v>
      </c>
      <c r="BE86">
        <v>2.0199999999999999E-2</v>
      </c>
      <c r="BF86">
        <v>632.5</v>
      </c>
      <c r="BG86">
        <v>2.0199999999999999E-2</v>
      </c>
    </row>
    <row r="87" spans="1:59" x14ac:dyDescent="0.25">
      <c r="A87" s="3">
        <v>720</v>
      </c>
      <c r="B87" s="3">
        <v>3</v>
      </c>
      <c r="C87" s="3">
        <v>2</v>
      </c>
      <c r="D87">
        <v>0</v>
      </c>
      <c r="E87">
        <v>0</v>
      </c>
      <c r="F87">
        <v>0</v>
      </c>
      <c r="G87" s="36">
        <v>0</v>
      </c>
      <c r="H87">
        <v>0</v>
      </c>
      <c r="J87">
        <v>0</v>
      </c>
      <c r="K87" s="36">
        <v>0</v>
      </c>
      <c r="L87">
        <v>0</v>
      </c>
      <c r="M87">
        <v>0</v>
      </c>
      <c r="N87">
        <v>0</v>
      </c>
      <c r="P87" s="3">
        <v>720</v>
      </c>
      <c r="Q87" s="3">
        <v>3</v>
      </c>
      <c r="R87" s="3">
        <v>2</v>
      </c>
      <c r="S87">
        <v>0</v>
      </c>
      <c r="T87">
        <v>0</v>
      </c>
      <c r="U87">
        <v>0</v>
      </c>
      <c r="V87" s="36">
        <v>0</v>
      </c>
      <c r="W87">
        <v>0</v>
      </c>
      <c r="X87">
        <v>0</v>
      </c>
      <c r="Y87">
        <v>0</v>
      </c>
      <c r="Z87" s="36">
        <v>0</v>
      </c>
      <c r="AA87">
        <v>0</v>
      </c>
      <c r="AB87">
        <v>0</v>
      </c>
      <c r="AC87">
        <v>0</v>
      </c>
      <c r="AE87" s="3">
        <v>720</v>
      </c>
      <c r="AF87" s="3">
        <v>3</v>
      </c>
      <c r="AG87" s="3">
        <v>2</v>
      </c>
      <c r="AH87">
        <v>92.3</v>
      </c>
      <c r="AI87">
        <v>668.9</v>
      </c>
      <c r="AJ87">
        <v>87.2</v>
      </c>
      <c r="AK87" s="36">
        <v>659.7</v>
      </c>
      <c r="AL87">
        <v>88.4</v>
      </c>
      <c r="AM87">
        <v>0</v>
      </c>
      <c r="AN87">
        <v>2.0299999999999999E-2</v>
      </c>
      <c r="AO87" s="36">
        <v>667.7</v>
      </c>
      <c r="AP87">
        <v>2.0199999999999999E-2</v>
      </c>
      <c r="AQ87">
        <v>658.5</v>
      </c>
      <c r="AR87">
        <v>2.0199999999999999E-2</v>
      </c>
      <c r="AT87" s="3">
        <v>720</v>
      </c>
      <c r="AU87" s="3">
        <v>3</v>
      </c>
      <c r="AV87" s="3">
        <v>2</v>
      </c>
      <c r="AW87">
        <v>92.3</v>
      </c>
      <c r="AX87">
        <v>668.9</v>
      </c>
      <c r="AY87">
        <v>87.2</v>
      </c>
      <c r="AZ87" s="36">
        <v>659.7</v>
      </c>
      <c r="BA87">
        <v>88.4</v>
      </c>
      <c r="BB87">
        <v>0</v>
      </c>
      <c r="BC87">
        <v>2.0299999999999999E-2</v>
      </c>
      <c r="BD87" s="36">
        <v>667.7</v>
      </c>
      <c r="BE87">
        <v>2.0199999999999999E-2</v>
      </c>
      <c r="BF87">
        <v>658.5</v>
      </c>
      <c r="BG87">
        <v>2.0199999999999999E-2</v>
      </c>
    </row>
    <row r="88" spans="1:59" x14ac:dyDescent="0.25">
      <c r="A88" s="3">
        <v>720</v>
      </c>
      <c r="B88" s="3">
        <v>4</v>
      </c>
      <c r="C88" s="3">
        <v>1</v>
      </c>
      <c r="D88">
        <v>0</v>
      </c>
      <c r="E88">
        <v>0</v>
      </c>
      <c r="F88">
        <v>0</v>
      </c>
      <c r="G88" s="36">
        <v>0</v>
      </c>
      <c r="I88">
        <v>0</v>
      </c>
      <c r="J88">
        <v>0</v>
      </c>
      <c r="K88" s="36">
        <v>0</v>
      </c>
      <c r="L88">
        <v>0</v>
      </c>
      <c r="M88">
        <v>0</v>
      </c>
      <c r="N88">
        <v>0</v>
      </c>
      <c r="P88" s="3">
        <v>720</v>
      </c>
      <c r="Q88" s="3">
        <v>4</v>
      </c>
      <c r="R88" s="3">
        <v>1</v>
      </c>
      <c r="S88">
        <v>0</v>
      </c>
      <c r="T88">
        <v>0</v>
      </c>
      <c r="U88">
        <v>0</v>
      </c>
      <c r="V88" s="36">
        <v>0</v>
      </c>
      <c r="W88">
        <v>0</v>
      </c>
      <c r="X88">
        <v>0</v>
      </c>
      <c r="Y88">
        <v>0</v>
      </c>
      <c r="Z88" s="36">
        <v>0</v>
      </c>
      <c r="AA88">
        <v>0</v>
      </c>
      <c r="AB88">
        <v>0</v>
      </c>
      <c r="AC88">
        <v>0</v>
      </c>
      <c r="AE88" s="3">
        <v>720</v>
      </c>
      <c r="AF88" s="3">
        <v>4</v>
      </c>
      <c r="AG88" s="3">
        <v>1</v>
      </c>
      <c r="AH88">
        <v>88.4</v>
      </c>
      <c r="AI88">
        <v>701.7</v>
      </c>
      <c r="AJ88">
        <v>82.8</v>
      </c>
      <c r="AK88" s="36">
        <v>690.9</v>
      </c>
      <c r="AL88">
        <v>0</v>
      </c>
      <c r="AM88">
        <v>85</v>
      </c>
      <c r="AN88">
        <v>1.7500000000000002E-2</v>
      </c>
      <c r="AO88" s="36">
        <v>719.7</v>
      </c>
      <c r="AP88">
        <v>1.6400000000000001E-2</v>
      </c>
      <c r="AQ88">
        <v>696.1</v>
      </c>
      <c r="AR88">
        <v>1.7100000000000001E-2</v>
      </c>
      <c r="AT88" s="3">
        <v>720</v>
      </c>
      <c r="AU88" s="3">
        <v>4</v>
      </c>
      <c r="AV88" s="3">
        <v>1</v>
      </c>
      <c r="AW88">
        <v>88.4</v>
      </c>
      <c r="AX88">
        <v>701.7</v>
      </c>
      <c r="AY88">
        <v>82.8</v>
      </c>
      <c r="AZ88" s="36">
        <v>690.9</v>
      </c>
      <c r="BA88">
        <v>0</v>
      </c>
      <c r="BB88">
        <v>85</v>
      </c>
      <c r="BC88">
        <v>1.7500000000000002E-2</v>
      </c>
      <c r="BD88" s="36">
        <v>719.7</v>
      </c>
      <c r="BE88">
        <v>1.6400000000000001E-2</v>
      </c>
      <c r="BF88">
        <v>696.1</v>
      </c>
      <c r="BG88">
        <v>1.7100000000000001E-2</v>
      </c>
    </row>
    <row r="89" spans="1:59" x14ac:dyDescent="0.25">
      <c r="A89" s="3">
        <v>720</v>
      </c>
      <c r="B89" s="3">
        <v>4</v>
      </c>
      <c r="C89" s="3">
        <v>2</v>
      </c>
      <c r="D89">
        <v>0</v>
      </c>
      <c r="E89">
        <v>0</v>
      </c>
      <c r="F89">
        <v>0</v>
      </c>
      <c r="G89" s="36">
        <v>0</v>
      </c>
      <c r="I89">
        <v>0</v>
      </c>
      <c r="J89">
        <v>0</v>
      </c>
      <c r="K89" s="36">
        <v>0</v>
      </c>
      <c r="L89">
        <v>0</v>
      </c>
      <c r="M89">
        <v>0</v>
      </c>
      <c r="N89">
        <v>0</v>
      </c>
      <c r="P89" s="3">
        <v>720</v>
      </c>
      <c r="Q89" s="3">
        <v>4</v>
      </c>
      <c r="R89" s="3">
        <v>2</v>
      </c>
      <c r="S89">
        <v>0</v>
      </c>
      <c r="T89">
        <v>0</v>
      </c>
      <c r="U89">
        <v>0</v>
      </c>
      <c r="V89" s="36">
        <v>0</v>
      </c>
      <c r="W89">
        <v>0</v>
      </c>
      <c r="X89">
        <v>0</v>
      </c>
      <c r="Y89">
        <v>0</v>
      </c>
      <c r="Z89" s="36">
        <v>0</v>
      </c>
      <c r="AA89">
        <v>0</v>
      </c>
      <c r="AB89">
        <v>0</v>
      </c>
      <c r="AC89">
        <v>0</v>
      </c>
      <c r="AE89" s="3">
        <v>720</v>
      </c>
      <c r="AF89" s="3">
        <v>4</v>
      </c>
      <c r="AG89" s="3">
        <v>2</v>
      </c>
      <c r="AH89">
        <v>88.6</v>
      </c>
      <c r="AI89">
        <v>698.9</v>
      </c>
      <c r="AJ89">
        <v>82.7</v>
      </c>
      <c r="AK89" s="36">
        <v>688.1</v>
      </c>
      <c r="AL89">
        <v>0</v>
      </c>
      <c r="AM89">
        <v>85</v>
      </c>
      <c r="AN89">
        <v>1.7600000000000001E-2</v>
      </c>
      <c r="AO89" s="36">
        <v>715.7</v>
      </c>
      <c r="AP89">
        <v>1.6199999999999999E-2</v>
      </c>
      <c r="AQ89">
        <v>692.1</v>
      </c>
      <c r="AR89">
        <v>1.7000000000000001E-2</v>
      </c>
      <c r="AT89" s="3">
        <v>720</v>
      </c>
      <c r="AU89" s="3">
        <v>4</v>
      </c>
      <c r="AV89" s="3">
        <v>2</v>
      </c>
      <c r="AW89">
        <v>88.6</v>
      </c>
      <c r="AX89">
        <v>698.9</v>
      </c>
      <c r="AY89">
        <v>82.7</v>
      </c>
      <c r="AZ89" s="36">
        <v>688.1</v>
      </c>
      <c r="BA89">
        <v>0</v>
      </c>
      <c r="BB89">
        <v>85</v>
      </c>
      <c r="BC89">
        <v>1.7600000000000001E-2</v>
      </c>
      <c r="BD89" s="36">
        <v>715.7</v>
      </c>
      <c r="BE89">
        <v>1.6199999999999999E-2</v>
      </c>
      <c r="BF89">
        <v>692.1</v>
      </c>
      <c r="BG89">
        <v>1.7000000000000001E-2</v>
      </c>
    </row>
    <row r="90" spans="1:59" x14ac:dyDescent="0.25">
      <c r="A90" s="3">
        <v>720</v>
      </c>
      <c r="B90" s="3">
        <v>4</v>
      </c>
      <c r="C90" s="3">
        <v>3</v>
      </c>
      <c r="D90">
        <v>0</v>
      </c>
      <c r="E90">
        <v>0</v>
      </c>
      <c r="F90">
        <v>0</v>
      </c>
      <c r="G90" s="36">
        <v>0</v>
      </c>
      <c r="I90">
        <v>0</v>
      </c>
      <c r="J90">
        <v>0</v>
      </c>
      <c r="K90" s="36">
        <v>0</v>
      </c>
      <c r="L90">
        <v>0</v>
      </c>
      <c r="M90">
        <v>0</v>
      </c>
      <c r="N90">
        <v>0</v>
      </c>
      <c r="P90" s="3">
        <v>720</v>
      </c>
      <c r="Q90" s="3">
        <v>4</v>
      </c>
      <c r="R90" s="3">
        <v>3</v>
      </c>
      <c r="S90">
        <v>0</v>
      </c>
      <c r="T90">
        <v>0</v>
      </c>
      <c r="U90">
        <v>0</v>
      </c>
      <c r="V90" s="36">
        <v>0</v>
      </c>
      <c r="W90">
        <v>0</v>
      </c>
      <c r="X90">
        <v>0</v>
      </c>
      <c r="Y90">
        <v>0</v>
      </c>
      <c r="Z90" s="36">
        <v>0</v>
      </c>
      <c r="AA90">
        <v>0</v>
      </c>
      <c r="AB90">
        <v>0</v>
      </c>
      <c r="AC90">
        <v>0</v>
      </c>
      <c r="AE90" s="3">
        <v>720</v>
      </c>
      <c r="AF90" s="3">
        <v>4</v>
      </c>
      <c r="AG90" s="3">
        <v>3</v>
      </c>
      <c r="AH90">
        <v>88.9</v>
      </c>
      <c r="AI90">
        <v>696.9</v>
      </c>
      <c r="AJ90">
        <v>82.4</v>
      </c>
      <c r="AK90" s="36">
        <v>682.5</v>
      </c>
      <c r="AL90">
        <v>0</v>
      </c>
      <c r="AM90">
        <v>85.1</v>
      </c>
      <c r="AN90">
        <v>1.77E-2</v>
      </c>
      <c r="AO90" s="36">
        <v>708.9</v>
      </c>
      <c r="AP90">
        <v>1.6E-2</v>
      </c>
      <c r="AQ90">
        <v>681.3</v>
      </c>
      <c r="AR90">
        <v>1.6899999999999998E-2</v>
      </c>
      <c r="AT90" s="3">
        <v>720</v>
      </c>
      <c r="AU90" s="3">
        <v>4</v>
      </c>
      <c r="AV90" s="3">
        <v>3</v>
      </c>
      <c r="AW90">
        <v>88.9</v>
      </c>
      <c r="AX90">
        <v>696.9</v>
      </c>
      <c r="AY90">
        <v>82.4</v>
      </c>
      <c r="AZ90" s="36">
        <v>682.5</v>
      </c>
      <c r="BA90">
        <v>0</v>
      </c>
      <c r="BB90">
        <v>85.1</v>
      </c>
      <c r="BC90">
        <v>1.77E-2</v>
      </c>
      <c r="BD90" s="36">
        <v>708.9</v>
      </c>
      <c r="BE90">
        <v>1.6E-2</v>
      </c>
      <c r="BF90">
        <v>681.3</v>
      </c>
      <c r="BG90">
        <v>1.6899999999999998E-2</v>
      </c>
    </row>
    <row r="91" spans="1:59" x14ac:dyDescent="0.25">
      <c r="A91" s="3">
        <v>720</v>
      </c>
      <c r="B91" s="3">
        <v>5</v>
      </c>
      <c r="C91" s="3">
        <v>1</v>
      </c>
      <c r="D91">
        <v>0</v>
      </c>
      <c r="E91">
        <v>0</v>
      </c>
      <c r="F91">
        <v>0</v>
      </c>
      <c r="G91" s="36">
        <v>0</v>
      </c>
      <c r="H91">
        <v>0</v>
      </c>
      <c r="I91">
        <v>0</v>
      </c>
      <c r="J91">
        <v>0</v>
      </c>
      <c r="K91" s="36">
        <v>0</v>
      </c>
      <c r="L91">
        <v>0</v>
      </c>
      <c r="M91">
        <v>0</v>
      </c>
      <c r="N91">
        <v>0</v>
      </c>
      <c r="P91" s="3">
        <v>720</v>
      </c>
      <c r="Q91" s="3">
        <v>5</v>
      </c>
      <c r="R91" s="3">
        <v>1</v>
      </c>
      <c r="S91">
        <v>0</v>
      </c>
      <c r="T91">
        <v>0</v>
      </c>
      <c r="U91">
        <v>0</v>
      </c>
      <c r="V91" s="36">
        <v>0</v>
      </c>
      <c r="W91">
        <v>0</v>
      </c>
      <c r="X91">
        <v>0</v>
      </c>
      <c r="Y91">
        <v>0</v>
      </c>
      <c r="Z91" s="36">
        <v>0</v>
      </c>
      <c r="AA91">
        <v>0</v>
      </c>
      <c r="AB91">
        <v>0</v>
      </c>
      <c r="AC91">
        <v>0</v>
      </c>
      <c r="AE91" s="3">
        <v>720</v>
      </c>
      <c r="AF91" s="3">
        <v>5</v>
      </c>
      <c r="AG91" s="3">
        <v>1</v>
      </c>
      <c r="AH91">
        <v>91.5</v>
      </c>
      <c r="AI91">
        <v>672.1</v>
      </c>
      <c r="AJ91">
        <v>86.8</v>
      </c>
      <c r="AK91" s="36">
        <v>662.5</v>
      </c>
      <c r="AL91">
        <v>88.3</v>
      </c>
      <c r="AM91">
        <v>87.4</v>
      </c>
      <c r="AN91">
        <v>2.0299999999999999E-2</v>
      </c>
      <c r="AO91" s="36">
        <v>673.7</v>
      </c>
      <c r="AP91">
        <v>2.0199999999999999E-2</v>
      </c>
      <c r="AQ91">
        <v>642.5</v>
      </c>
      <c r="AR91">
        <v>2.0199999999999999E-2</v>
      </c>
      <c r="AT91" s="3">
        <v>720</v>
      </c>
      <c r="AU91" s="3">
        <v>5</v>
      </c>
      <c r="AV91" s="3">
        <v>1</v>
      </c>
      <c r="AW91">
        <v>91.5</v>
      </c>
      <c r="AX91">
        <v>672.1</v>
      </c>
      <c r="AY91">
        <v>86.8</v>
      </c>
      <c r="AZ91" s="36">
        <v>662.5</v>
      </c>
      <c r="BA91">
        <v>88.3</v>
      </c>
      <c r="BB91">
        <v>87.4</v>
      </c>
      <c r="BC91">
        <v>2.0299999999999999E-2</v>
      </c>
      <c r="BD91" s="36">
        <v>673.7</v>
      </c>
      <c r="BE91">
        <v>2.0199999999999999E-2</v>
      </c>
      <c r="BF91">
        <v>642.5</v>
      </c>
      <c r="BG91">
        <v>2.0199999999999999E-2</v>
      </c>
    </row>
    <row r="92" spans="1:59" x14ac:dyDescent="0.25">
      <c r="A92" s="3">
        <v>720</v>
      </c>
      <c r="B92" s="3">
        <v>5</v>
      </c>
      <c r="C92" s="3">
        <v>2</v>
      </c>
      <c r="D92">
        <v>0</v>
      </c>
      <c r="E92">
        <v>0</v>
      </c>
      <c r="F92">
        <v>0</v>
      </c>
      <c r="G92" s="36">
        <v>0</v>
      </c>
      <c r="H92">
        <v>0</v>
      </c>
      <c r="I92">
        <v>0</v>
      </c>
      <c r="J92">
        <v>0</v>
      </c>
      <c r="K92" s="36">
        <v>0</v>
      </c>
      <c r="L92">
        <v>0</v>
      </c>
      <c r="M92">
        <v>0</v>
      </c>
      <c r="N92">
        <v>0</v>
      </c>
      <c r="P92" s="3">
        <v>720</v>
      </c>
      <c r="Q92" s="3">
        <v>5</v>
      </c>
      <c r="R92" s="3">
        <v>2</v>
      </c>
      <c r="S92">
        <v>0</v>
      </c>
      <c r="T92">
        <v>0</v>
      </c>
      <c r="U92">
        <v>0</v>
      </c>
      <c r="V92" s="36">
        <v>0</v>
      </c>
      <c r="W92">
        <v>0</v>
      </c>
      <c r="X92">
        <v>0</v>
      </c>
      <c r="Y92">
        <v>0</v>
      </c>
      <c r="Z92" s="36">
        <v>0</v>
      </c>
      <c r="AA92">
        <v>0</v>
      </c>
      <c r="AB92">
        <v>0</v>
      </c>
      <c r="AC92">
        <v>0</v>
      </c>
      <c r="AE92" s="3">
        <v>720</v>
      </c>
      <c r="AF92" s="3">
        <v>5</v>
      </c>
      <c r="AG92" s="3">
        <v>2</v>
      </c>
      <c r="AH92">
        <v>91.7</v>
      </c>
      <c r="AI92">
        <v>675.3</v>
      </c>
      <c r="AJ92">
        <v>86.5</v>
      </c>
      <c r="AK92" s="36">
        <v>665.7</v>
      </c>
      <c r="AL92">
        <v>88.3</v>
      </c>
      <c r="AM92">
        <v>87.5</v>
      </c>
      <c r="AN92">
        <v>2.0299999999999999E-2</v>
      </c>
      <c r="AO92" s="36">
        <v>695.3</v>
      </c>
      <c r="AP92">
        <v>0.02</v>
      </c>
      <c r="AQ92">
        <v>642.5</v>
      </c>
      <c r="AR92">
        <v>2.0199999999999999E-2</v>
      </c>
      <c r="AT92" s="3">
        <v>720</v>
      </c>
      <c r="AU92" s="3">
        <v>5</v>
      </c>
      <c r="AV92" s="3">
        <v>2</v>
      </c>
      <c r="AW92">
        <v>91.7</v>
      </c>
      <c r="AX92">
        <v>675.3</v>
      </c>
      <c r="AY92">
        <v>86.5</v>
      </c>
      <c r="AZ92" s="36">
        <v>665.7</v>
      </c>
      <c r="BA92">
        <v>88.3</v>
      </c>
      <c r="BB92">
        <v>87.5</v>
      </c>
      <c r="BC92">
        <v>2.0299999999999999E-2</v>
      </c>
      <c r="BD92" s="36">
        <v>695.3</v>
      </c>
      <c r="BE92">
        <v>0.02</v>
      </c>
      <c r="BF92">
        <v>642.5</v>
      </c>
      <c r="BG92">
        <v>2.0199999999999999E-2</v>
      </c>
    </row>
    <row r="93" spans="1:59" x14ac:dyDescent="0.25">
      <c r="A93" s="3">
        <v>720</v>
      </c>
      <c r="B93" s="3">
        <v>5</v>
      </c>
      <c r="C93" s="3">
        <v>3</v>
      </c>
      <c r="D93">
        <v>0</v>
      </c>
      <c r="E93">
        <v>0</v>
      </c>
      <c r="F93">
        <v>0</v>
      </c>
      <c r="G93" s="36">
        <v>0</v>
      </c>
      <c r="H93">
        <v>0</v>
      </c>
      <c r="I93">
        <v>0</v>
      </c>
      <c r="J93">
        <v>0</v>
      </c>
      <c r="K93" s="36">
        <v>0</v>
      </c>
      <c r="L93">
        <v>0</v>
      </c>
      <c r="M93">
        <v>0</v>
      </c>
      <c r="N93">
        <v>0</v>
      </c>
      <c r="P93" s="3">
        <v>720</v>
      </c>
      <c r="Q93" s="3">
        <v>5</v>
      </c>
      <c r="R93" s="3">
        <v>3</v>
      </c>
      <c r="S93">
        <v>0</v>
      </c>
      <c r="T93">
        <v>0</v>
      </c>
      <c r="U93">
        <v>0</v>
      </c>
      <c r="V93" s="36">
        <v>0</v>
      </c>
      <c r="W93">
        <v>0</v>
      </c>
      <c r="X93">
        <v>0</v>
      </c>
      <c r="Y93">
        <v>0</v>
      </c>
      <c r="Z93" s="36">
        <v>0</v>
      </c>
      <c r="AA93">
        <v>0</v>
      </c>
      <c r="AB93">
        <v>0</v>
      </c>
      <c r="AC93">
        <v>0</v>
      </c>
      <c r="AE93" s="3">
        <v>720</v>
      </c>
      <c r="AF93" s="3">
        <v>5</v>
      </c>
      <c r="AG93" s="3">
        <v>3</v>
      </c>
      <c r="AH93">
        <v>91.8</v>
      </c>
      <c r="AI93">
        <v>680.1</v>
      </c>
      <c r="AJ93">
        <v>85.8</v>
      </c>
      <c r="AK93" s="36">
        <v>643.70000000000005</v>
      </c>
      <c r="AL93">
        <v>88</v>
      </c>
      <c r="AM93">
        <v>87</v>
      </c>
      <c r="AN93">
        <v>2.0199999999999999E-2</v>
      </c>
      <c r="AO93" s="36">
        <v>708.9</v>
      </c>
      <c r="AP93">
        <v>1.84E-2</v>
      </c>
      <c r="AQ93">
        <v>642.5</v>
      </c>
      <c r="AR93">
        <v>1.95E-2</v>
      </c>
      <c r="AT93" s="3">
        <v>720</v>
      </c>
      <c r="AU93" s="3">
        <v>5</v>
      </c>
      <c r="AV93" s="3">
        <v>3</v>
      </c>
      <c r="AW93">
        <v>91.8</v>
      </c>
      <c r="AX93">
        <v>680.1</v>
      </c>
      <c r="AY93">
        <v>85.8</v>
      </c>
      <c r="AZ93" s="36">
        <v>643.70000000000005</v>
      </c>
      <c r="BA93">
        <v>88</v>
      </c>
      <c r="BB93">
        <v>87</v>
      </c>
      <c r="BC93">
        <v>2.0199999999999999E-2</v>
      </c>
      <c r="BD93" s="36">
        <v>708.9</v>
      </c>
      <c r="BE93">
        <v>1.84E-2</v>
      </c>
      <c r="BF93">
        <v>642.5</v>
      </c>
      <c r="BG93">
        <v>1.95E-2</v>
      </c>
    </row>
    <row r="94" spans="1:59" x14ac:dyDescent="0.25">
      <c r="A94" s="3">
        <v>720</v>
      </c>
      <c r="B94" s="3">
        <v>6</v>
      </c>
      <c r="C94" s="3">
        <v>1</v>
      </c>
      <c r="D94">
        <v>0</v>
      </c>
      <c r="E94">
        <v>0</v>
      </c>
      <c r="F94">
        <v>0</v>
      </c>
      <c r="G94" s="36">
        <v>0</v>
      </c>
      <c r="I94">
        <v>0</v>
      </c>
      <c r="J94">
        <v>0</v>
      </c>
      <c r="K94" s="36">
        <v>0</v>
      </c>
      <c r="L94">
        <v>0</v>
      </c>
      <c r="M94">
        <v>0</v>
      </c>
      <c r="N94">
        <v>0</v>
      </c>
      <c r="P94" s="3">
        <v>720</v>
      </c>
      <c r="Q94" s="3">
        <v>6</v>
      </c>
      <c r="R94" s="3">
        <v>1</v>
      </c>
      <c r="S94">
        <v>0</v>
      </c>
      <c r="T94">
        <v>0</v>
      </c>
      <c r="U94">
        <v>0</v>
      </c>
      <c r="V94" s="36">
        <v>0</v>
      </c>
      <c r="W94">
        <v>0</v>
      </c>
      <c r="X94">
        <v>0</v>
      </c>
      <c r="Y94">
        <v>0</v>
      </c>
      <c r="Z94" s="36">
        <v>0</v>
      </c>
      <c r="AA94">
        <v>0</v>
      </c>
      <c r="AB94">
        <v>0</v>
      </c>
      <c r="AC94">
        <v>0</v>
      </c>
      <c r="AE94" s="3">
        <v>720</v>
      </c>
      <c r="AF94" s="3">
        <v>6</v>
      </c>
      <c r="AG94" s="3">
        <v>1</v>
      </c>
      <c r="AH94">
        <v>91.4</v>
      </c>
      <c r="AI94">
        <v>692.9</v>
      </c>
      <c r="AJ94">
        <v>81.7</v>
      </c>
      <c r="AK94" s="36">
        <v>668.1</v>
      </c>
      <c r="AL94">
        <v>0</v>
      </c>
      <c r="AM94">
        <v>84.4</v>
      </c>
      <c r="AN94">
        <v>1.7600000000000001E-2</v>
      </c>
      <c r="AO94" s="36">
        <v>706.1</v>
      </c>
      <c r="AP94">
        <v>1.5100000000000001E-2</v>
      </c>
      <c r="AQ94">
        <v>665.7</v>
      </c>
      <c r="AR94">
        <v>1.61E-2</v>
      </c>
      <c r="AT94" s="3">
        <v>720</v>
      </c>
      <c r="AU94" s="3">
        <v>6</v>
      </c>
      <c r="AV94" s="3">
        <v>1</v>
      </c>
      <c r="AW94">
        <v>91.4</v>
      </c>
      <c r="AX94">
        <v>692.9</v>
      </c>
      <c r="AY94">
        <v>81.7</v>
      </c>
      <c r="AZ94" s="36">
        <v>668.1</v>
      </c>
      <c r="BA94">
        <v>0</v>
      </c>
      <c r="BB94">
        <v>84.4</v>
      </c>
      <c r="BC94">
        <v>1.7600000000000001E-2</v>
      </c>
      <c r="BD94" s="36">
        <v>706.1</v>
      </c>
      <c r="BE94">
        <v>1.5100000000000001E-2</v>
      </c>
      <c r="BF94">
        <v>665.7</v>
      </c>
      <c r="BG94">
        <v>1.61E-2</v>
      </c>
    </row>
    <row r="95" spans="1:59" x14ac:dyDescent="0.25">
      <c r="A95" s="3">
        <v>720</v>
      </c>
      <c r="B95" s="3">
        <v>6</v>
      </c>
      <c r="C95" s="3">
        <v>2</v>
      </c>
      <c r="D95">
        <v>0</v>
      </c>
      <c r="E95">
        <v>0</v>
      </c>
      <c r="F95">
        <v>0</v>
      </c>
      <c r="G95" s="36">
        <v>0</v>
      </c>
      <c r="I95">
        <v>0</v>
      </c>
      <c r="J95">
        <v>0</v>
      </c>
      <c r="K95" s="36">
        <v>0</v>
      </c>
      <c r="L95">
        <v>0</v>
      </c>
      <c r="M95">
        <v>0</v>
      </c>
      <c r="N95">
        <v>0</v>
      </c>
      <c r="P95" s="3">
        <v>720</v>
      </c>
      <c r="Q95" s="3">
        <v>6</v>
      </c>
      <c r="R95" s="3">
        <v>2</v>
      </c>
      <c r="S95">
        <v>0</v>
      </c>
      <c r="T95">
        <v>0</v>
      </c>
      <c r="U95">
        <v>0</v>
      </c>
      <c r="V95" s="36">
        <v>0</v>
      </c>
      <c r="W95">
        <v>0</v>
      </c>
      <c r="X95">
        <v>0</v>
      </c>
      <c r="Y95">
        <v>0</v>
      </c>
      <c r="Z95" s="36">
        <v>0</v>
      </c>
      <c r="AA95">
        <v>0</v>
      </c>
      <c r="AB95">
        <v>0</v>
      </c>
      <c r="AC95">
        <v>0</v>
      </c>
      <c r="AE95" s="3">
        <v>720</v>
      </c>
      <c r="AF95" s="3">
        <v>6</v>
      </c>
      <c r="AG95" s="3">
        <v>2</v>
      </c>
      <c r="AH95">
        <v>92.4</v>
      </c>
      <c r="AI95">
        <v>690.1</v>
      </c>
      <c r="AJ95">
        <v>81.3</v>
      </c>
      <c r="AK95" s="36">
        <v>651.29999999999995</v>
      </c>
      <c r="AL95">
        <v>0</v>
      </c>
      <c r="AM95">
        <v>84.3</v>
      </c>
      <c r="AN95">
        <v>1.7899999999999999E-2</v>
      </c>
      <c r="AO95" s="36">
        <v>699.3</v>
      </c>
      <c r="AP95">
        <v>1.46E-2</v>
      </c>
      <c r="AQ95">
        <v>650.5</v>
      </c>
      <c r="AR95">
        <v>1.61E-2</v>
      </c>
      <c r="AT95" s="3">
        <v>720</v>
      </c>
      <c r="AU95" s="3">
        <v>6</v>
      </c>
      <c r="AV95" s="3">
        <v>2</v>
      </c>
      <c r="AW95">
        <v>92.4</v>
      </c>
      <c r="AX95">
        <v>690.1</v>
      </c>
      <c r="AY95">
        <v>81.3</v>
      </c>
      <c r="AZ95" s="36">
        <v>651.29999999999995</v>
      </c>
      <c r="BA95">
        <v>0</v>
      </c>
      <c r="BB95">
        <v>84.3</v>
      </c>
      <c r="BC95">
        <v>1.7899999999999999E-2</v>
      </c>
      <c r="BD95" s="36">
        <v>699.3</v>
      </c>
      <c r="BE95">
        <v>1.46E-2</v>
      </c>
      <c r="BF95">
        <v>650.5</v>
      </c>
      <c r="BG95">
        <v>1.61E-2</v>
      </c>
    </row>
    <row r="96" spans="1:59" x14ac:dyDescent="0.25">
      <c r="A96" s="3">
        <v>720</v>
      </c>
      <c r="B96" s="3">
        <v>6</v>
      </c>
      <c r="C96" s="3">
        <v>3</v>
      </c>
      <c r="D96">
        <v>0</v>
      </c>
      <c r="E96">
        <v>0</v>
      </c>
      <c r="F96">
        <v>0</v>
      </c>
      <c r="G96" s="36">
        <v>0</v>
      </c>
      <c r="I96">
        <v>0</v>
      </c>
      <c r="J96">
        <v>0</v>
      </c>
      <c r="K96" s="36">
        <v>0</v>
      </c>
      <c r="L96">
        <v>0</v>
      </c>
      <c r="M96">
        <v>0</v>
      </c>
      <c r="N96">
        <v>0</v>
      </c>
      <c r="P96" s="3">
        <v>720</v>
      </c>
      <c r="Q96" s="3">
        <v>6</v>
      </c>
      <c r="R96" s="3">
        <v>3</v>
      </c>
      <c r="S96">
        <v>0</v>
      </c>
      <c r="T96">
        <v>0</v>
      </c>
      <c r="U96">
        <v>0</v>
      </c>
      <c r="V96" s="36">
        <v>0</v>
      </c>
      <c r="W96">
        <v>0</v>
      </c>
      <c r="X96">
        <v>0</v>
      </c>
      <c r="Y96">
        <v>0</v>
      </c>
      <c r="Z96" s="36">
        <v>0</v>
      </c>
      <c r="AA96">
        <v>0</v>
      </c>
      <c r="AB96">
        <v>0</v>
      </c>
      <c r="AC96">
        <v>0</v>
      </c>
      <c r="AE96" s="3">
        <v>720</v>
      </c>
      <c r="AF96" s="3">
        <v>6</v>
      </c>
      <c r="AG96" s="3">
        <v>3</v>
      </c>
      <c r="AH96">
        <v>95.1</v>
      </c>
      <c r="AI96">
        <v>685.7</v>
      </c>
      <c r="AJ96">
        <v>80.8</v>
      </c>
      <c r="AK96" s="36">
        <v>643.29999999999995</v>
      </c>
      <c r="AL96">
        <v>0</v>
      </c>
      <c r="AM96">
        <v>84.7</v>
      </c>
      <c r="AN96">
        <v>1.8200000000000001E-2</v>
      </c>
      <c r="AO96" s="36">
        <v>690.9</v>
      </c>
      <c r="AP96">
        <v>1.41E-2</v>
      </c>
      <c r="AQ96">
        <v>643.29999999999995</v>
      </c>
      <c r="AR96">
        <v>1.6199999999999999E-2</v>
      </c>
      <c r="AT96" s="3">
        <v>720</v>
      </c>
      <c r="AU96" s="3">
        <v>6</v>
      </c>
      <c r="AV96" s="3">
        <v>3</v>
      </c>
      <c r="AW96">
        <v>95.1</v>
      </c>
      <c r="AX96">
        <v>685.7</v>
      </c>
      <c r="AY96">
        <v>80.8</v>
      </c>
      <c r="AZ96" s="36">
        <v>643.29999999999995</v>
      </c>
      <c r="BA96">
        <v>0</v>
      </c>
      <c r="BB96">
        <v>84.7</v>
      </c>
      <c r="BC96">
        <v>1.8200000000000001E-2</v>
      </c>
      <c r="BD96" s="36">
        <v>690.9</v>
      </c>
      <c r="BE96">
        <v>1.41E-2</v>
      </c>
      <c r="BF96">
        <v>643.29999999999995</v>
      </c>
      <c r="BG96">
        <v>1.6199999999999999E-2</v>
      </c>
    </row>
    <row r="97" spans="1:59" x14ac:dyDescent="0.25">
      <c r="A97" s="3">
        <v>720</v>
      </c>
      <c r="B97" s="3">
        <v>7</v>
      </c>
      <c r="C97" s="3">
        <v>1</v>
      </c>
      <c r="D97">
        <v>0</v>
      </c>
      <c r="E97">
        <v>0</v>
      </c>
      <c r="F97">
        <v>0</v>
      </c>
      <c r="G97" s="36">
        <v>0</v>
      </c>
      <c r="H97">
        <v>0</v>
      </c>
      <c r="I97">
        <v>0</v>
      </c>
      <c r="J97">
        <v>0</v>
      </c>
      <c r="K97" s="36">
        <v>0</v>
      </c>
      <c r="L97">
        <v>0</v>
      </c>
      <c r="M97">
        <v>0</v>
      </c>
      <c r="N97">
        <v>0</v>
      </c>
      <c r="P97" s="3">
        <v>720</v>
      </c>
      <c r="Q97" s="3">
        <v>7</v>
      </c>
      <c r="R97" s="3">
        <v>1</v>
      </c>
      <c r="S97">
        <v>0</v>
      </c>
      <c r="T97">
        <v>0</v>
      </c>
      <c r="U97">
        <v>0</v>
      </c>
      <c r="V97" s="36">
        <v>0</v>
      </c>
      <c r="W97">
        <v>0</v>
      </c>
      <c r="X97">
        <v>0</v>
      </c>
      <c r="Y97">
        <v>0</v>
      </c>
      <c r="Z97" s="36">
        <v>0</v>
      </c>
      <c r="AA97">
        <v>0</v>
      </c>
      <c r="AB97">
        <v>0</v>
      </c>
      <c r="AC97">
        <v>0</v>
      </c>
      <c r="AE97" s="3">
        <v>720</v>
      </c>
      <c r="AF97" s="3">
        <v>7</v>
      </c>
      <c r="AG97" s="3">
        <v>1</v>
      </c>
      <c r="AH97">
        <v>85.9</v>
      </c>
      <c r="AI97">
        <v>685.7</v>
      </c>
      <c r="AJ97">
        <v>80.2</v>
      </c>
      <c r="AK97" s="36">
        <v>655.29999999999995</v>
      </c>
      <c r="AL97">
        <v>81</v>
      </c>
      <c r="AM97">
        <v>82.6</v>
      </c>
      <c r="AN97">
        <v>1.6E-2</v>
      </c>
      <c r="AO97" s="36">
        <v>685.7</v>
      </c>
      <c r="AP97">
        <v>1.37E-2</v>
      </c>
      <c r="AQ97">
        <v>652.9</v>
      </c>
      <c r="AR97">
        <v>1.46E-2</v>
      </c>
      <c r="AT97" s="3">
        <v>720</v>
      </c>
      <c r="AU97" s="3">
        <v>7</v>
      </c>
      <c r="AV97" s="3">
        <v>1</v>
      </c>
      <c r="AW97">
        <v>85.9</v>
      </c>
      <c r="AX97">
        <v>685.7</v>
      </c>
      <c r="AY97">
        <v>80.2</v>
      </c>
      <c r="AZ97" s="36">
        <v>655.29999999999995</v>
      </c>
      <c r="BA97">
        <v>81</v>
      </c>
      <c r="BB97">
        <v>82.6</v>
      </c>
      <c r="BC97">
        <v>1.6E-2</v>
      </c>
      <c r="BD97" s="36">
        <v>685.7</v>
      </c>
      <c r="BE97">
        <v>1.37E-2</v>
      </c>
      <c r="BF97">
        <v>652.9</v>
      </c>
      <c r="BG97">
        <v>1.46E-2</v>
      </c>
    </row>
    <row r="98" spans="1:59" x14ac:dyDescent="0.25">
      <c r="A98" s="3">
        <v>720</v>
      </c>
      <c r="B98" s="3">
        <v>8</v>
      </c>
      <c r="C98" s="3">
        <v>1</v>
      </c>
      <c r="D98">
        <v>0</v>
      </c>
      <c r="E98">
        <v>0</v>
      </c>
      <c r="F98">
        <v>0</v>
      </c>
      <c r="G98" s="36">
        <v>0</v>
      </c>
      <c r="H98">
        <v>0</v>
      </c>
      <c r="I98">
        <v>0</v>
      </c>
      <c r="J98">
        <v>0</v>
      </c>
      <c r="K98" s="36">
        <v>0</v>
      </c>
      <c r="L98">
        <v>0</v>
      </c>
      <c r="M98">
        <v>0</v>
      </c>
      <c r="N98">
        <v>0</v>
      </c>
      <c r="P98" s="3">
        <v>720</v>
      </c>
      <c r="Q98" s="3">
        <v>8</v>
      </c>
      <c r="R98" s="3">
        <v>1</v>
      </c>
      <c r="S98">
        <v>0</v>
      </c>
      <c r="T98">
        <v>0</v>
      </c>
      <c r="U98">
        <v>0</v>
      </c>
      <c r="V98" s="36">
        <v>0</v>
      </c>
      <c r="W98">
        <v>0</v>
      </c>
      <c r="X98">
        <v>0</v>
      </c>
      <c r="Y98">
        <v>0</v>
      </c>
      <c r="Z98" s="36">
        <v>0</v>
      </c>
      <c r="AA98">
        <v>0</v>
      </c>
      <c r="AB98">
        <v>0</v>
      </c>
      <c r="AC98">
        <v>0</v>
      </c>
      <c r="AE98" s="3">
        <v>720</v>
      </c>
      <c r="AF98" s="3">
        <v>8</v>
      </c>
      <c r="AG98" s="3">
        <v>1</v>
      </c>
      <c r="AH98">
        <v>87.2</v>
      </c>
      <c r="AI98">
        <v>662.1</v>
      </c>
      <c r="AJ98">
        <v>86</v>
      </c>
      <c r="AK98" s="36">
        <v>674.9</v>
      </c>
      <c r="AL98">
        <v>86.8</v>
      </c>
      <c r="AM98">
        <v>86.7</v>
      </c>
      <c r="AN98">
        <v>1.6299999999999999E-2</v>
      </c>
      <c r="AO98" s="36">
        <v>713.3</v>
      </c>
      <c r="AP98">
        <v>1.5900000000000001E-2</v>
      </c>
      <c r="AQ98">
        <v>674.9</v>
      </c>
      <c r="AR98">
        <v>1.6E-2</v>
      </c>
      <c r="AT98" s="3">
        <v>720</v>
      </c>
      <c r="AU98" s="3">
        <v>8</v>
      </c>
      <c r="AV98" s="3">
        <v>1</v>
      </c>
      <c r="AW98">
        <v>87.2</v>
      </c>
      <c r="AX98">
        <v>662.1</v>
      </c>
      <c r="AY98">
        <v>86</v>
      </c>
      <c r="AZ98" s="36">
        <v>674.9</v>
      </c>
      <c r="BA98">
        <v>86.8</v>
      </c>
      <c r="BB98">
        <v>86.7</v>
      </c>
      <c r="BC98">
        <v>1.6299999999999999E-2</v>
      </c>
      <c r="BD98" s="36">
        <v>713.3</v>
      </c>
      <c r="BE98">
        <v>1.5900000000000001E-2</v>
      </c>
      <c r="BF98">
        <v>674.9</v>
      </c>
      <c r="BG98">
        <v>1.6E-2</v>
      </c>
    </row>
    <row r="99" spans="1:59" x14ac:dyDescent="0.25">
      <c r="A99" s="3">
        <v>720</v>
      </c>
      <c r="B99" s="3">
        <v>8</v>
      </c>
      <c r="C99" s="3">
        <v>2</v>
      </c>
      <c r="D99">
        <v>0</v>
      </c>
      <c r="E99">
        <v>0</v>
      </c>
      <c r="F99">
        <v>0</v>
      </c>
      <c r="G99" s="36">
        <v>0</v>
      </c>
      <c r="H99">
        <v>0</v>
      </c>
      <c r="I99">
        <v>0</v>
      </c>
      <c r="J99">
        <v>0</v>
      </c>
      <c r="K99" s="36">
        <v>0</v>
      </c>
      <c r="L99">
        <v>0</v>
      </c>
      <c r="M99">
        <v>0</v>
      </c>
      <c r="N99">
        <v>0</v>
      </c>
      <c r="P99" s="3">
        <v>720</v>
      </c>
      <c r="Q99" s="3">
        <v>8</v>
      </c>
      <c r="R99" s="3">
        <v>2</v>
      </c>
      <c r="S99">
        <v>0</v>
      </c>
      <c r="T99">
        <v>0</v>
      </c>
      <c r="U99">
        <v>0</v>
      </c>
      <c r="V99" s="36">
        <v>0</v>
      </c>
      <c r="W99">
        <v>0</v>
      </c>
      <c r="X99">
        <v>0</v>
      </c>
      <c r="Y99">
        <v>0</v>
      </c>
      <c r="Z99" s="36">
        <v>0</v>
      </c>
      <c r="AA99">
        <v>0</v>
      </c>
      <c r="AB99">
        <v>0</v>
      </c>
      <c r="AC99">
        <v>0</v>
      </c>
      <c r="AE99" s="3">
        <v>720</v>
      </c>
      <c r="AF99" s="3">
        <v>8</v>
      </c>
      <c r="AG99" s="3">
        <v>2</v>
      </c>
      <c r="AH99">
        <v>87.5</v>
      </c>
      <c r="AI99">
        <v>696.1</v>
      </c>
      <c r="AJ99">
        <v>86.5</v>
      </c>
      <c r="AK99" s="36">
        <v>676.9</v>
      </c>
      <c r="AL99">
        <v>86.9</v>
      </c>
      <c r="AM99">
        <v>87.1</v>
      </c>
      <c r="AN99">
        <v>1.6899999999999998E-2</v>
      </c>
      <c r="AO99" s="36">
        <v>696.1</v>
      </c>
      <c r="AP99">
        <v>1.5599999999999999E-2</v>
      </c>
      <c r="AQ99">
        <v>676.9</v>
      </c>
      <c r="AR99">
        <v>1.6299999999999999E-2</v>
      </c>
      <c r="AT99" s="3">
        <v>720</v>
      </c>
      <c r="AU99" s="3">
        <v>8</v>
      </c>
      <c r="AV99" s="3">
        <v>2</v>
      </c>
      <c r="AW99">
        <v>87.5</v>
      </c>
      <c r="AX99">
        <v>696.1</v>
      </c>
      <c r="AY99">
        <v>86.5</v>
      </c>
      <c r="AZ99" s="36">
        <v>676.9</v>
      </c>
      <c r="BA99">
        <v>86.9</v>
      </c>
      <c r="BB99">
        <v>87.1</v>
      </c>
      <c r="BC99">
        <v>1.6899999999999998E-2</v>
      </c>
      <c r="BD99" s="36">
        <v>696.1</v>
      </c>
      <c r="BE99">
        <v>1.5599999999999999E-2</v>
      </c>
      <c r="BF99">
        <v>676.9</v>
      </c>
      <c r="BG99">
        <v>1.6299999999999999E-2</v>
      </c>
    </row>
    <row r="100" spans="1:59" x14ac:dyDescent="0.25">
      <c r="A100" s="3">
        <v>720</v>
      </c>
      <c r="B100" s="3">
        <v>9</v>
      </c>
      <c r="C100" s="3">
        <v>1</v>
      </c>
      <c r="D100">
        <v>0</v>
      </c>
      <c r="E100">
        <v>0</v>
      </c>
      <c r="F100">
        <v>0</v>
      </c>
      <c r="G100" s="36">
        <v>0</v>
      </c>
      <c r="H100">
        <v>0</v>
      </c>
      <c r="I100">
        <v>0</v>
      </c>
      <c r="J100">
        <v>0</v>
      </c>
      <c r="K100" s="36">
        <v>0</v>
      </c>
      <c r="L100">
        <v>0</v>
      </c>
      <c r="M100">
        <v>0</v>
      </c>
      <c r="N100">
        <v>0</v>
      </c>
      <c r="P100" s="3">
        <v>720</v>
      </c>
      <c r="Q100" s="3">
        <v>9</v>
      </c>
      <c r="R100" s="3">
        <v>1</v>
      </c>
      <c r="S100">
        <v>0</v>
      </c>
      <c r="T100">
        <v>0</v>
      </c>
      <c r="U100">
        <v>0</v>
      </c>
      <c r="V100" s="36">
        <v>0</v>
      </c>
      <c r="W100">
        <v>0</v>
      </c>
      <c r="X100">
        <v>0</v>
      </c>
      <c r="Y100">
        <v>0</v>
      </c>
      <c r="Z100" s="36">
        <v>0</v>
      </c>
      <c r="AA100">
        <v>0</v>
      </c>
      <c r="AB100">
        <v>0</v>
      </c>
      <c r="AC100">
        <v>0</v>
      </c>
      <c r="AE100" s="3">
        <v>720</v>
      </c>
      <c r="AF100" s="3">
        <v>9</v>
      </c>
      <c r="AG100" s="3">
        <v>1</v>
      </c>
      <c r="AH100">
        <v>84.2</v>
      </c>
      <c r="AI100">
        <v>684.1</v>
      </c>
      <c r="AJ100">
        <v>79.8</v>
      </c>
      <c r="AK100" s="36">
        <v>630</v>
      </c>
      <c r="AL100">
        <v>81.3</v>
      </c>
      <c r="AM100">
        <v>81.7</v>
      </c>
      <c r="AN100">
        <v>1.46E-2</v>
      </c>
      <c r="AO100" s="36">
        <v>684.1</v>
      </c>
      <c r="AP100">
        <v>1.38E-2</v>
      </c>
      <c r="AQ100">
        <v>640.9</v>
      </c>
      <c r="AR100">
        <v>1.41E-2</v>
      </c>
      <c r="AT100" s="3">
        <v>720</v>
      </c>
      <c r="AU100" s="3">
        <v>9</v>
      </c>
      <c r="AV100" s="3">
        <v>1</v>
      </c>
      <c r="AW100">
        <v>84.2</v>
      </c>
      <c r="AX100">
        <v>684.1</v>
      </c>
      <c r="AY100">
        <v>79.8</v>
      </c>
      <c r="AZ100" s="36">
        <v>630</v>
      </c>
      <c r="BA100">
        <v>81.3</v>
      </c>
      <c r="BB100">
        <v>81.7</v>
      </c>
      <c r="BC100">
        <v>1.46E-2</v>
      </c>
      <c r="BD100" s="36">
        <v>684.1</v>
      </c>
      <c r="BE100">
        <v>1.38E-2</v>
      </c>
      <c r="BF100">
        <v>640.9</v>
      </c>
      <c r="BG100">
        <v>1.41E-2</v>
      </c>
    </row>
    <row r="101" spans="1:59" x14ac:dyDescent="0.25">
      <c r="A101" s="3">
        <v>720</v>
      </c>
      <c r="B101" s="3">
        <v>9</v>
      </c>
      <c r="C101" s="3">
        <v>2</v>
      </c>
      <c r="D101">
        <v>0</v>
      </c>
      <c r="E101">
        <v>0</v>
      </c>
      <c r="F101">
        <v>0</v>
      </c>
      <c r="G101" s="36">
        <v>0</v>
      </c>
      <c r="H101">
        <v>0</v>
      </c>
      <c r="I101">
        <v>0</v>
      </c>
      <c r="J101">
        <v>0</v>
      </c>
      <c r="K101" s="36">
        <v>0</v>
      </c>
      <c r="L101">
        <v>0</v>
      </c>
      <c r="M101">
        <v>0</v>
      </c>
      <c r="N101">
        <v>0</v>
      </c>
      <c r="P101" s="3">
        <v>720</v>
      </c>
      <c r="Q101" s="3">
        <v>9</v>
      </c>
      <c r="R101" s="3">
        <v>2</v>
      </c>
      <c r="S101">
        <v>0</v>
      </c>
      <c r="T101">
        <v>0</v>
      </c>
      <c r="U101">
        <v>0</v>
      </c>
      <c r="V101" s="36">
        <v>0</v>
      </c>
      <c r="W101">
        <v>0</v>
      </c>
      <c r="X101">
        <v>0</v>
      </c>
      <c r="Y101">
        <v>0</v>
      </c>
      <c r="Z101" s="36">
        <v>0</v>
      </c>
      <c r="AA101">
        <v>0</v>
      </c>
      <c r="AB101">
        <v>0</v>
      </c>
      <c r="AC101">
        <v>0</v>
      </c>
      <c r="AE101" s="3">
        <v>720</v>
      </c>
      <c r="AF101" s="3">
        <v>9</v>
      </c>
      <c r="AG101" s="3">
        <v>2</v>
      </c>
      <c r="AH101">
        <v>82.7</v>
      </c>
      <c r="AI101">
        <v>682.1</v>
      </c>
      <c r="AJ101">
        <v>79</v>
      </c>
      <c r="AK101" s="36">
        <v>716.9</v>
      </c>
      <c r="AL101">
        <v>81.2</v>
      </c>
      <c r="AM101">
        <v>81</v>
      </c>
      <c r="AN101">
        <v>1.41E-2</v>
      </c>
      <c r="AO101" s="36">
        <v>696.1</v>
      </c>
      <c r="AP101">
        <v>1.3599999999999999E-2</v>
      </c>
      <c r="AQ101">
        <v>719.7</v>
      </c>
      <c r="AR101">
        <v>1.3899999999999999E-2</v>
      </c>
      <c r="AT101" s="3">
        <v>720</v>
      </c>
      <c r="AU101" s="3">
        <v>9</v>
      </c>
      <c r="AV101" s="3">
        <v>2</v>
      </c>
      <c r="AW101">
        <v>82.7</v>
      </c>
      <c r="AX101">
        <v>682.1</v>
      </c>
      <c r="AY101">
        <v>79</v>
      </c>
      <c r="AZ101" s="36">
        <v>716.9</v>
      </c>
      <c r="BA101">
        <v>81.2</v>
      </c>
      <c r="BB101">
        <v>81</v>
      </c>
      <c r="BC101">
        <v>1.41E-2</v>
      </c>
      <c r="BD101" s="36">
        <v>696.1</v>
      </c>
      <c r="BE101">
        <v>1.3599999999999999E-2</v>
      </c>
      <c r="BF101">
        <v>719.7</v>
      </c>
      <c r="BG101">
        <v>1.3899999999999999E-2</v>
      </c>
    </row>
    <row r="102" spans="1:59" x14ac:dyDescent="0.25">
      <c r="A102" s="3">
        <v>720</v>
      </c>
      <c r="B102" s="3">
        <v>9</v>
      </c>
      <c r="C102" s="3">
        <v>3</v>
      </c>
      <c r="D102">
        <v>0</v>
      </c>
      <c r="E102">
        <v>0</v>
      </c>
      <c r="F102">
        <v>0</v>
      </c>
      <c r="G102" s="36">
        <v>0</v>
      </c>
      <c r="H102">
        <v>0</v>
      </c>
      <c r="I102">
        <v>0</v>
      </c>
      <c r="J102">
        <v>0</v>
      </c>
      <c r="K102" s="36">
        <v>0</v>
      </c>
      <c r="L102">
        <v>0</v>
      </c>
      <c r="M102">
        <v>0</v>
      </c>
      <c r="N102">
        <v>0</v>
      </c>
      <c r="P102" s="3">
        <v>720</v>
      </c>
      <c r="Q102" s="3">
        <v>9</v>
      </c>
      <c r="R102" s="3">
        <v>3</v>
      </c>
      <c r="S102">
        <v>0</v>
      </c>
      <c r="T102">
        <v>0</v>
      </c>
      <c r="U102">
        <v>0</v>
      </c>
      <c r="V102" s="36">
        <v>0</v>
      </c>
      <c r="W102">
        <v>0</v>
      </c>
      <c r="X102">
        <v>0</v>
      </c>
      <c r="Y102">
        <v>0</v>
      </c>
      <c r="Z102" s="36">
        <v>0</v>
      </c>
      <c r="AA102">
        <v>0</v>
      </c>
      <c r="AB102">
        <v>0</v>
      </c>
      <c r="AC102">
        <v>0</v>
      </c>
      <c r="AE102" s="3">
        <v>720</v>
      </c>
      <c r="AF102" s="3">
        <v>9</v>
      </c>
      <c r="AG102" s="3">
        <v>3</v>
      </c>
      <c r="AH102">
        <v>83.5</v>
      </c>
      <c r="AI102">
        <v>646.5</v>
      </c>
      <c r="AJ102">
        <v>78.400000000000006</v>
      </c>
      <c r="AK102" s="36">
        <v>714.1</v>
      </c>
      <c r="AL102">
        <v>82.3</v>
      </c>
      <c r="AM102">
        <v>80.8</v>
      </c>
      <c r="AN102">
        <v>1.4500000000000001E-2</v>
      </c>
      <c r="AO102" s="36">
        <v>649.70000000000005</v>
      </c>
      <c r="AP102">
        <v>1.34E-2</v>
      </c>
      <c r="AQ102">
        <v>711.3</v>
      </c>
      <c r="AR102">
        <v>1.41E-2</v>
      </c>
      <c r="AT102" s="3">
        <v>720</v>
      </c>
      <c r="AU102" s="3">
        <v>9</v>
      </c>
      <c r="AV102" s="3">
        <v>3</v>
      </c>
      <c r="AW102">
        <v>83.5</v>
      </c>
      <c r="AX102">
        <v>646.5</v>
      </c>
      <c r="AY102">
        <v>78.400000000000006</v>
      </c>
      <c r="AZ102" s="36">
        <v>714.1</v>
      </c>
      <c r="BA102">
        <v>82.3</v>
      </c>
      <c r="BB102">
        <v>80.8</v>
      </c>
      <c r="BC102">
        <v>1.4500000000000001E-2</v>
      </c>
      <c r="BD102" s="36">
        <v>649.70000000000005</v>
      </c>
      <c r="BE102">
        <v>1.34E-2</v>
      </c>
      <c r="BF102">
        <v>711.3</v>
      </c>
      <c r="BG102">
        <v>1.41E-2</v>
      </c>
    </row>
    <row r="103" spans="1:59" x14ac:dyDescent="0.25">
      <c r="A103" s="3">
        <v>720</v>
      </c>
      <c r="B103" s="3">
        <v>9</v>
      </c>
      <c r="C103" s="3">
        <v>4</v>
      </c>
      <c r="D103">
        <v>0</v>
      </c>
      <c r="E103">
        <v>0</v>
      </c>
      <c r="F103">
        <v>0</v>
      </c>
      <c r="G103" s="36">
        <v>0</v>
      </c>
      <c r="H103">
        <v>0</v>
      </c>
      <c r="I103">
        <v>0</v>
      </c>
      <c r="J103">
        <v>0</v>
      </c>
      <c r="K103" s="36">
        <v>0</v>
      </c>
      <c r="L103">
        <v>0</v>
      </c>
      <c r="M103">
        <v>0</v>
      </c>
      <c r="N103">
        <v>0</v>
      </c>
      <c r="P103" s="3">
        <v>720</v>
      </c>
      <c r="Q103" s="3">
        <v>9</v>
      </c>
      <c r="R103" s="3">
        <v>4</v>
      </c>
      <c r="S103">
        <v>0</v>
      </c>
      <c r="T103">
        <v>0</v>
      </c>
      <c r="U103">
        <v>0</v>
      </c>
      <c r="V103" s="36">
        <v>0</v>
      </c>
      <c r="W103">
        <v>0</v>
      </c>
      <c r="X103">
        <v>0</v>
      </c>
      <c r="Y103">
        <v>0</v>
      </c>
      <c r="Z103" s="36">
        <v>0</v>
      </c>
      <c r="AA103">
        <v>0</v>
      </c>
      <c r="AB103">
        <v>0</v>
      </c>
      <c r="AC103">
        <v>0</v>
      </c>
      <c r="AE103" s="3">
        <v>720</v>
      </c>
      <c r="AF103" s="3">
        <v>9</v>
      </c>
      <c r="AG103" s="3">
        <v>4</v>
      </c>
      <c r="AH103">
        <v>86.5</v>
      </c>
      <c r="AI103">
        <v>643.70000000000005</v>
      </c>
      <c r="AJ103">
        <v>77.3</v>
      </c>
      <c r="AK103" s="36">
        <v>704.9</v>
      </c>
      <c r="AL103">
        <v>83.9</v>
      </c>
      <c r="AM103">
        <v>80.900000000000006</v>
      </c>
      <c r="AN103">
        <v>1.5599999999999999E-2</v>
      </c>
      <c r="AO103" s="36">
        <v>643.70000000000005</v>
      </c>
      <c r="AP103">
        <v>1.29E-2</v>
      </c>
      <c r="AQ103">
        <v>704.5</v>
      </c>
      <c r="AR103">
        <v>1.44E-2</v>
      </c>
      <c r="AT103" s="3">
        <v>720</v>
      </c>
      <c r="AU103" s="3">
        <v>9</v>
      </c>
      <c r="AV103" s="3">
        <v>4</v>
      </c>
      <c r="AW103">
        <v>86.5</v>
      </c>
      <c r="AX103">
        <v>643.70000000000005</v>
      </c>
      <c r="AY103">
        <v>77.3</v>
      </c>
      <c r="AZ103" s="36">
        <v>704.9</v>
      </c>
      <c r="BA103">
        <v>83.9</v>
      </c>
      <c r="BB103">
        <v>80.900000000000006</v>
      </c>
      <c r="BC103">
        <v>1.5599999999999999E-2</v>
      </c>
      <c r="BD103" s="36">
        <v>643.70000000000005</v>
      </c>
      <c r="BE103">
        <v>1.29E-2</v>
      </c>
      <c r="BF103">
        <v>704.5</v>
      </c>
      <c r="BG103">
        <v>1.44E-2</v>
      </c>
    </row>
    <row r="104" spans="1:59" x14ac:dyDescent="0.25">
      <c r="A104" s="3">
        <v>720</v>
      </c>
      <c r="B104" s="3">
        <v>10</v>
      </c>
      <c r="C104" s="3">
        <v>1</v>
      </c>
      <c r="D104">
        <v>0</v>
      </c>
      <c r="E104">
        <v>0</v>
      </c>
      <c r="F104">
        <v>0</v>
      </c>
      <c r="G104" s="36">
        <v>0</v>
      </c>
      <c r="H104">
        <v>0</v>
      </c>
      <c r="I104">
        <v>0</v>
      </c>
      <c r="J104">
        <v>0</v>
      </c>
      <c r="K104" s="36">
        <v>0</v>
      </c>
      <c r="L104">
        <v>0</v>
      </c>
      <c r="M104">
        <v>0</v>
      </c>
      <c r="N104">
        <v>0</v>
      </c>
      <c r="P104" s="3">
        <v>720</v>
      </c>
      <c r="Q104" s="3">
        <v>10</v>
      </c>
      <c r="R104" s="3">
        <v>1</v>
      </c>
      <c r="S104">
        <v>0</v>
      </c>
      <c r="T104">
        <v>0</v>
      </c>
      <c r="U104">
        <v>0</v>
      </c>
      <c r="V104" s="36">
        <v>0</v>
      </c>
      <c r="W104">
        <v>0</v>
      </c>
      <c r="X104">
        <v>0</v>
      </c>
      <c r="Y104">
        <v>0</v>
      </c>
      <c r="Z104" s="36">
        <v>0</v>
      </c>
      <c r="AA104">
        <v>0</v>
      </c>
      <c r="AB104">
        <v>0</v>
      </c>
      <c r="AC104">
        <v>0</v>
      </c>
      <c r="AE104" s="3">
        <v>720</v>
      </c>
      <c r="AF104" s="3">
        <v>10</v>
      </c>
      <c r="AG104" s="3">
        <v>1</v>
      </c>
      <c r="AH104">
        <v>87.2</v>
      </c>
      <c r="AI104">
        <v>660.1</v>
      </c>
      <c r="AJ104">
        <v>85.8</v>
      </c>
      <c r="AK104" s="36">
        <v>639.70000000000005</v>
      </c>
      <c r="AL104">
        <v>86.6</v>
      </c>
      <c r="AM104">
        <v>86.5</v>
      </c>
      <c r="AN104">
        <v>1.6799999999999999E-2</v>
      </c>
      <c r="AO104" s="36">
        <v>659.3</v>
      </c>
      <c r="AP104">
        <v>1.52E-2</v>
      </c>
      <c r="AQ104">
        <v>639.70000000000005</v>
      </c>
      <c r="AR104">
        <v>1.6E-2</v>
      </c>
      <c r="AT104" s="3">
        <v>720</v>
      </c>
      <c r="AU104" s="3">
        <v>10</v>
      </c>
      <c r="AV104" s="3">
        <v>1</v>
      </c>
      <c r="AW104">
        <v>87.2</v>
      </c>
      <c r="AX104">
        <v>660.1</v>
      </c>
      <c r="AY104">
        <v>85.8</v>
      </c>
      <c r="AZ104" s="36">
        <v>639.70000000000005</v>
      </c>
      <c r="BA104">
        <v>86.6</v>
      </c>
      <c r="BB104">
        <v>86.5</v>
      </c>
      <c r="BC104">
        <v>1.6799999999999999E-2</v>
      </c>
      <c r="BD104" s="36">
        <v>659.3</v>
      </c>
      <c r="BE104">
        <v>1.52E-2</v>
      </c>
      <c r="BF104">
        <v>639.70000000000005</v>
      </c>
      <c r="BG104">
        <v>1.6E-2</v>
      </c>
    </row>
    <row r="105" spans="1:59" x14ac:dyDescent="0.25">
      <c r="A105" s="3">
        <v>720</v>
      </c>
      <c r="B105" s="3">
        <v>10</v>
      </c>
      <c r="C105" s="3">
        <v>2</v>
      </c>
      <c r="D105">
        <v>0</v>
      </c>
      <c r="E105">
        <v>0</v>
      </c>
      <c r="F105">
        <v>0</v>
      </c>
      <c r="G105" s="36">
        <v>0</v>
      </c>
      <c r="H105">
        <v>0</v>
      </c>
      <c r="I105">
        <v>0</v>
      </c>
      <c r="J105">
        <v>0</v>
      </c>
      <c r="K105" s="36">
        <v>0</v>
      </c>
      <c r="L105">
        <v>0</v>
      </c>
      <c r="M105">
        <v>0</v>
      </c>
      <c r="N105">
        <v>0</v>
      </c>
      <c r="P105" s="3">
        <v>720</v>
      </c>
      <c r="Q105" s="3">
        <v>10</v>
      </c>
      <c r="R105" s="3">
        <v>2</v>
      </c>
      <c r="S105">
        <v>0</v>
      </c>
      <c r="T105">
        <v>0</v>
      </c>
      <c r="U105">
        <v>0</v>
      </c>
      <c r="V105" s="36">
        <v>0</v>
      </c>
      <c r="W105">
        <v>0</v>
      </c>
      <c r="X105">
        <v>0</v>
      </c>
      <c r="Y105">
        <v>0</v>
      </c>
      <c r="Z105" s="36">
        <v>0</v>
      </c>
      <c r="AA105">
        <v>0</v>
      </c>
      <c r="AB105">
        <v>0</v>
      </c>
      <c r="AC105">
        <v>0</v>
      </c>
      <c r="AE105" s="3">
        <v>720</v>
      </c>
      <c r="AF105" s="3">
        <v>10</v>
      </c>
      <c r="AG105" s="3">
        <v>2</v>
      </c>
      <c r="AH105">
        <v>87</v>
      </c>
      <c r="AI105">
        <v>695.7</v>
      </c>
      <c r="AJ105">
        <v>84.7</v>
      </c>
      <c r="AK105" s="36">
        <v>713.7</v>
      </c>
      <c r="AL105">
        <v>86</v>
      </c>
      <c r="AM105">
        <v>85.9</v>
      </c>
      <c r="AN105">
        <v>1.6E-2</v>
      </c>
      <c r="AO105" s="36">
        <v>695.3</v>
      </c>
      <c r="AP105">
        <v>1.5299999999999999E-2</v>
      </c>
      <c r="AQ105">
        <v>630</v>
      </c>
      <c r="AR105">
        <v>1.5599999999999999E-2</v>
      </c>
      <c r="AT105" s="3">
        <v>720</v>
      </c>
      <c r="AU105" s="3">
        <v>10</v>
      </c>
      <c r="AV105" s="3">
        <v>2</v>
      </c>
      <c r="AW105">
        <v>87</v>
      </c>
      <c r="AX105">
        <v>695.7</v>
      </c>
      <c r="AY105">
        <v>84.7</v>
      </c>
      <c r="AZ105" s="36">
        <v>713.7</v>
      </c>
      <c r="BA105">
        <v>86</v>
      </c>
      <c r="BB105">
        <v>85.9</v>
      </c>
      <c r="BC105">
        <v>1.6E-2</v>
      </c>
      <c r="BD105" s="36">
        <v>695.3</v>
      </c>
      <c r="BE105">
        <v>1.5299999999999999E-2</v>
      </c>
      <c r="BF105">
        <v>630</v>
      </c>
      <c r="BG105">
        <v>1.5599999999999999E-2</v>
      </c>
    </row>
    <row r="106" spans="1:59" x14ac:dyDescent="0.25">
      <c r="A106" s="3">
        <v>720</v>
      </c>
      <c r="B106" s="3">
        <v>11</v>
      </c>
      <c r="C106" s="3">
        <v>1</v>
      </c>
      <c r="D106">
        <v>0</v>
      </c>
      <c r="E106">
        <v>0</v>
      </c>
      <c r="F106">
        <v>0</v>
      </c>
      <c r="G106" s="36">
        <v>0</v>
      </c>
      <c r="H106">
        <v>0</v>
      </c>
      <c r="I106">
        <v>0</v>
      </c>
      <c r="J106">
        <v>0</v>
      </c>
      <c r="K106" s="36">
        <v>0</v>
      </c>
      <c r="L106">
        <v>0</v>
      </c>
      <c r="M106">
        <v>0</v>
      </c>
      <c r="N106">
        <v>0</v>
      </c>
      <c r="P106" s="3">
        <v>720</v>
      </c>
      <c r="Q106" s="3">
        <v>11</v>
      </c>
      <c r="R106" s="3">
        <v>1</v>
      </c>
      <c r="S106">
        <v>0</v>
      </c>
      <c r="T106">
        <v>0</v>
      </c>
      <c r="U106">
        <v>0</v>
      </c>
      <c r="V106" s="36">
        <v>0</v>
      </c>
      <c r="W106">
        <v>0</v>
      </c>
      <c r="X106">
        <v>0</v>
      </c>
      <c r="Y106">
        <v>0</v>
      </c>
      <c r="Z106" s="36">
        <v>0</v>
      </c>
      <c r="AA106">
        <v>0</v>
      </c>
      <c r="AB106">
        <v>0</v>
      </c>
      <c r="AC106">
        <v>0</v>
      </c>
      <c r="AE106" s="3">
        <v>720</v>
      </c>
      <c r="AF106" s="3">
        <v>11</v>
      </c>
      <c r="AG106" s="3">
        <v>1</v>
      </c>
      <c r="AH106">
        <v>90</v>
      </c>
      <c r="AI106">
        <v>644.9</v>
      </c>
      <c r="AJ106">
        <v>73.5</v>
      </c>
      <c r="AK106" s="36">
        <v>691.7</v>
      </c>
      <c r="AL106">
        <v>81.599999999999994</v>
      </c>
      <c r="AM106">
        <v>80</v>
      </c>
      <c r="AN106">
        <v>1.72E-2</v>
      </c>
      <c r="AO106" s="36">
        <v>644.9</v>
      </c>
      <c r="AP106">
        <v>1.11E-2</v>
      </c>
      <c r="AQ106">
        <v>691.3</v>
      </c>
      <c r="AR106">
        <v>1.38E-2</v>
      </c>
      <c r="AT106" s="3">
        <v>720</v>
      </c>
      <c r="AU106" s="3">
        <v>11</v>
      </c>
      <c r="AV106" s="3">
        <v>1</v>
      </c>
      <c r="AW106">
        <v>90</v>
      </c>
      <c r="AX106">
        <v>644.9</v>
      </c>
      <c r="AY106">
        <v>73.5</v>
      </c>
      <c r="AZ106" s="36">
        <v>691.7</v>
      </c>
      <c r="BA106">
        <v>81.599999999999994</v>
      </c>
      <c r="BB106">
        <v>80</v>
      </c>
      <c r="BC106">
        <v>1.72E-2</v>
      </c>
      <c r="BD106" s="36">
        <v>644.9</v>
      </c>
      <c r="BE106">
        <v>1.11E-2</v>
      </c>
      <c r="BF106">
        <v>691.3</v>
      </c>
      <c r="BG106">
        <v>1.38E-2</v>
      </c>
    </row>
    <row r="107" spans="1:59" x14ac:dyDescent="0.25">
      <c r="A107" s="3">
        <v>720</v>
      </c>
      <c r="B107" s="3">
        <v>12</v>
      </c>
      <c r="C107" s="3">
        <v>1</v>
      </c>
      <c r="D107">
        <v>0</v>
      </c>
      <c r="E107">
        <v>0</v>
      </c>
      <c r="F107">
        <v>0</v>
      </c>
      <c r="G107" s="36">
        <v>0</v>
      </c>
      <c r="H107">
        <v>0</v>
      </c>
      <c r="I107">
        <v>0</v>
      </c>
      <c r="J107">
        <v>0</v>
      </c>
      <c r="K107" s="36">
        <v>0</v>
      </c>
      <c r="L107">
        <v>0</v>
      </c>
      <c r="M107">
        <v>0</v>
      </c>
      <c r="N107">
        <v>0</v>
      </c>
      <c r="P107" s="3">
        <v>720</v>
      </c>
      <c r="Q107" s="3">
        <v>12</v>
      </c>
      <c r="R107" s="3">
        <v>1</v>
      </c>
      <c r="S107">
        <v>0</v>
      </c>
      <c r="T107">
        <v>0</v>
      </c>
      <c r="U107">
        <v>0</v>
      </c>
      <c r="V107" s="36">
        <v>0</v>
      </c>
      <c r="W107">
        <v>0</v>
      </c>
      <c r="X107">
        <v>0</v>
      </c>
      <c r="Y107">
        <v>0</v>
      </c>
      <c r="Z107" s="36">
        <v>0</v>
      </c>
      <c r="AA107">
        <v>0</v>
      </c>
      <c r="AB107">
        <v>0</v>
      </c>
      <c r="AC107">
        <v>0</v>
      </c>
      <c r="AE107" s="3">
        <v>720</v>
      </c>
      <c r="AF107" s="3">
        <v>12</v>
      </c>
      <c r="AG107" s="3">
        <v>1</v>
      </c>
      <c r="AH107">
        <v>95.5</v>
      </c>
      <c r="AI107">
        <v>645.70000000000005</v>
      </c>
      <c r="AJ107">
        <v>86.7</v>
      </c>
      <c r="AK107" s="36">
        <v>684.1</v>
      </c>
      <c r="AL107">
        <v>91.2</v>
      </c>
      <c r="AM107">
        <v>91.1</v>
      </c>
      <c r="AN107">
        <v>1.9900000000000001E-2</v>
      </c>
      <c r="AO107" s="36">
        <v>646.9</v>
      </c>
      <c r="AP107">
        <v>1.6400000000000001E-2</v>
      </c>
      <c r="AQ107">
        <v>684.1</v>
      </c>
      <c r="AR107">
        <v>1.8200000000000001E-2</v>
      </c>
      <c r="AT107" s="3">
        <v>720</v>
      </c>
      <c r="AU107" s="3">
        <v>12</v>
      </c>
      <c r="AV107" s="3">
        <v>1</v>
      </c>
      <c r="AW107">
        <v>95.5</v>
      </c>
      <c r="AX107">
        <v>645.70000000000005</v>
      </c>
      <c r="AY107">
        <v>86.7</v>
      </c>
      <c r="AZ107" s="36">
        <v>684.1</v>
      </c>
      <c r="BA107">
        <v>91.2</v>
      </c>
      <c r="BB107">
        <v>91.1</v>
      </c>
      <c r="BC107">
        <v>1.9900000000000001E-2</v>
      </c>
      <c r="BD107" s="36">
        <v>646.9</v>
      </c>
      <c r="BE107">
        <v>1.6400000000000001E-2</v>
      </c>
      <c r="BF107">
        <v>684.1</v>
      </c>
      <c r="BG107">
        <v>1.8200000000000001E-2</v>
      </c>
    </row>
    <row r="108" spans="1:59" x14ac:dyDescent="0.25">
      <c r="A108" s="3">
        <v>720</v>
      </c>
      <c r="B108" s="3">
        <v>12</v>
      </c>
      <c r="C108" s="3">
        <v>2</v>
      </c>
      <c r="D108">
        <v>0</v>
      </c>
      <c r="E108">
        <v>0</v>
      </c>
      <c r="F108">
        <v>0</v>
      </c>
      <c r="G108" s="36">
        <v>0</v>
      </c>
      <c r="H108">
        <v>0</v>
      </c>
      <c r="I108">
        <v>0</v>
      </c>
      <c r="J108">
        <v>0</v>
      </c>
      <c r="K108" s="36">
        <v>0</v>
      </c>
      <c r="L108">
        <v>0</v>
      </c>
      <c r="M108">
        <v>0</v>
      </c>
      <c r="N108">
        <v>0</v>
      </c>
      <c r="P108" s="3">
        <v>720</v>
      </c>
      <c r="Q108" s="3">
        <v>12</v>
      </c>
      <c r="R108" s="3">
        <v>2</v>
      </c>
      <c r="S108">
        <v>0</v>
      </c>
      <c r="T108">
        <v>0</v>
      </c>
      <c r="U108">
        <v>0</v>
      </c>
      <c r="V108" s="36">
        <v>0</v>
      </c>
      <c r="W108">
        <v>0</v>
      </c>
      <c r="X108">
        <v>0</v>
      </c>
      <c r="Y108">
        <v>0</v>
      </c>
      <c r="Z108" s="36">
        <v>0</v>
      </c>
      <c r="AA108">
        <v>0</v>
      </c>
      <c r="AB108">
        <v>0</v>
      </c>
      <c r="AC108">
        <v>0</v>
      </c>
      <c r="AE108" s="3">
        <v>720</v>
      </c>
      <c r="AF108" s="3">
        <v>12</v>
      </c>
      <c r="AG108" s="3">
        <v>2</v>
      </c>
      <c r="AH108">
        <v>95</v>
      </c>
      <c r="AI108">
        <v>716.9</v>
      </c>
      <c r="AJ108">
        <v>90.7</v>
      </c>
      <c r="AK108" s="36">
        <v>706.9</v>
      </c>
      <c r="AL108">
        <v>93</v>
      </c>
      <c r="AM108">
        <v>92.5</v>
      </c>
      <c r="AN108">
        <v>2.0199999999999999E-2</v>
      </c>
      <c r="AO108" s="36">
        <v>648.9</v>
      </c>
      <c r="AP108">
        <v>1.89E-2</v>
      </c>
      <c r="AQ108">
        <v>684.1</v>
      </c>
      <c r="AR108">
        <v>1.9599999999999999E-2</v>
      </c>
      <c r="AT108" s="3">
        <v>720</v>
      </c>
      <c r="AU108" s="3">
        <v>12</v>
      </c>
      <c r="AV108" s="3">
        <v>2</v>
      </c>
      <c r="AW108">
        <v>95</v>
      </c>
      <c r="AX108">
        <v>716.9</v>
      </c>
      <c r="AY108">
        <v>90.7</v>
      </c>
      <c r="AZ108" s="36">
        <v>706.9</v>
      </c>
      <c r="BA108">
        <v>93</v>
      </c>
      <c r="BB108">
        <v>92.5</v>
      </c>
      <c r="BC108">
        <v>2.0199999999999999E-2</v>
      </c>
      <c r="BD108" s="36">
        <v>648.9</v>
      </c>
      <c r="BE108">
        <v>1.89E-2</v>
      </c>
      <c r="BF108">
        <v>684.1</v>
      </c>
      <c r="BG108">
        <v>1.9599999999999999E-2</v>
      </c>
    </row>
    <row r="109" spans="1:59" x14ac:dyDescent="0.25">
      <c r="A109" s="3">
        <v>720</v>
      </c>
      <c r="B109" s="3">
        <v>12</v>
      </c>
      <c r="C109" s="3">
        <v>3</v>
      </c>
      <c r="D109">
        <v>0</v>
      </c>
      <c r="E109">
        <v>0</v>
      </c>
      <c r="F109">
        <v>0</v>
      </c>
      <c r="G109" s="36">
        <v>0</v>
      </c>
      <c r="H109">
        <v>0</v>
      </c>
      <c r="I109">
        <v>0</v>
      </c>
      <c r="J109">
        <v>0</v>
      </c>
      <c r="K109" s="36">
        <v>0</v>
      </c>
      <c r="L109">
        <v>0</v>
      </c>
      <c r="M109">
        <v>0</v>
      </c>
      <c r="N109">
        <v>0</v>
      </c>
      <c r="P109" s="3">
        <v>720</v>
      </c>
      <c r="Q109" s="3">
        <v>12</v>
      </c>
      <c r="R109" s="3">
        <v>3</v>
      </c>
      <c r="S109">
        <v>0</v>
      </c>
      <c r="T109">
        <v>0</v>
      </c>
      <c r="U109">
        <v>0</v>
      </c>
      <c r="V109" s="36">
        <v>0</v>
      </c>
      <c r="W109">
        <v>0</v>
      </c>
      <c r="X109">
        <v>0</v>
      </c>
      <c r="Y109">
        <v>0</v>
      </c>
      <c r="Z109" s="36">
        <v>0</v>
      </c>
      <c r="AA109">
        <v>0</v>
      </c>
      <c r="AB109">
        <v>0</v>
      </c>
      <c r="AC109">
        <v>0</v>
      </c>
      <c r="AE109" s="3">
        <v>720</v>
      </c>
      <c r="AF109" s="3">
        <v>12</v>
      </c>
      <c r="AG109" s="3">
        <v>3</v>
      </c>
      <c r="AH109">
        <v>93.8</v>
      </c>
      <c r="AI109">
        <v>713.7</v>
      </c>
      <c r="AJ109">
        <v>90.3</v>
      </c>
      <c r="AK109" s="36">
        <v>704.5</v>
      </c>
      <c r="AL109">
        <v>92</v>
      </c>
      <c r="AM109">
        <v>91.7</v>
      </c>
      <c r="AN109">
        <v>2.0199999999999999E-2</v>
      </c>
      <c r="AO109" s="36">
        <v>650.9</v>
      </c>
      <c r="AP109">
        <v>1.9900000000000001E-2</v>
      </c>
      <c r="AQ109">
        <v>684.1</v>
      </c>
      <c r="AR109">
        <v>2.01E-2</v>
      </c>
      <c r="AT109" s="3">
        <v>720</v>
      </c>
      <c r="AU109" s="3">
        <v>12</v>
      </c>
      <c r="AV109" s="3">
        <v>3</v>
      </c>
      <c r="AW109">
        <v>93.8</v>
      </c>
      <c r="AX109">
        <v>713.7</v>
      </c>
      <c r="AY109">
        <v>90.3</v>
      </c>
      <c r="AZ109" s="36">
        <v>704.5</v>
      </c>
      <c r="BA109">
        <v>92</v>
      </c>
      <c r="BB109">
        <v>91.7</v>
      </c>
      <c r="BC109">
        <v>2.0199999999999999E-2</v>
      </c>
      <c r="BD109" s="36">
        <v>650.9</v>
      </c>
      <c r="BE109">
        <v>1.9900000000000001E-2</v>
      </c>
      <c r="BF109">
        <v>684.1</v>
      </c>
      <c r="BG109">
        <v>2.01E-2</v>
      </c>
    </row>
    <row r="110" spans="1:59" x14ac:dyDescent="0.25">
      <c r="A110" s="3">
        <v>720</v>
      </c>
      <c r="B110" s="3">
        <v>13</v>
      </c>
      <c r="C110" s="3">
        <v>1</v>
      </c>
      <c r="D110">
        <v>0</v>
      </c>
      <c r="E110">
        <v>0</v>
      </c>
      <c r="F110">
        <v>0</v>
      </c>
      <c r="G110" s="36">
        <v>0</v>
      </c>
      <c r="I110">
        <v>0</v>
      </c>
      <c r="J110">
        <v>0</v>
      </c>
      <c r="K110" s="36">
        <v>0</v>
      </c>
      <c r="L110">
        <v>0</v>
      </c>
      <c r="M110">
        <v>0</v>
      </c>
      <c r="N110">
        <v>0</v>
      </c>
      <c r="P110" s="3">
        <v>720</v>
      </c>
      <c r="Q110" s="3">
        <v>13</v>
      </c>
      <c r="R110" s="3">
        <v>1</v>
      </c>
      <c r="S110">
        <v>0</v>
      </c>
      <c r="T110">
        <v>0</v>
      </c>
      <c r="U110">
        <v>0</v>
      </c>
      <c r="V110" s="36">
        <v>0</v>
      </c>
      <c r="W110">
        <v>0</v>
      </c>
      <c r="X110">
        <v>0</v>
      </c>
      <c r="Y110">
        <v>0</v>
      </c>
      <c r="Z110" s="36">
        <v>0</v>
      </c>
      <c r="AA110">
        <v>0</v>
      </c>
      <c r="AB110">
        <v>0</v>
      </c>
      <c r="AC110">
        <v>0</v>
      </c>
      <c r="AE110" s="3">
        <v>720</v>
      </c>
      <c r="AF110" s="3">
        <v>13</v>
      </c>
      <c r="AG110" s="3">
        <v>1</v>
      </c>
      <c r="AH110">
        <v>92.3</v>
      </c>
      <c r="AI110">
        <v>710.9</v>
      </c>
      <c r="AJ110">
        <v>89.4</v>
      </c>
      <c r="AK110" s="36">
        <v>701.7</v>
      </c>
      <c r="AL110">
        <v>0</v>
      </c>
      <c r="AM110">
        <v>90.3</v>
      </c>
      <c r="AN110">
        <v>2.0199999999999999E-2</v>
      </c>
      <c r="AO110" s="36">
        <v>709.7</v>
      </c>
      <c r="AP110">
        <v>2.0199999999999999E-2</v>
      </c>
      <c r="AQ110">
        <v>644.5</v>
      </c>
      <c r="AR110">
        <v>2.0199999999999999E-2</v>
      </c>
      <c r="AT110" s="3">
        <v>720</v>
      </c>
      <c r="AU110" s="3">
        <v>13</v>
      </c>
      <c r="AV110" s="3">
        <v>1</v>
      </c>
      <c r="AW110">
        <v>92.3</v>
      </c>
      <c r="AX110">
        <v>710.9</v>
      </c>
      <c r="AY110">
        <v>89.4</v>
      </c>
      <c r="AZ110" s="36">
        <v>701.7</v>
      </c>
      <c r="BA110">
        <v>0</v>
      </c>
      <c r="BB110">
        <v>90.3</v>
      </c>
      <c r="BC110">
        <v>2.0199999999999999E-2</v>
      </c>
      <c r="BD110" s="36">
        <v>709.7</v>
      </c>
      <c r="BE110">
        <v>2.0199999999999999E-2</v>
      </c>
      <c r="BF110">
        <v>644.5</v>
      </c>
      <c r="BG110">
        <v>2.0199999999999999E-2</v>
      </c>
    </row>
    <row r="111" spans="1:59" x14ac:dyDescent="0.25">
      <c r="A111" s="3">
        <v>720</v>
      </c>
      <c r="B111" s="3">
        <v>13</v>
      </c>
      <c r="C111" s="3">
        <v>2</v>
      </c>
      <c r="D111">
        <v>0</v>
      </c>
      <c r="E111">
        <v>0</v>
      </c>
      <c r="F111">
        <v>0</v>
      </c>
      <c r="G111" s="36">
        <v>0</v>
      </c>
      <c r="I111">
        <v>0</v>
      </c>
      <c r="J111">
        <v>0</v>
      </c>
      <c r="K111" s="36">
        <v>0</v>
      </c>
      <c r="L111">
        <v>0</v>
      </c>
      <c r="M111">
        <v>0</v>
      </c>
      <c r="N111">
        <v>0</v>
      </c>
      <c r="P111" s="3">
        <v>720</v>
      </c>
      <c r="Q111" s="3">
        <v>13</v>
      </c>
      <c r="R111" s="3">
        <v>2</v>
      </c>
      <c r="S111">
        <v>0</v>
      </c>
      <c r="T111">
        <v>0</v>
      </c>
      <c r="U111">
        <v>0</v>
      </c>
      <c r="V111" s="36">
        <v>0</v>
      </c>
      <c r="W111">
        <v>0</v>
      </c>
      <c r="X111">
        <v>0</v>
      </c>
      <c r="Y111">
        <v>0</v>
      </c>
      <c r="Z111" s="36">
        <v>0</v>
      </c>
      <c r="AA111">
        <v>0</v>
      </c>
      <c r="AB111">
        <v>0</v>
      </c>
      <c r="AC111">
        <v>0</v>
      </c>
      <c r="AE111" s="3">
        <v>720</v>
      </c>
      <c r="AF111" s="3">
        <v>13</v>
      </c>
      <c r="AG111" s="3">
        <v>2</v>
      </c>
      <c r="AH111">
        <v>91.5</v>
      </c>
      <c r="AI111">
        <v>708.1</v>
      </c>
      <c r="AJ111">
        <v>89.1</v>
      </c>
      <c r="AK111" s="36">
        <v>647.29999999999995</v>
      </c>
      <c r="AL111">
        <v>0</v>
      </c>
      <c r="AM111">
        <v>90</v>
      </c>
      <c r="AN111">
        <v>2.0199999999999999E-2</v>
      </c>
      <c r="AO111" s="36">
        <v>706.5</v>
      </c>
      <c r="AP111">
        <v>2.0199999999999999E-2</v>
      </c>
      <c r="AQ111">
        <v>647.29999999999995</v>
      </c>
      <c r="AR111">
        <v>2.0199999999999999E-2</v>
      </c>
      <c r="AT111" s="3">
        <v>720</v>
      </c>
      <c r="AU111" s="3">
        <v>13</v>
      </c>
      <c r="AV111" s="3">
        <v>2</v>
      </c>
      <c r="AW111">
        <v>91.5</v>
      </c>
      <c r="AX111">
        <v>708.1</v>
      </c>
      <c r="AY111">
        <v>89.1</v>
      </c>
      <c r="AZ111" s="36">
        <v>647.29999999999995</v>
      </c>
      <c r="BA111">
        <v>0</v>
      </c>
      <c r="BB111">
        <v>90</v>
      </c>
      <c r="BC111">
        <v>2.0199999999999999E-2</v>
      </c>
      <c r="BD111" s="36">
        <v>706.5</v>
      </c>
      <c r="BE111">
        <v>2.0199999999999999E-2</v>
      </c>
      <c r="BF111">
        <v>647.29999999999995</v>
      </c>
      <c r="BG111">
        <v>2.0199999999999999E-2</v>
      </c>
    </row>
    <row r="112" spans="1:59" x14ac:dyDescent="0.25">
      <c r="A112" s="3">
        <v>720</v>
      </c>
      <c r="B112" s="3">
        <v>14</v>
      </c>
      <c r="C112" s="3">
        <v>1</v>
      </c>
      <c r="D112">
        <v>0</v>
      </c>
      <c r="E112">
        <v>0</v>
      </c>
      <c r="F112">
        <v>0</v>
      </c>
      <c r="G112" s="36">
        <v>0</v>
      </c>
      <c r="I112">
        <v>0</v>
      </c>
      <c r="J112">
        <v>0</v>
      </c>
      <c r="K112" s="36">
        <v>0</v>
      </c>
      <c r="L112">
        <v>0</v>
      </c>
      <c r="M112">
        <v>0</v>
      </c>
      <c r="N112">
        <v>0</v>
      </c>
      <c r="P112" s="3">
        <v>720</v>
      </c>
      <c r="Q112" s="3">
        <v>14</v>
      </c>
      <c r="R112" s="3">
        <v>1</v>
      </c>
      <c r="S112">
        <v>0</v>
      </c>
      <c r="T112">
        <v>0</v>
      </c>
      <c r="U112">
        <v>0</v>
      </c>
      <c r="V112" s="36">
        <v>0</v>
      </c>
      <c r="W112">
        <v>0</v>
      </c>
      <c r="X112">
        <v>0</v>
      </c>
      <c r="Y112">
        <v>0</v>
      </c>
      <c r="Z112" s="36">
        <v>0</v>
      </c>
      <c r="AA112">
        <v>0</v>
      </c>
      <c r="AB112">
        <v>0</v>
      </c>
      <c r="AC112">
        <v>0</v>
      </c>
      <c r="AE112" s="3">
        <v>720</v>
      </c>
      <c r="AF112" s="3">
        <v>14</v>
      </c>
      <c r="AG112" s="3">
        <v>1</v>
      </c>
      <c r="AH112">
        <v>90.7</v>
      </c>
      <c r="AI112">
        <v>705.7</v>
      </c>
      <c r="AJ112">
        <v>89.3</v>
      </c>
      <c r="AK112" s="36">
        <v>650.5</v>
      </c>
      <c r="AL112">
        <v>0</v>
      </c>
      <c r="AM112">
        <v>89.8</v>
      </c>
      <c r="AN112">
        <v>2.0199999999999999E-2</v>
      </c>
      <c r="AO112" s="36">
        <v>704.1</v>
      </c>
      <c r="AP112">
        <v>2.0199999999999999E-2</v>
      </c>
      <c r="AQ112">
        <v>646.9</v>
      </c>
      <c r="AR112">
        <v>2.0199999999999999E-2</v>
      </c>
      <c r="AT112" s="3">
        <v>720</v>
      </c>
      <c r="AU112" s="3">
        <v>14</v>
      </c>
      <c r="AV112" s="3">
        <v>1</v>
      </c>
      <c r="AW112">
        <v>90.7</v>
      </c>
      <c r="AX112">
        <v>705.7</v>
      </c>
      <c r="AY112">
        <v>89.3</v>
      </c>
      <c r="AZ112" s="36">
        <v>650.5</v>
      </c>
      <c r="BA112">
        <v>0</v>
      </c>
      <c r="BB112">
        <v>89.8</v>
      </c>
      <c r="BC112">
        <v>2.0199999999999999E-2</v>
      </c>
      <c r="BD112" s="36">
        <v>704.1</v>
      </c>
      <c r="BE112">
        <v>2.0199999999999999E-2</v>
      </c>
      <c r="BF112">
        <v>646.9</v>
      </c>
      <c r="BG112">
        <v>2.0199999999999999E-2</v>
      </c>
    </row>
    <row r="113" spans="1:59" x14ac:dyDescent="0.25">
      <c r="A113" s="3">
        <v>720</v>
      </c>
      <c r="B113" s="3">
        <v>14</v>
      </c>
      <c r="C113" s="3">
        <v>2</v>
      </c>
      <c r="D113">
        <v>0</v>
      </c>
      <c r="E113">
        <v>0</v>
      </c>
      <c r="F113">
        <v>0</v>
      </c>
      <c r="G113" s="36">
        <v>0</v>
      </c>
      <c r="I113">
        <v>0</v>
      </c>
      <c r="J113">
        <v>0</v>
      </c>
      <c r="K113" s="36">
        <v>0</v>
      </c>
      <c r="L113">
        <v>0</v>
      </c>
      <c r="M113">
        <v>6.1948273191881252E-2</v>
      </c>
      <c r="N113">
        <v>0</v>
      </c>
      <c r="P113" s="3">
        <v>720</v>
      </c>
      <c r="Q113" s="3">
        <v>14</v>
      </c>
      <c r="R113" s="3">
        <v>2</v>
      </c>
      <c r="S113">
        <v>0</v>
      </c>
      <c r="T113">
        <v>0</v>
      </c>
      <c r="U113">
        <v>0</v>
      </c>
      <c r="V113" s="36">
        <v>0</v>
      </c>
      <c r="W113">
        <v>0</v>
      </c>
      <c r="X113">
        <v>0</v>
      </c>
      <c r="Y113">
        <v>0</v>
      </c>
      <c r="Z113" s="36">
        <v>0</v>
      </c>
      <c r="AA113">
        <v>0</v>
      </c>
      <c r="AB113">
        <v>0.39999999999997732</v>
      </c>
      <c r="AC113">
        <v>0</v>
      </c>
      <c r="AE113" s="3">
        <v>720</v>
      </c>
      <c r="AF113" s="3">
        <v>14</v>
      </c>
      <c r="AG113" s="3">
        <v>2</v>
      </c>
      <c r="AH113">
        <v>90.8</v>
      </c>
      <c r="AI113">
        <v>702.9</v>
      </c>
      <c r="AJ113">
        <v>89.4</v>
      </c>
      <c r="AK113" s="36">
        <v>652.9</v>
      </c>
      <c r="AL113">
        <v>0</v>
      </c>
      <c r="AM113">
        <v>89.9</v>
      </c>
      <c r="AN113">
        <v>2.0199999999999999E-2</v>
      </c>
      <c r="AO113" s="36">
        <v>701.7</v>
      </c>
      <c r="AP113">
        <v>2.0199999999999999E-2</v>
      </c>
      <c r="AQ113">
        <v>646.1</v>
      </c>
      <c r="AR113">
        <v>2.0199999999999999E-2</v>
      </c>
      <c r="AT113" s="3">
        <v>720</v>
      </c>
      <c r="AU113" s="3">
        <v>14</v>
      </c>
      <c r="AV113" s="3">
        <v>2</v>
      </c>
      <c r="AW113">
        <v>90.8</v>
      </c>
      <c r="AX113">
        <v>702.9</v>
      </c>
      <c r="AY113">
        <v>89.4</v>
      </c>
      <c r="AZ113" s="36">
        <v>652.9</v>
      </c>
      <c r="BA113">
        <v>0</v>
      </c>
      <c r="BB113">
        <v>89.9</v>
      </c>
      <c r="BC113">
        <v>2.0199999999999999E-2</v>
      </c>
      <c r="BD113" s="36">
        <v>701.7</v>
      </c>
      <c r="BE113">
        <v>2.0199999999999999E-2</v>
      </c>
      <c r="BF113">
        <v>645.70000000000005</v>
      </c>
      <c r="BG113">
        <v>2.0199999999999999E-2</v>
      </c>
    </row>
    <row r="114" spans="1:59" x14ac:dyDescent="0.25">
      <c r="A114" s="3">
        <v>720</v>
      </c>
      <c r="B114" s="3">
        <v>103</v>
      </c>
      <c r="C114" s="3">
        <v>1</v>
      </c>
      <c r="D114">
        <v>0</v>
      </c>
      <c r="E114">
        <v>0</v>
      </c>
      <c r="F114">
        <v>0</v>
      </c>
      <c r="G114" s="36">
        <v>0</v>
      </c>
      <c r="H114">
        <v>0</v>
      </c>
      <c r="I114">
        <v>0</v>
      </c>
      <c r="J114">
        <v>0</v>
      </c>
      <c r="K114" s="36">
        <v>5.9799671101805549E-2</v>
      </c>
      <c r="L114">
        <v>0</v>
      </c>
      <c r="M114">
        <v>0</v>
      </c>
      <c r="N114">
        <v>0</v>
      </c>
      <c r="P114" s="3">
        <v>720</v>
      </c>
      <c r="Q114" s="3">
        <v>103</v>
      </c>
      <c r="R114" s="3">
        <v>1</v>
      </c>
      <c r="S114">
        <v>0</v>
      </c>
      <c r="T114">
        <v>0</v>
      </c>
      <c r="U114">
        <v>0</v>
      </c>
      <c r="V114" s="36">
        <v>0</v>
      </c>
      <c r="W114">
        <v>0</v>
      </c>
      <c r="X114">
        <v>0</v>
      </c>
      <c r="Y114">
        <v>0</v>
      </c>
      <c r="Z114" s="36">
        <v>-0.39999999999997732</v>
      </c>
      <c r="AA114">
        <v>0</v>
      </c>
      <c r="AB114">
        <v>0</v>
      </c>
      <c r="AC114">
        <v>0</v>
      </c>
      <c r="AE114" s="3">
        <v>720</v>
      </c>
      <c r="AF114" s="3">
        <v>103</v>
      </c>
      <c r="AG114" s="3">
        <v>1</v>
      </c>
      <c r="AH114">
        <v>88.8</v>
      </c>
      <c r="AI114">
        <v>697.7</v>
      </c>
      <c r="AJ114">
        <v>87.1</v>
      </c>
      <c r="AK114" s="36">
        <v>663.7</v>
      </c>
      <c r="AL114">
        <v>87.7</v>
      </c>
      <c r="AM114">
        <v>88.1</v>
      </c>
      <c r="AN114">
        <v>2.0199999999999999E-2</v>
      </c>
      <c r="AO114" s="36">
        <v>668.5</v>
      </c>
      <c r="AP114">
        <v>2.0199999999999999E-2</v>
      </c>
      <c r="AQ114">
        <v>700.1</v>
      </c>
      <c r="AR114">
        <v>2.0199999999999999E-2</v>
      </c>
      <c r="AT114" s="3">
        <v>720</v>
      </c>
      <c r="AU114" s="3">
        <v>103</v>
      </c>
      <c r="AV114" s="3">
        <v>1</v>
      </c>
      <c r="AW114">
        <v>88.8</v>
      </c>
      <c r="AX114">
        <v>697.7</v>
      </c>
      <c r="AY114">
        <v>87.1</v>
      </c>
      <c r="AZ114" s="36">
        <v>663.7</v>
      </c>
      <c r="BA114">
        <v>87.7</v>
      </c>
      <c r="BB114">
        <v>88.1</v>
      </c>
      <c r="BC114">
        <v>2.0199999999999999E-2</v>
      </c>
      <c r="BD114" s="36">
        <v>668.9</v>
      </c>
      <c r="BE114">
        <v>2.0199999999999999E-2</v>
      </c>
      <c r="BF114">
        <v>700.1</v>
      </c>
      <c r="BG114">
        <v>2.0199999999999999E-2</v>
      </c>
    </row>
    <row r="115" spans="1:59" x14ac:dyDescent="0.25">
      <c r="A115" s="3">
        <v>720</v>
      </c>
      <c r="B115" s="3">
        <v>104</v>
      </c>
      <c r="C115" s="3">
        <v>1</v>
      </c>
      <c r="D115">
        <v>0</v>
      </c>
      <c r="E115">
        <v>0</v>
      </c>
      <c r="F115">
        <v>0</v>
      </c>
      <c r="G115" s="36">
        <v>0</v>
      </c>
      <c r="H115">
        <v>0</v>
      </c>
      <c r="I115">
        <v>0</v>
      </c>
      <c r="J115">
        <v>0</v>
      </c>
      <c r="K115" s="36">
        <v>0</v>
      </c>
      <c r="L115">
        <v>0</v>
      </c>
      <c r="M115">
        <v>0</v>
      </c>
      <c r="N115">
        <v>0</v>
      </c>
      <c r="P115" s="3">
        <v>720</v>
      </c>
      <c r="Q115" s="3">
        <v>104</v>
      </c>
      <c r="R115" s="3">
        <v>1</v>
      </c>
      <c r="S115">
        <v>0</v>
      </c>
      <c r="T115">
        <v>0</v>
      </c>
      <c r="U115">
        <v>0</v>
      </c>
      <c r="V115" s="36">
        <v>0</v>
      </c>
      <c r="W115">
        <v>0</v>
      </c>
      <c r="X115">
        <v>0</v>
      </c>
      <c r="Y115">
        <v>0</v>
      </c>
      <c r="Z115" s="36">
        <v>0</v>
      </c>
      <c r="AA115">
        <v>0</v>
      </c>
      <c r="AB115">
        <v>0</v>
      </c>
      <c r="AC115">
        <v>0</v>
      </c>
      <c r="AE115" s="3">
        <v>720</v>
      </c>
      <c r="AF115" s="3">
        <v>104</v>
      </c>
      <c r="AG115" s="3">
        <v>1</v>
      </c>
      <c r="AH115">
        <v>89.6</v>
      </c>
      <c r="AI115">
        <v>659.3</v>
      </c>
      <c r="AJ115">
        <v>83.9</v>
      </c>
      <c r="AK115" s="36">
        <v>687.3</v>
      </c>
      <c r="AL115">
        <v>86.3</v>
      </c>
      <c r="AM115">
        <v>88.9</v>
      </c>
      <c r="AN115">
        <v>2.0199999999999999E-2</v>
      </c>
      <c r="AO115" s="36">
        <v>664.1</v>
      </c>
      <c r="AP115">
        <v>1.6500000000000001E-2</v>
      </c>
      <c r="AQ115">
        <v>689.7</v>
      </c>
      <c r="AR115">
        <v>1.9300000000000001E-2</v>
      </c>
      <c r="AT115" s="3">
        <v>720</v>
      </c>
      <c r="AU115" s="3">
        <v>104</v>
      </c>
      <c r="AV115" s="3">
        <v>1</v>
      </c>
      <c r="AW115">
        <v>89.6</v>
      </c>
      <c r="AX115">
        <v>659.3</v>
      </c>
      <c r="AY115">
        <v>83.9</v>
      </c>
      <c r="AZ115" s="36">
        <v>687.3</v>
      </c>
      <c r="BA115">
        <v>86.3</v>
      </c>
      <c r="BB115">
        <v>88.9</v>
      </c>
      <c r="BC115">
        <v>2.0199999999999999E-2</v>
      </c>
      <c r="BD115" s="36">
        <v>664.1</v>
      </c>
      <c r="BE115">
        <v>1.6500000000000001E-2</v>
      </c>
      <c r="BF115">
        <v>689.7</v>
      </c>
      <c r="BG115">
        <v>1.9300000000000001E-2</v>
      </c>
    </row>
    <row r="116" spans="1:59" x14ac:dyDescent="0.25">
      <c r="A116" s="3">
        <v>720</v>
      </c>
      <c r="B116" s="3">
        <v>110</v>
      </c>
      <c r="C116" s="3">
        <v>1</v>
      </c>
      <c r="D116">
        <v>0</v>
      </c>
      <c r="E116">
        <v>6.1795149080811212E-2</v>
      </c>
      <c r="F116">
        <v>0</v>
      </c>
      <c r="G116" s="36">
        <v>0</v>
      </c>
      <c r="H116">
        <v>0</v>
      </c>
      <c r="I116">
        <v>0</v>
      </c>
      <c r="J116">
        <v>0</v>
      </c>
      <c r="K116" s="36">
        <v>0.18504240555127921</v>
      </c>
      <c r="L116">
        <v>0</v>
      </c>
      <c r="M116">
        <v>0</v>
      </c>
      <c r="N116">
        <v>0</v>
      </c>
      <c r="P116" s="3">
        <v>720</v>
      </c>
      <c r="Q116" s="3">
        <v>110</v>
      </c>
      <c r="R116" s="3">
        <v>1</v>
      </c>
      <c r="S116">
        <v>0</v>
      </c>
      <c r="T116">
        <v>0.40000000000009089</v>
      </c>
      <c r="U116">
        <v>0</v>
      </c>
      <c r="V116" s="36">
        <v>0</v>
      </c>
      <c r="W116">
        <v>0</v>
      </c>
      <c r="X116">
        <v>0</v>
      </c>
      <c r="Y116">
        <v>0</v>
      </c>
      <c r="Z116" s="36">
        <v>1.200000000000045</v>
      </c>
      <c r="AA116">
        <v>0</v>
      </c>
      <c r="AB116">
        <v>0</v>
      </c>
      <c r="AC116">
        <v>0</v>
      </c>
      <c r="AE116" s="3">
        <v>720</v>
      </c>
      <c r="AF116" s="3">
        <v>110</v>
      </c>
      <c r="AG116" s="3">
        <v>1</v>
      </c>
      <c r="AH116">
        <v>90</v>
      </c>
      <c r="AI116">
        <v>647.70000000000005</v>
      </c>
      <c r="AJ116">
        <v>86.2</v>
      </c>
      <c r="AK116" s="36">
        <v>713.3</v>
      </c>
      <c r="AL116">
        <v>87.2</v>
      </c>
      <c r="AM116">
        <v>89.6</v>
      </c>
      <c r="AN116">
        <v>2.0199999999999999E-2</v>
      </c>
      <c r="AO116" s="36">
        <v>649.70000000000005</v>
      </c>
      <c r="AP116">
        <v>1.5599999999999999E-2</v>
      </c>
      <c r="AQ116">
        <v>713.3</v>
      </c>
      <c r="AR116">
        <v>1.8599999999999998E-2</v>
      </c>
      <c r="AT116" s="3">
        <v>720</v>
      </c>
      <c r="AU116" s="3">
        <v>110</v>
      </c>
      <c r="AV116" s="3">
        <v>1</v>
      </c>
      <c r="AW116">
        <v>90</v>
      </c>
      <c r="AX116">
        <v>647.29999999999995</v>
      </c>
      <c r="AY116">
        <v>86.2</v>
      </c>
      <c r="AZ116" s="36">
        <v>713.3</v>
      </c>
      <c r="BA116">
        <v>87.2</v>
      </c>
      <c r="BB116">
        <v>89.6</v>
      </c>
      <c r="BC116">
        <v>2.0199999999999999E-2</v>
      </c>
      <c r="BD116" s="36">
        <v>648.5</v>
      </c>
      <c r="BE116">
        <v>1.5599999999999999E-2</v>
      </c>
      <c r="BF116">
        <v>713.3</v>
      </c>
      <c r="BG116">
        <v>1.8599999999999998E-2</v>
      </c>
    </row>
    <row r="117" spans="1:59" x14ac:dyDescent="0.25">
      <c r="A117" s="3">
        <v>720</v>
      </c>
      <c r="B117" s="3">
        <v>114</v>
      </c>
      <c r="C117" s="3">
        <v>1</v>
      </c>
      <c r="D117">
        <v>0</v>
      </c>
      <c r="E117">
        <v>0</v>
      </c>
      <c r="F117">
        <v>0</v>
      </c>
      <c r="G117" s="36">
        <v>0</v>
      </c>
      <c r="H117">
        <v>0</v>
      </c>
      <c r="J117">
        <v>0</v>
      </c>
      <c r="K117" s="36">
        <v>0</v>
      </c>
      <c r="L117">
        <v>0</v>
      </c>
      <c r="M117">
        <v>0</v>
      </c>
      <c r="N117">
        <v>0</v>
      </c>
      <c r="P117" s="3">
        <v>720</v>
      </c>
      <c r="Q117" s="3">
        <v>114</v>
      </c>
      <c r="R117" s="3">
        <v>1</v>
      </c>
      <c r="S117">
        <v>0</v>
      </c>
      <c r="T117">
        <v>0</v>
      </c>
      <c r="U117">
        <v>0</v>
      </c>
      <c r="V117" s="36">
        <v>0</v>
      </c>
      <c r="W117">
        <v>0</v>
      </c>
      <c r="X117">
        <v>0</v>
      </c>
      <c r="Y117">
        <v>0</v>
      </c>
      <c r="Z117" s="36">
        <v>0</v>
      </c>
      <c r="AA117">
        <v>0</v>
      </c>
      <c r="AB117">
        <v>0</v>
      </c>
      <c r="AC117">
        <v>0</v>
      </c>
      <c r="AE117" s="3">
        <v>720</v>
      </c>
      <c r="AF117" s="3">
        <v>114</v>
      </c>
      <c r="AG117" s="3">
        <v>1</v>
      </c>
      <c r="AH117">
        <v>91.4</v>
      </c>
      <c r="AI117">
        <v>676.9</v>
      </c>
      <c r="AJ117">
        <v>89.3</v>
      </c>
      <c r="AK117" s="36">
        <v>703.3</v>
      </c>
      <c r="AL117">
        <v>90.3</v>
      </c>
      <c r="AM117">
        <v>0</v>
      </c>
      <c r="AN117">
        <v>2.0199999999999999E-2</v>
      </c>
      <c r="AO117" s="36">
        <v>630</v>
      </c>
      <c r="AP117">
        <v>2.01E-2</v>
      </c>
      <c r="AQ117">
        <v>680.1</v>
      </c>
      <c r="AR117">
        <v>2.0199999999999999E-2</v>
      </c>
      <c r="AT117" s="3">
        <v>720</v>
      </c>
      <c r="AU117" s="3">
        <v>114</v>
      </c>
      <c r="AV117" s="3">
        <v>1</v>
      </c>
      <c r="AW117">
        <v>91.4</v>
      </c>
      <c r="AX117">
        <v>676.9</v>
      </c>
      <c r="AY117">
        <v>89.3</v>
      </c>
      <c r="AZ117" s="36">
        <v>703.3</v>
      </c>
      <c r="BA117">
        <v>90.3</v>
      </c>
      <c r="BB117">
        <v>0</v>
      </c>
      <c r="BC117">
        <v>2.0199999999999999E-2</v>
      </c>
      <c r="BD117" s="36">
        <v>630</v>
      </c>
      <c r="BE117">
        <v>2.01E-2</v>
      </c>
      <c r="BF117">
        <v>680.1</v>
      </c>
      <c r="BG117">
        <v>2.0199999999999999E-2</v>
      </c>
    </row>
    <row r="118" spans="1:59" x14ac:dyDescent="0.25">
      <c r="A118" s="3">
        <v>990</v>
      </c>
      <c r="B118" s="3">
        <v>1</v>
      </c>
      <c r="C118" s="3">
        <v>1</v>
      </c>
      <c r="D118">
        <v>0</v>
      </c>
      <c r="E118">
        <v>0</v>
      </c>
      <c r="F118">
        <v>0</v>
      </c>
      <c r="G118" s="36">
        <v>0</v>
      </c>
      <c r="H118">
        <v>0</v>
      </c>
      <c r="J118">
        <v>0</v>
      </c>
      <c r="K118" s="36">
        <v>0</v>
      </c>
      <c r="L118">
        <v>0</v>
      </c>
      <c r="M118">
        <v>8.2807162819579186E-2</v>
      </c>
      <c r="N118">
        <v>0</v>
      </c>
      <c r="P118" s="3">
        <v>990</v>
      </c>
      <c r="Q118" s="3">
        <v>1</v>
      </c>
      <c r="R118" s="3">
        <v>1</v>
      </c>
      <c r="S118">
        <v>0</v>
      </c>
      <c r="T118">
        <v>0</v>
      </c>
      <c r="U118">
        <v>0</v>
      </c>
      <c r="V118" s="36">
        <v>0</v>
      </c>
      <c r="W118">
        <v>0</v>
      </c>
      <c r="X118">
        <v>0</v>
      </c>
      <c r="Y118">
        <v>0</v>
      </c>
      <c r="Z118" s="36">
        <v>0</v>
      </c>
      <c r="AA118">
        <v>0</v>
      </c>
      <c r="AB118">
        <v>0.79999999999995453</v>
      </c>
      <c r="AC118">
        <v>0</v>
      </c>
      <c r="AE118" s="3">
        <v>990</v>
      </c>
      <c r="AF118" s="3">
        <v>1</v>
      </c>
      <c r="AG118" s="3">
        <v>1</v>
      </c>
      <c r="AH118">
        <v>91.6</v>
      </c>
      <c r="AI118">
        <v>931.3</v>
      </c>
      <c r="AJ118">
        <v>89.3</v>
      </c>
      <c r="AK118" s="36">
        <v>921.7</v>
      </c>
      <c r="AL118">
        <v>89.6</v>
      </c>
      <c r="AM118">
        <v>0</v>
      </c>
      <c r="AN118">
        <v>2.0199999999999999E-2</v>
      </c>
      <c r="AO118" s="36">
        <v>931.3</v>
      </c>
      <c r="AP118">
        <v>2.0199999999999999E-2</v>
      </c>
      <c r="AQ118">
        <v>966.9</v>
      </c>
      <c r="AR118">
        <v>2.0199999999999999E-2</v>
      </c>
      <c r="AT118" s="3">
        <v>990</v>
      </c>
      <c r="AU118" s="3">
        <v>1</v>
      </c>
      <c r="AV118" s="3">
        <v>1</v>
      </c>
      <c r="AW118">
        <v>91.6</v>
      </c>
      <c r="AX118">
        <v>931.3</v>
      </c>
      <c r="AY118">
        <v>89.3</v>
      </c>
      <c r="AZ118" s="36">
        <v>921.7</v>
      </c>
      <c r="BA118">
        <v>89.6</v>
      </c>
      <c r="BB118">
        <v>0</v>
      </c>
      <c r="BC118">
        <v>2.0199999999999999E-2</v>
      </c>
      <c r="BD118" s="36">
        <v>931.3</v>
      </c>
      <c r="BE118">
        <v>2.0199999999999999E-2</v>
      </c>
      <c r="BF118">
        <v>966.1</v>
      </c>
      <c r="BG118">
        <v>2.0199999999999999E-2</v>
      </c>
    </row>
    <row r="119" spans="1:59" x14ac:dyDescent="0.25">
      <c r="A119" s="3">
        <v>990</v>
      </c>
      <c r="B119" s="3">
        <v>2</v>
      </c>
      <c r="C119" s="3">
        <v>1</v>
      </c>
      <c r="D119">
        <v>0</v>
      </c>
      <c r="E119">
        <v>0</v>
      </c>
      <c r="F119">
        <v>0</v>
      </c>
      <c r="G119" s="36">
        <v>0</v>
      </c>
      <c r="H119">
        <v>0</v>
      </c>
      <c r="J119">
        <v>0</v>
      </c>
      <c r="K119" s="36">
        <v>0</v>
      </c>
      <c r="L119">
        <v>0</v>
      </c>
      <c r="M119">
        <v>4.1063545837180707E-2</v>
      </c>
      <c r="N119">
        <v>0</v>
      </c>
      <c r="P119" s="3">
        <v>990</v>
      </c>
      <c r="Q119" s="3">
        <v>2</v>
      </c>
      <c r="R119" s="3">
        <v>1</v>
      </c>
      <c r="S119">
        <v>0</v>
      </c>
      <c r="T119">
        <v>0</v>
      </c>
      <c r="U119">
        <v>0</v>
      </c>
      <c r="V119" s="36">
        <v>0</v>
      </c>
      <c r="W119">
        <v>0</v>
      </c>
      <c r="X119">
        <v>0</v>
      </c>
      <c r="Y119">
        <v>0</v>
      </c>
      <c r="Z119" s="36">
        <v>0</v>
      </c>
      <c r="AA119">
        <v>0</v>
      </c>
      <c r="AB119">
        <v>0.39999999999997732</v>
      </c>
      <c r="AC119">
        <v>0</v>
      </c>
      <c r="AE119" s="3">
        <v>990</v>
      </c>
      <c r="AF119" s="3">
        <v>2</v>
      </c>
      <c r="AG119" s="3">
        <v>1</v>
      </c>
      <c r="AH119">
        <v>92.1</v>
      </c>
      <c r="AI119">
        <v>933.3</v>
      </c>
      <c r="AJ119">
        <v>88.7</v>
      </c>
      <c r="AK119" s="36">
        <v>925.3</v>
      </c>
      <c r="AL119">
        <v>89.2</v>
      </c>
      <c r="AM119">
        <v>0</v>
      </c>
      <c r="AN119">
        <v>2.0199999999999999E-2</v>
      </c>
      <c r="AO119" s="36">
        <v>932.9</v>
      </c>
      <c r="AP119">
        <v>2.0199999999999999E-2</v>
      </c>
      <c r="AQ119">
        <v>974.5</v>
      </c>
      <c r="AR119">
        <v>2.0199999999999999E-2</v>
      </c>
      <c r="AT119" s="3">
        <v>990</v>
      </c>
      <c r="AU119" s="3">
        <v>2</v>
      </c>
      <c r="AV119" s="3">
        <v>1</v>
      </c>
      <c r="AW119">
        <v>92.1</v>
      </c>
      <c r="AX119">
        <v>933.3</v>
      </c>
      <c r="AY119">
        <v>88.7</v>
      </c>
      <c r="AZ119" s="36">
        <v>925.3</v>
      </c>
      <c r="BA119">
        <v>89.2</v>
      </c>
      <c r="BB119">
        <v>0</v>
      </c>
      <c r="BC119">
        <v>2.0199999999999999E-2</v>
      </c>
      <c r="BD119" s="36">
        <v>932.9</v>
      </c>
      <c r="BE119">
        <v>2.0199999999999999E-2</v>
      </c>
      <c r="BF119">
        <v>974.1</v>
      </c>
      <c r="BG119">
        <v>2.0199999999999999E-2</v>
      </c>
    </row>
    <row r="120" spans="1:59" x14ac:dyDescent="0.25">
      <c r="A120" s="3">
        <v>990</v>
      </c>
      <c r="B120" s="3">
        <v>3</v>
      </c>
      <c r="C120" s="3">
        <v>1</v>
      </c>
      <c r="D120">
        <v>0</v>
      </c>
      <c r="E120">
        <v>0</v>
      </c>
      <c r="F120">
        <v>0</v>
      </c>
      <c r="G120" s="36">
        <v>0</v>
      </c>
      <c r="H120">
        <v>0</v>
      </c>
      <c r="J120">
        <v>0</v>
      </c>
      <c r="K120" s="36">
        <v>0</v>
      </c>
      <c r="L120">
        <v>0</v>
      </c>
      <c r="M120">
        <v>0</v>
      </c>
      <c r="N120">
        <v>0</v>
      </c>
      <c r="P120" s="3">
        <v>990</v>
      </c>
      <c r="Q120" s="3">
        <v>3</v>
      </c>
      <c r="R120" s="3">
        <v>1</v>
      </c>
      <c r="S120">
        <v>0</v>
      </c>
      <c r="T120">
        <v>0</v>
      </c>
      <c r="U120">
        <v>0</v>
      </c>
      <c r="V120" s="36">
        <v>0</v>
      </c>
      <c r="W120">
        <v>0</v>
      </c>
      <c r="X120">
        <v>0</v>
      </c>
      <c r="Y120">
        <v>0</v>
      </c>
      <c r="Z120" s="36">
        <v>0</v>
      </c>
      <c r="AA120">
        <v>0</v>
      </c>
      <c r="AB120">
        <v>0</v>
      </c>
      <c r="AC120">
        <v>0</v>
      </c>
      <c r="AE120" s="3">
        <v>990</v>
      </c>
      <c r="AF120" s="3">
        <v>3</v>
      </c>
      <c r="AG120" s="3">
        <v>1</v>
      </c>
      <c r="AH120">
        <v>92.4</v>
      </c>
      <c r="AI120">
        <v>935.3</v>
      </c>
      <c r="AJ120">
        <v>87.8</v>
      </c>
      <c r="AK120" s="36">
        <v>926.9</v>
      </c>
      <c r="AL120">
        <v>88.7</v>
      </c>
      <c r="AM120">
        <v>0</v>
      </c>
      <c r="AN120">
        <v>2.0199999999999999E-2</v>
      </c>
      <c r="AO120" s="36">
        <v>934.9</v>
      </c>
      <c r="AP120">
        <v>2.0199999999999999E-2</v>
      </c>
      <c r="AQ120">
        <v>989.7</v>
      </c>
      <c r="AR120">
        <v>2.0199999999999999E-2</v>
      </c>
      <c r="AT120" s="3">
        <v>990</v>
      </c>
      <c r="AU120" s="3">
        <v>3</v>
      </c>
      <c r="AV120" s="3">
        <v>1</v>
      </c>
      <c r="AW120">
        <v>92.4</v>
      </c>
      <c r="AX120">
        <v>935.3</v>
      </c>
      <c r="AY120">
        <v>87.8</v>
      </c>
      <c r="AZ120" s="36">
        <v>926.9</v>
      </c>
      <c r="BA120">
        <v>88.7</v>
      </c>
      <c r="BB120">
        <v>0</v>
      </c>
      <c r="BC120">
        <v>2.0199999999999999E-2</v>
      </c>
      <c r="BD120" s="36">
        <v>934.9</v>
      </c>
      <c r="BE120">
        <v>2.0199999999999999E-2</v>
      </c>
      <c r="BF120">
        <v>989.7</v>
      </c>
      <c r="BG120">
        <v>2.0199999999999999E-2</v>
      </c>
    </row>
    <row r="121" spans="1:59" x14ac:dyDescent="0.25">
      <c r="A121" s="3">
        <v>990</v>
      </c>
      <c r="B121" s="3">
        <v>3</v>
      </c>
      <c r="C121" s="3">
        <v>2</v>
      </c>
      <c r="D121">
        <v>0</v>
      </c>
      <c r="E121">
        <v>0</v>
      </c>
      <c r="F121">
        <v>0</v>
      </c>
      <c r="G121" s="36">
        <v>0</v>
      </c>
      <c r="H121">
        <v>0</v>
      </c>
      <c r="J121">
        <v>0</v>
      </c>
      <c r="K121" s="36">
        <v>0</v>
      </c>
      <c r="L121">
        <v>0</v>
      </c>
      <c r="M121">
        <v>0</v>
      </c>
      <c r="N121">
        <v>0</v>
      </c>
      <c r="P121" s="3">
        <v>990</v>
      </c>
      <c r="Q121" s="3">
        <v>3</v>
      </c>
      <c r="R121" s="3">
        <v>2</v>
      </c>
      <c r="S121">
        <v>0</v>
      </c>
      <c r="T121">
        <v>0</v>
      </c>
      <c r="U121">
        <v>0</v>
      </c>
      <c r="V121" s="36">
        <v>0</v>
      </c>
      <c r="W121">
        <v>0</v>
      </c>
      <c r="X121">
        <v>0</v>
      </c>
      <c r="Y121">
        <v>0</v>
      </c>
      <c r="Z121" s="36">
        <v>0</v>
      </c>
      <c r="AA121">
        <v>0</v>
      </c>
      <c r="AB121">
        <v>0</v>
      </c>
      <c r="AC121">
        <v>0</v>
      </c>
      <c r="AE121" s="3">
        <v>990</v>
      </c>
      <c r="AF121" s="3">
        <v>3</v>
      </c>
      <c r="AG121" s="3">
        <v>2</v>
      </c>
      <c r="AH121">
        <v>92.3</v>
      </c>
      <c r="AI121">
        <v>938.9</v>
      </c>
      <c r="AJ121">
        <v>87.2</v>
      </c>
      <c r="AK121" s="36">
        <v>929.7</v>
      </c>
      <c r="AL121">
        <v>88.4</v>
      </c>
      <c r="AM121">
        <v>0</v>
      </c>
      <c r="AN121">
        <v>2.0299999999999999E-2</v>
      </c>
      <c r="AO121" s="36">
        <v>937.7</v>
      </c>
      <c r="AP121">
        <v>2.0199999999999999E-2</v>
      </c>
      <c r="AQ121">
        <v>928.5</v>
      </c>
      <c r="AR121">
        <v>2.0199999999999999E-2</v>
      </c>
      <c r="AT121" s="3">
        <v>990</v>
      </c>
      <c r="AU121" s="3">
        <v>3</v>
      </c>
      <c r="AV121" s="3">
        <v>2</v>
      </c>
      <c r="AW121">
        <v>92.3</v>
      </c>
      <c r="AX121">
        <v>938.9</v>
      </c>
      <c r="AY121">
        <v>87.2</v>
      </c>
      <c r="AZ121" s="36">
        <v>929.7</v>
      </c>
      <c r="BA121">
        <v>88.4</v>
      </c>
      <c r="BB121">
        <v>0</v>
      </c>
      <c r="BC121">
        <v>2.0299999999999999E-2</v>
      </c>
      <c r="BD121" s="36">
        <v>937.7</v>
      </c>
      <c r="BE121">
        <v>2.0199999999999999E-2</v>
      </c>
      <c r="BF121">
        <v>928.5</v>
      </c>
      <c r="BG121">
        <v>2.0199999999999999E-2</v>
      </c>
    </row>
    <row r="122" spans="1:59" x14ac:dyDescent="0.25">
      <c r="A122" s="3">
        <v>990</v>
      </c>
      <c r="B122" s="3">
        <v>4</v>
      </c>
      <c r="C122" s="3">
        <v>1</v>
      </c>
      <c r="D122">
        <v>0</v>
      </c>
      <c r="E122">
        <v>0</v>
      </c>
      <c r="F122">
        <v>0</v>
      </c>
      <c r="G122" s="36">
        <v>0</v>
      </c>
      <c r="I122">
        <v>0</v>
      </c>
      <c r="J122">
        <v>0</v>
      </c>
      <c r="K122" s="36">
        <v>0</v>
      </c>
      <c r="L122">
        <v>0</v>
      </c>
      <c r="M122">
        <v>0</v>
      </c>
      <c r="N122">
        <v>0</v>
      </c>
      <c r="P122" s="3">
        <v>990</v>
      </c>
      <c r="Q122" s="3">
        <v>4</v>
      </c>
      <c r="R122" s="3">
        <v>1</v>
      </c>
      <c r="S122">
        <v>0</v>
      </c>
      <c r="T122">
        <v>0</v>
      </c>
      <c r="U122">
        <v>0</v>
      </c>
      <c r="V122" s="36">
        <v>0</v>
      </c>
      <c r="W122">
        <v>0</v>
      </c>
      <c r="X122">
        <v>0</v>
      </c>
      <c r="Y122">
        <v>0</v>
      </c>
      <c r="Z122" s="36">
        <v>0</v>
      </c>
      <c r="AA122">
        <v>0</v>
      </c>
      <c r="AB122">
        <v>0</v>
      </c>
      <c r="AC122">
        <v>0</v>
      </c>
      <c r="AE122" s="3">
        <v>990</v>
      </c>
      <c r="AF122" s="3">
        <v>4</v>
      </c>
      <c r="AG122" s="3">
        <v>1</v>
      </c>
      <c r="AH122">
        <v>87.5</v>
      </c>
      <c r="AI122">
        <v>971.7</v>
      </c>
      <c r="AJ122">
        <v>81.8</v>
      </c>
      <c r="AK122" s="36">
        <v>960.9</v>
      </c>
      <c r="AL122">
        <v>0</v>
      </c>
      <c r="AM122">
        <v>84.1</v>
      </c>
      <c r="AN122">
        <v>1.7100000000000001E-2</v>
      </c>
      <c r="AO122" s="36">
        <v>901.7</v>
      </c>
      <c r="AP122">
        <v>1.6E-2</v>
      </c>
      <c r="AQ122">
        <v>966.1</v>
      </c>
      <c r="AR122">
        <v>1.67E-2</v>
      </c>
      <c r="AT122" s="3">
        <v>990</v>
      </c>
      <c r="AU122" s="3">
        <v>4</v>
      </c>
      <c r="AV122" s="3">
        <v>1</v>
      </c>
      <c r="AW122">
        <v>87.5</v>
      </c>
      <c r="AX122">
        <v>971.7</v>
      </c>
      <c r="AY122">
        <v>81.8</v>
      </c>
      <c r="AZ122" s="36">
        <v>960.9</v>
      </c>
      <c r="BA122">
        <v>0</v>
      </c>
      <c r="BB122">
        <v>84.1</v>
      </c>
      <c r="BC122">
        <v>1.7100000000000001E-2</v>
      </c>
      <c r="BD122" s="36">
        <v>901.7</v>
      </c>
      <c r="BE122">
        <v>1.6E-2</v>
      </c>
      <c r="BF122">
        <v>966.1</v>
      </c>
      <c r="BG122">
        <v>1.67E-2</v>
      </c>
    </row>
    <row r="123" spans="1:59" x14ac:dyDescent="0.25">
      <c r="A123" s="3">
        <v>990</v>
      </c>
      <c r="B123" s="3">
        <v>4</v>
      </c>
      <c r="C123" s="3">
        <v>2</v>
      </c>
      <c r="D123">
        <v>0</v>
      </c>
      <c r="E123">
        <v>0</v>
      </c>
      <c r="F123">
        <v>0</v>
      </c>
      <c r="G123" s="36">
        <v>0</v>
      </c>
      <c r="I123">
        <v>0</v>
      </c>
      <c r="J123">
        <v>0</v>
      </c>
      <c r="K123" s="36">
        <v>0</v>
      </c>
      <c r="L123">
        <v>0</v>
      </c>
      <c r="M123">
        <v>0</v>
      </c>
      <c r="N123">
        <v>0</v>
      </c>
      <c r="P123" s="3">
        <v>990</v>
      </c>
      <c r="Q123" s="3">
        <v>4</v>
      </c>
      <c r="R123" s="3">
        <v>2</v>
      </c>
      <c r="S123">
        <v>0</v>
      </c>
      <c r="T123">
        <v>0</v>
      </c>
      <c r="U123">
        <v>0</v>
      </c>
      <c r="V123" s="36">
        <v>0</v>
      </c>
      <c r="W123">
        <v>0</v>
      </c>
      <c r="X123">
        <v>0</v>
      </c>
      <c r="Y123">
        <v>0</v>
      </c>
      <c r="Z123" s="36">
        <v>0</v>
      </c>
      <c r="AA123">
        <v>0</v>
      </c>
      <c r="AB123">
        <v>0</v>
      </c>
      <c r="AC123">
        <v>0</v>
      </c>
      <c r="AE123" s="3">
        <v>990</v>
      </c>
      <c r="AF123" s="3">
        <v>4</v>
      </c>
      <c r="AG123" s="3">
        <v>2</v>
      </c>
      <c r="AH123">
        <v>87.6</v>
      </c>
      <c r="AI123">
        <v>969.3</v>
      </c>
      <c r="AJ123">
        <v>81.599999999999994</v>
      </c>
      <c r="AK123" s="36">
        <v>958.1</v>
      </c>
      <c r="AL123">
        <v>0</v>
      </c>
      <c r="AM123">
        <v>84.1</v>
      </c>
      <c r="AN123">
        <v>1.72E-2</v>
      </c>
      <c r="AO123" s="36">
        <v>984.9</v>
      </c>
      <c r="AP123">
        <v>1.5800000000000002E-2</v>
      </c>
      <c r="AQ123">
        <v>962.5</v>
      </c>
      <c r="AR123">
        <v>1.66E-2</v>
      </c>
      <c r="AT123" s="3">
        <v>990</v>
      </c>
      <c r="AU123" s="3">
        <v>4</v>
      </c>
      <c r="AV123" s="3">
        <v>2</v>
      </c>
      <c r="AW123">
        <v>87.6</v>
      </c>
      <c r="AX123">
        <v>969.3</v>
      </c>
      <c r="AY123">
        <v>81.599999999999994</v>
      </c>
      <c r="AZ123" s="36">
        <v>958.1</v>
      </c>
      <c r="BA123">
        <v>0</v>
      </c>
      <c r="BB123">
        <v>84.1</v>
      </c>
      <c r="BC123">
        <v>1.72E-2</v>
      </c>
      <c r="BD123" s="36">
        <v>984.9</v>
      </c>
      <c r="BE123">
        <v>1.5800000000000002E-2</v>
      </c>
      <c r="BF123">
        <v>962.5</v>
      </c>
      <c r="BG123">
        <v>1.66E-2</v>
      </c>
    </row>
    <row r="124" spans="1:59" x14ac:dyDescent="0.25">
      <c r="A124" s="3">
        <v>990</v>
      </c>
      <c r="B124" s="3">
        <v>4</v>
      </c>
      <c r="C124" s="3">
        <v>3</v>
      </c>
      <c r="D124">
        <v>0</v>
      </c>
      <c r="E124">
        <v>0</v>
      </c>
      <c r="F124">
        <v>0</v>
      </c>
      <c r="G124" s="36">
        <v>0</v>
      </c>
      <c r="I124">
        <v>0</v>
      </c>
      <c r="J124">
        <v>0</v>
      </c>
      <c r="K124" s="36">
        <v>0</v>
      </c>
      <c r="L124">
        <v>0</v>
      </c>
      <c r="M124">
        <v>0</v>
      </c>
      <c r="N124">
        <v>0</v>
      </c>
      <c r="P124" s="3">
        <v>990</v>
      </c>
      <c r="Q124" s="3">
        <v>4</v>
      </c>
      <c r="R124" s="3">
        <v>3</v>
      </c>
      <c r="S124">
        <v>0</v>
      </c>
      <c r="T124">
        <v>0</v>
      </c>
      <c r="U124">
        <v>0</v>
      </c>
      <c r="V124" s="36">
        <v>0</v>
      </c>
      <c r="W124">
        <v>0</v>
      </c>
      <c r="X124">
        <v>0</v>
      </c>
      <c r="Y124">
        <v>0</v>
      </c>
      <c r="Z124" s="36">
        <v>0</v>
      </c>
      <c r="AA124">
        <v>0</v>
      </c>
      <c r="AB124">
        <v>0</v>
      </c>
      <c r="AC124">
        <v>0</v>
      </c>
      <c r="AE124" s="3">
        <v>990</v>
      </c>
      <c r="AF124" s="3">
        <v>4</v>
      </c>
      <c r="AG124" s="3">
        <v>3</v>
      </c>
      <c r="AH124">
        <v>88</v>
      </c>
      <c r="AI124">
        <v>966.9</v>
      </c>
      <c r="AJ124">
        <v>81.3</v>
      </c>
      <c r="AK124" s="36">
        <v>952.5</v>
      </c>
      <c r="AL124">
        <v>0</v>
      </c>
      <c r="AM124">
        <v>84.1</v>
      </c>
      <c r="AN124">
        <v>1.7399999999999999E-2</v>
      </c>
      <c r="AO124" s="36">
        <v>978.1</v>
      </c>
      <c r="AP124">
        <v>1.55E-2</v>
      </c>
      <c r="AQ124">
        <v>951.3</v>
      </c>
      <c r="AR124">
        <v>1.6500000000000001E-2</v>
      </c>
      <c r="AT124" s="3">
        <v>990</v>
      </c>
      <c r="AU124" s="3">
        <v>4</v>
      </c>
      <c r="AV124" s="3">
        <v>3</v>
      </c>
      <c r="AW124">
        <v>88</v>
      </c>
      <c r="AX124">
        <v>966.9</v>
      </c>
      <c r="AY124">
        <v>81.3</v>
      </c>
      <c r="AZ124" s="36">
        <v>952.5</v>
      </c>
      <c r="BA124">
        <v>0</v>
      </c>
      <c r="BB124">
        <v>84.1</v>
      </c>
      <c r="BC124">
        <v>1.7399999999999999E-2</v>
      </c>
      <c r="BD124" s="36">
        <v>978.1</v>
      </c>
      <c r="BE124">
        <v>1.55E-2</v>
      </c>
      <c r="BF124">
        <v>951.3</v>
      </c>
      <c r="BG124">
        <v>1.6500000000000001E-2</v>
      </c>
    </row>
    <row r="125" spans="1:59" x14ac:dyDescent="0.25">
      <c r="A125" s="3">
        <v>990</v>
      </c>
      <c r="B125" s="3">
        <v>5</v>
      </c>
      <c r="C125" s="3">
        <v>1</v>
      </c>
      <c r="D125">
        <v>0</v>
      </c>
      <c r="E125">
        <v>0</v>
      </c>
      <c r="F125">
        <v>0</v>
      </c>
      <c r="G125" s="36">
        <v>0</v>
      </c>
      <c r="H125">
        <v>0</v>
      </c>
      <c r="I125">
        <v>0</v>
      </c>
      <c r="J125">
        <v>0</v>
      </c>
      <c r="K125" s="36">
        <v>0</v>
      </c>
      <c r="L125">
        <v>0</v>
      </c>
      <c r="M125">
        <v>0</v>
      </c>
      <c r="N125">
        <v>0</v>
      </c>
      <c r="P125" s="3">
        <v>990</v>
      </c>
      <c r="Q125" s="3">
        <v>5</v>
      </c>
      <c r="R125" s="3">
        <v>1</v>
      </c>
      <c r="S125">
        <v>0</v>
      </c>
      <c r="T125">
        <v>0</v>
      </c>
      <c r="U125">
        <v>0</v>
      </c>
      <c r="V125" s="36">
        <v>0</v>
      </c>
      <c r="W125">
        <v>0</v>
      </c>
      <c r="X125">
        <v>0</v>
      </c>
      <c r="Y125">
        <v>0</v>
      </c>
      <c r="Z125" s="36">
        <v>0</v>
      </c>
      <c r="AA125">
        <v>0</v>
      </c>
      <c r="AB125">
        <v>0</v>
      </c>
      <c r="AC125">
        <v>0</v>
      </c>
      <c r="AE125" s="3">
        <v>990</v>
      </c>
      <c r="AF125" s="3">
        <v>5</v>
      </c>
      <c r="AG125" s="3">
        <v>1</v>
      </c>
      <c r="AH125">
        <v>91.5</v>
      </c>
      <c r="AI125">
        <v>942.1</v>
      </c>
      <c r="AJ125">
        <v>86.8</v>
      </c>
      <c r="AK125" s="36">
        <v>932.9</v>
      </c>
      <c r="AL125">
        <v>88.3</v>
      </c>
      <c r="AM125">
        <v>87.4</v>
      </c>
      <c r="AN125">
        <v>2.0299999999999999E-2</v>
      </c>
      <c r="AO125" s="36">
        <v>944.9</v>
      </c>
      <c r="AP125">
        <v>2.0199999999999999E-2</v>
      </c>
      <c r="AQ125">
        <v>912.5</v>
      </c>
      <c r="AR125">
        <v>2.0199999999999999E-2</v>
      </c>
      <c r="AT125" s="3">
        <v>990</v>
      </c>
      <c r="AU125" s="3">
        <v>5</v>
      </c>
      <c r="AV125" s="3">
        <v>1</v>
      </c>
      <c r="AW125">
        <v>91.5</v>
      </c>
      <c r="AX125">
        <v>942.1</v>
      </c>
      <c r="AY125">
        <v>86.8</v>
      </c>
      <c r="AZ125" s="36">
        <v>932.9</v>
      </c>
      <c r="BA125">
        <v>88.3</v>
      </c>
      <c r="BB125">
        <v>87.4</v>
      </c>
      <c r="BC125">
        <v>2.0299999999999999E-2</v>
      </c>
      <c r="BD125" s="36">
        <v>944.9</v>
      </c>
      <c r="BE125">
        <v>2.0199999999999999E-2</v>
      </c>
      <c r="BF125">
        <v>912.5</v>
      </c>
      <c r="BG125">
        <v>2.0199999999999999E-2</v>
      </c>
    </row>
    <row r="126" spans="1:59" x14ac:dyDescent="0.25">
      <c r="A126" s="3">
        <v>990</v>
      </c>
      <c r="B126" s="3">
        <v>5</v>
      </c>
      <c r="C126" s="3">
        <v>2</v>
      </c>
      <c r="D126">
        <v>0</v>
      </c>
      <c r="E126">
        <v>0</v>
      </c>
      <c r="F126">
        <v>0</v>
      </c>
      <c r="G126" s="36">
        <v>0</v>
      </c>
      <c r="H126">
        <v>0</v>
      </c>
      <c r="I126">
        <v>0</v>
      </c>
      <c r="J126">
        <v>0</v>
      </c>
      <c r="K126" s="36">
        <v>0</v>
      </c>
      <c r="L126">
        <v>0</v>
      </c>
      <c r="M126">
        <v>0</v>
      </c>
      <c r="N126">
        <v>0</v>
      </c>
      <c r="P126" s="3">
        <v>990</v>
      </c>
      <c r="Q126" s="3">
        <v>5</v>
      </c>
      <c r="R126" s="3">
        <v>2</v>
      </c>
      <c r="S126">
        <v>0</v>
      </c>
      <c r="T126">
        <v>0</v>
      </c>
      <c r="U126">
        <v>0</v>
      </c>
      <c r="V126" s="36">
        <v>0</v>
      </c>
      <c r="W126">
        <v>0</v>
      </c>
      <c r="X126">
        <v>0</v>
      </c>
      <c r="Y126">
        <v>0</v>
      </c>
      <c r="Z126" s="36">
        <v>0</v>
      </c>
      <c r="AA126">
        <v>0</v>
      </c>
      <c r="AB126">
        <v>0</v>
      </c>
      <c r="AC126">
        <v>0</v>
      </c>
      <c r="AE126" s="3">
        <v>990</v>
      </c>
      <c r="AF126" s="3">
        <v>5</v>
      </c>
      <c r="AG126" s="3">
        <v>2</v>
      </c>
      <c r="AH126">
        <v>91.7</v>
      </c>
      <c r="AI126">
        <v>945.7</v>
      </c>
      <c r="AJ126">
        <v>86.5</v>
      </c>
      <c r="AK126" s="36">
        <v>935.7</v>
      </c>
      <c r="AL126">
        <v>88.3</v>
      </c>
      <c r="AM126">
        <v>87.5</v>
      </c>
      <c r="AN126">
        <v>2.0299999999999999E-2</v>
      </c>
      <c r="AO126" s="36">
        <v>980.1</v>
      </c>
      <c r="AP126">
        <v>1.9900000000000001E-2</v>
      </c>
      <c r="AQ126">
        <v>912.5</v>
      </c>
      <c r="AR126">
        <v>2.01E-2</v>
      </c>
      <c r="AT126" s="3">
        <v>990</v>
      </c>
      <c r="AU126" s="3">
        <v>5</v>
      </c>
      <c r="AV126" s="3">
        <v>2</v>
      </c>
      <c r="AW126">
        <v>91.7</v>
      </c>
      <c r="AX126">
        <v>945.7</v>
      </c>
      <c r="AY126">
        <v>86.5</v>
      </c>
      <c r="AZ126" s="36">
        <v>935.7</v>
      </c>
      <c r="BA126">
        <v>88.3</v>
      </c>
      <c r="BB126">
        <v>87.5</v>
      </c>
      <c r="BC126">
        <v>2.0299999999999999E-2</v>
      </c>
      <c r="BD126" s="36">
        <v>980.1</v>
      </c>
      <c r="BE126">
        <v>1.9900000000000001E-2</v>
      </c>
      <c r="BF126">
        <v>912.5</v>
      </c>
      <c r="BG126">
        <v>2.01E-2</v>
      </c>
    </row>
    <row r="127" spans="1:59" x14ac:dyDescent="0.25">
      <c r="A127" s="3">
        <v>990</v>
      </c>
      <c r="B127" s="3">
        <v>5</v>
      </c>
      <c r="C127" s="3">
        <v>3</v>
      </c>
      <c r="D127">
        <v>0</v>
      </c>
      <c r="E127">
        <v>0</v>
      </c>
      <c r="F127">
        <v>0</v>
      </c>
      <c r="G127" s="36">
        <v>0</v>
      </c>
      <c r="H127">
        <v>0</v>
      </c>
      <c r="I127">
        <v>0</v>
      </c>
      <c r="J127">
        <v>0</v>
      </c>
      <c r="K127" s="36">
        <v>0</v>
      </c>
      <c r="L127">
        <v>0</v>
      </c>
      <c r="M127">
        <v>0</v>
      </c>
      <c r="N127">
        <v>0</v>
      </c>
      <c r="P127" s="3">
        <v>990</v>
      </c>
      <c r="Q127" s="3">
        <v>5</v>
      </c>
      <c r="R127" s="3">
        <v>3</v>
      </c>
      <c r="S127">
        <v>0</v>
      </c>
      <c r="T127">
        <v>0</v>
      </c>
      <c r="U127">
        <v>0</v>
      </c>
      <c r="V127" s="36">
        <v>0</v>
      </c>
      <c r="W127">
        <v>0</v>
      </c>
      <c r="X127">
        <v>0</v>
      </c>
      <c r="Y127">
        <v>0</v>
      </c>
      <c r="Z127" s="36">
        <v>0</v>
      </c>
      <c r="AA127">
        <v>0</v>
      </c>
      <c r="AB127">
        <v>0</v>
      </c>
      <c r="AC127">
        <v>0</v>
      </c>
      <c r="AE127" s="3">
        <v>990</v>
      </c>
      <c r="AF127" s="3">
        <v>5</v>
      </c>
      <c r="AG127" s="3">
        <v>3</v>
      </c>
      <c r="AH127">
        <v>91.7</v>
      </c>
      <c r="AI127">
        <v>950.1</v>
      </c>
      <c r="AJ127">
        <v>85.2</v>
      </c>
      <c r="AK127" s="36">
        <v>913.7</v>
      </c>
      <c r="AL127">
        <v>87.8</v>
      </c>
      <c r="AM127">
        <v>86.6</v>
      </c>
      <c r="AN127">
        <v>2.0199999999999999E-2</v>
      </c>
      <c r="AO127" s="36">
        <v>978.9</v>
      </c>
      <c r="AP127">
        <v>1.8200000000000001E-2</v>
      </c>
      <c r="AQ127">
        <v>912.5</v>
      </c>
      <c r="AR127">
        <v>1.9400000000000001E-2</v>
      </c>
      <c r="AT127" s="3">
        <v>990</v>
      </c>
      <c r="AU127" s="3">
        <v>5</v>
      </c>
      <c r="AV127" s="3">
        <v>3</v>
      </c>
      <c r="AW127">
        <v>91.7</v>
      </c>
      <c r="AX127">
        <v>950.1</v>
      </c>
      <c r="AY127">
        <v>85.2</v>
      </c>
      <c r="AZ127" s="36">
        <v>913.7</v>
      </c>
      <c r="BA127">
        <v>87.8</v>
      </c>
      <c r="BB127">
        <v>86.6</v>
      </c>
      <c r="BC127">
        <v>2.0199999999999999E-2</v>
      </c>
      <c r="BD127" s="36">
        <v>978.9</v>
      </c>
      <c r="BE127">
        <v>1.8200000000000001E-2</v>
      </c>
      <c r="BF127">
        <v>912.5</v>
      </c>
      <c r="BG127">
        <v>1.9400000000000001E-2</v>
      </c>
    </row>
    <row r="128" spans="1:59" x14ac:dyDescent="0.25">
      <c r="A128" s="3">
        <v>990</v>
      </c>
      <c r="B128" s="3">
        <v>6</v>
      </c>
      <c r="C128" s="3">
        <v>1</v>
      </c>
      <c r="D128">
        <v>0</v>
      </c>
      <c r="E128">
        <v>0</v>
      </c>
      <c r="F128">
        <v>0</v>
      </c>
      <c r="G128" s="36">
        <v>0</v>
      </c>
      <c r="I128">
        <v>0</v>
      </c>
      <c r="J128">
        <v>0</v>
      </c>
      <c r="K128" s="36">
        <v>0</v>
      </c>
      <c r="L128">
        <v>0</v>
      </c>
      <c r="M128">
        <v>0</v>
      </c>
      <c r="N128">
        <v>0</v>
      </c>
      <c r="P128" s="3">
        <v>990</v>
      </c>
      <c r="Q128" s="3">
        <v>6</v>
      </c>
      <c r="R128" s="3">
        <v>1</v>
      </c>
      <c r="S128">
        <v>0</v>
      </c>
      <c r="T128">
        <v>0</v>
      </c>
      <c r="U128">
        <v>0</v>
      </c>
      <c r="V128" s="36">
        <v>0</v>
      </c>
      <c r="W128">
        <v>0</v>
      </c>
      <c r="X128">
        <v>0</v>
      </c>
      <c r="Y128">
        <v>0</v>
      </c>
      <c r="Z128" s="36">
        <v>0</v>
      </c>
      <c r="AA128">
        <v>0</v>
      </c>
      <c r="AB128">
        <v>0</v>
      </c>
      <c r="AC128">
        <v>0</v>
      </c>
      <c r="AE128" s="3">
        <v>990</v>
      </c>
      <c r="AF128" s="3">
        <v>6</v>
      </c>
      <c r="AG128" s="3">
        <v>1</v>
      </c>
      <c r="AH128">
        <v>90.2</v>
      </c>
      <c r="AI128">
        <v>963.3</v>
      </c>
      <c r="AJ128">
        <v>80.2</v>
      </c>
      <c r="AK128" s="36">
        <v>936.9</v>
      </c>
      <c r="AL128">
        <v>0</v>
      </c>
      <c r="AM128">
        <v>83.1</v>
      </c>
      <c r="AN128">
        <v>1.72E-2</v>
      </c>
      <c r="AO128" s="36">
        <v>975.3</v>
      </c>
      <c r="AP128">
        <v>1.4500000000000001E-2</v>
      </c>
      <c r="AQ128">
        <v>935.3</v>
      </c>
      <c r="AR128">
        <v>1.5599999999999999E-2</v>
      </c>
      <c r="AT128" s="3">
        <v>990</v>
      </c>
      <c r="AU128" s="3">
        <v>6</v>
      </c>
      <c r="AV128" s="3">
        <v>1</v>
      </c>
      <c r="AW128">
        <v>90.2</v>
      </c>
      <c r="AX128">
        <v>963.3</v>
      </c>
      <c r="AY128">
        <v>80.2</v>
      </c>
      <c r="AZ128" s="36">
        <v>936.9</v>
      </c>
      <c r="BA128">
        <v>0</v>
      </c>
      <c r="BB128">
        <v>83.1</v>
      </c>
      <c r="BC128">
        <v>1.72E-2</v>
      </c>
      <c r="BD128" s="36">
        <v>975.3</v>
      </c>
      <c r="BE128">
        <v>1.4500000000000001E-2</v>
      </c>
      <c r="BF128">
        <v>935.3</v>
      </c>
      <c r="BG128">
        <v>1.5599999999999999E-2</v>
      </c>
    </row>
    <row r="129" spans="1:59" x14ac:dyDescent="0.25">
      <c r="A129" s="3">
        <v>990</v>
      </c>
      <c r="B129" s="3">
        <v>6</v>
      </c>
      <c r="C129" s="3">
        <v>2</v>
      </c>
      <c r="D129">
        <v>0</v>
      </c>
      <c r="E129">
        <v>0</v>
      </c>
      <c r="F129">
        <v>0</v>
      </c>
      <c r="G129" s="36">
        <v>0</v>
      </c>
      <c r="I129">
        <v>0</v>
      </c>
      <c r="J129">
        <v>0</v>
      </c>
      <c r="K129" s="36">
        <v>0</v>
      </c>
      <c r="L129">
        <v>0</v>
      </c>
      <c r="M129">
        <v>0</v>
      </c>
      <c r="N129">
        <v>0</v>
      </c>
      <c r="P129" s="3">
        <v>990</v>
      </c>
      <c r="Q129" s="3">
        <v>6</v>
      </c>
      <c r="R129" s="3">
        <v>2</v>
      </c>
      <c r="S129">
        <v>0</v>
      </c>
      <c r="T129">
        <v>0</v>
      </c>
      <c r="U129">
        <v>0</v>
      </c>
      <c r="V129" s="36">
        <v>0</v>
      </c>
      <c r="W129">
        <v>0</v>
      </c>
      <c r="X129">
        <v>0</v>
      </c>
      <c r="Y129">
        <v>0</v>
      </c>
      <c r="Z129" s="36">
        <v>0</v>
      </c>
      <c r="AA129">
        <v>0</v>
      </c>
      <c r="AB129">
        <v>0</v>
      </c>
      <c r="AC129">
        <v>0</v>
      </c>
      <c r="AE129" s="3">
        <v>990</v>
      </c>
      <c r="AF129" s="3">
        <v>6</v>
      </c>
      <c r="AG129" s="3">
        <v>2</v>
      </c>
      <c r="AH129">
        <v>91.5</v>
      </c>
      <c r="AI129">
        <v>960.1</v>
      </c>
      <c r="AJ129">
        <v>79.7</v>
      </c>
      <c r="AK129" s="36">
        <v>920.9</v>
      </c>
      <c r="AL129">
        <v>0</v>
      </c>
      <c r="AM129">
        <v>83</v>
      </c>
      <c r="AN129">
        <v>1.7500000000000002E-2</v>
      </c>
      <c r="AO129" s="36">
        <v>968.1</v>
      </c>
      <c r="AP129">
        <v>1.4E-2</v>
      </c>
      <c r="AQ129">
        <v>920.5</v>
      </c>
      <c r="AR129">
        <v>1.55E-2</v>
      </c>
      <c r="AT129" s="3">
        <v>990</v>
      </c>
      <c r="AU129" s="3">
        <v>6</v>
      </c>
      <c r="AV129" s="3">
        <v>2</v>
      </c>
      <c r="AW129">
        <v>91.5</v>
      </c>
      <c r="AX129">
        <v>960.1</v>
      </c>
      <c r="AY129">
        <v>79.7</v>
      </c>
      <c r="AZ129" s="36">
        <v>920.9</v>
      </c>
      <c r="BA129">
        <v>0</v>
      </c>
      <c r="BB129">
        <v>83</v>
      </c>
      <c r="BC129">
        <v>1.7500000000000002E-2</v>
      </c>
      <c r="BD129" s="36">
        <v>968.1</v>
      </c>
      <c r="BE129">
        <v>1.4E-2</v>
      </c>
      <c r="BF129">
        <v>920.5</v>
      </c>
      <c r="BG129">
        <v>1.55E-2</v>
      </c>
    </row>
    <row r="130" spans="1:59" x14ac:dyDescent="0.25">
      <c r="A130" s="3">
        <v>990</v>
      </c>
      <c r="B130" s="3">
        <v>6</v>
      </c>
      <c r="C130" s="3">
        <v>3</v>
      </c>
      <c r="D130">
        <v>0</v>
      </c>
      <c r="E130">
        <v>0</v>
      </c>
      <c r="F130">
        <v>0</v>
      </c>
      <c r="G130" s="36">
        <v>0</v>
      </c>
      <c r="I130">
        <v>0</v>
      </c>
      <c r="J130">
        <v>0</v>
      </c>
      <c r="K130" s="36">
        <v>0</v>
      </c>
      <c r="L130">
        <v>0</v>
      </c>
      <c r="M130">
        <v>0</v>
      </c>
      <c r="N130">
        <v>0</v>
      </c>
      <c r="P130" s="3">
        <v>990</v>
      </c>
      <c r="Q130" s="3">
        <v>6</v>
      </c>
      <c r="R130" s="3">
        <v>3</v>
      </c>
      <c r="S130">
        <v>0</v>
      </c>
      <c r="T130">
        <v>0</v>
      </c>
      <c r="U130">
        <v>0</v>
      </c>
      <c r="V130" s="36">
        <v>0</v>
      </c>
      <c r="W130">
        <v>0</v>
      </c>
      <c r="X130">
        <v>0</v>
      </c>
      <c r="Y130">
        <v>0</v>
      </c>
      <c r="Z130" s="36">
        <v>0</v>
      </c>
      <c r="AA130">
        <v>0</v>
      </c>
      <c r="AB130">
        <v>0</v>
      </c>
      <c r="AC130">
        <v>0</v>
      </c>
      <c r="AE130" s="3">
        <v>990</v>
      </c>
      <c r="AF130" s="3">
        <v>6</v>
      </c>
      <c r="AG130" s="3">
        <v>3</v>
      </c>
      <c r="AH130">
        <v>94.2</v>
      </c>
      <c r="AI130">
        <v>955.3</v>
      </c>
      <c r="AJ130">
        <v>79.2</v>
      </c>
      <c r="AK130" s="36">
        <v>913.7</v>
      </c>
      <c r="AL130">
        <v>0</v>
      </c>
      <c r="AM130">
        <v>83.4</v>
      </c>
      <c r="AN130">
        <v>1.7899999999999999E-2</v>
      </c>
      <c r="AO130" s="36">
        <v>960.1</v>
      </c>
      <c r="AP130">
        <v>1.35E-2</v>
      </c>
      <c r="AQ130">
        <v>913.7</v>
      </c>
      <c r="AR130">
        <v>1.5699999999999999E-2</v>
      </c>
      <c r="AT130" s="3">
        <v>990</v>
      </c>
      <c r="AU130" s="3">
        <v>6</v>
      </c>
      <c r="AV130" s="3">
        <v>3</v>
      </c>
      <c r="AW130">
        <v>94.2</v>
      </c>
      <c r="AX130">
        <v>955.3</v>
      </c>
      <c r="AY130">
        <v>79.2</v>
      </c>
      <c r="AZ130" s="36">
        <v>913.7</v>
      </c>
      <c r="BA130">
        <v>0</v>
      </c>
      <c r="BB130">
        <v>83.4</v>
      </c>
      <c r="BC130">
        <v>1.7899999999999999E-2</v>
      </c>
      <c r="BD130" s="36">
        <v>960.1</v>
      </c>
      <c r="BE130">
        <v>1.35E-2</v>
      </c>
      <c r="BF130">
        <v>913.7</v>
      </c>
      <c r="BG130">
        <v>1.5699999999999999E-2</v>
      </c>
    </row>
    <row r="131" spans="1:59" x14ac:dyDescent="0.25">
      <c r="A131" s="3">
        <v>990</v>
      </c>
      <c r="B131" s="3">
        <v>7</v>
      </c>
      <c r="C131" s="3">
        <v>1</v>
      </c>
      <c r="D131">
        <v>0</v>
      </c>
      <c r="E131">
        <v>0</v>
      </c>
      <c r="F131">
        <v>0</v>
      </c>
      <c r="G131" s="36">
        <v>0</v>
      </c>
      <c r="H131">
        <v>0</v>
      </c>
      <c r="I131">
        <v>0</v>
      </c>
      <c r="J131">
        <v>0</v>
      </c>
      <c r="K131" s="36">
        <v>0</v>
      </c>
      <c r="L131">
        <v>0</v>
      </c>
      <c r="M131">
        <v>0</v>
      </c>
      <c r="N131">
        <v>0</v>
      </c>
      <c r="P131" s="3">
        <v>990</v>
      </c>
      <c r="Q131" s="3">
        <v>7</v>
      </c>
      <c r="R131" s="3">
        <v>1</v>
      </c>
      <c r="S131">
        <v>0</v>
      </c>
      <c r="T131">
        <v>0</v>
      </c>
      <c r="U131">
        <v>0</v>
      </c>
      <c r="V131" s="36">
        <v>0</v>
      </c>
      <c r="W131">
        <v>0</v>
      </c>
      <c r="X131">
        <v>0</v>
      </c>
      <c r="Y131">
        <v>0</v>
      </c>
      <c r="Z131" s="36">
        <v>0</v>
      </c>
      <c r="AA131">
        <v>0</v>
      </c>
      <c r="AB131">
        <v>0</v>
      </c>
      <c r="AC131">
        <v>0</v>
      </c>
      <c r="AE131" s="3">
        <v>990</v>
      </c>
      <c r="AF131" s="3">
        <v>7</v>
      </c>
      <c r="AG131" s="3">
        <v>1</v>
      </c>
      <c r="AH131">
        <v>84.1</v>
      </c>
      <c r="AI131">
        <v>955.7</v>
      </c>
      <c r="AJ131">
        <v>78.099999999999994</v>
      </c>
      <c r="AK131" s="36">
        <v>926.1</v>
      </c>
      <c r="AL131">
        <v>79.099999999999994</v>
      </c>
      <c r="AM131">
        <v>80.7</v>
      </c>
      <c r="AN131">
        <v>1.5100000000000001E-2</v>
      </c>
      <c r="AO131" s="36">
        <v>955.7</v>
      </c>
      <c r="AP131">
        <v>1.2800000000000001E-2</v>
      </c>
      <c r="AQ131">
        <v>923.7</v>
      </c>
      <c r="AR131">
        <v>1.38E-2</v>
      </c>
      <c r="AT131" s="3">
        <v>990</v>
      </c>
      <c r="AU131" s="3">
        <v>7</v>
      </c>
      <c r="AV131" s="3">
        <v>1</v>
      </c>
      <c r="AW131">
        <v>84.1</v>
      </c>
      <c r="AX131">
        <v>955.7</v>
      </c>
      <c r="AY131">
        <v>78.099999999999994</v>
      </c>
      <c r="AZ131" s="36">
        <v>926.1</v>
      </c>
      <c r="BA131">
        <v>79.099999999999994</v>
      </c>
      <c r="BB131">
        <v>80.7</v>
      </c>
      <c r="BC131">
        <v>1.5100000000000001E-2</v>
      </c>
      <c r="BD131" s="36">
        <v>955.7</v>
      </c>
      <c r="BE131">
        <v>1.2800000000000001E-2</v>
      </c>
      <c r="BF131">
        <v>923.7</v>
      </c>
      <c r="BG131">
        <v>1.38E-2</v>
      </c>
    </row>
    <row r="132" spans="1:59" x14ac:dyDescent="0.25">
      <c r="A132" s="3">
        <v>990</v>
      </c>
      <c r="B132" s="3">
        <v>8</v>
      </c>
      <c r="C132" s="3">
        <v>1</v>
      </c>
      <c r="D132">
        <v>0</v>
      </c>
      <c r="E132">
        <v>0</v>
      </c>
      <c r="F132">
        <v>0</v>
      </c>
      <c r="G132" s="36">
        <v>0</v>
      </c>
      <c r="H132">
        <v>0</v>
      </c>
      <c r="I132">
        <v>0</v>
      </c>
      <c r="J132">
        <v>0</v>
      </c>
      <c r="K132" s="36">
        <v>0</v>
      </c>
      <c r="L132">
        <v>0</v>
      </c>
      <c r="M132">
        <v>0</v>
      </c>
      <c r="N132">
        <v>0</v>
      </c>
      <c r="P132" s="3">
        <v>990</v>
      </c>
      <c r="Q132" s="3">
        <v>8</v>
      </c>
      <c r="R132" s="3">
        <v>1</v>
      </c>
      <c r="S132">
        <v>0</v>
      </c>
      <c r="T132">
        <v>0</v>
      </c>
      <c r="U132">
        <v>0</v>
      </c>
      <c r="V132" s="36">
        <v>0</v>
      </c>
      <c r="W132">
        <v>0</v>
      </c>
      <c r="X132">
        <v>0</v>
      </c>
      <c r="Y132">
        <v>0</v>
      </c>
      <c r="Z132" s="36">
        <v>0</v>
      </c>
      <c r="AA132">
        <v>0</v>
      </c>
      <c r="AB132">
        <v>0</v>
      </c>
      <c r="AC132">
        <v>0</v>
      </c>
      <c r="AE132" s="3">
        <v>990</v>
      </c>
      <c r="AF132" s="3">
        <v>8</v>
      </c>
      <c r="AG132" s="3">
        <v>1</v>
      </c>
      <c r="AH132">
        <v>85.9</v>
      </c>
      <c r="AI132">
        <v>932.1</v>
      </c>
      <c r="AJ132">
        <v>84.6</v>
      </c>
      <c r="AK132" s="36">
        <v>944.9</v>
      </c>
      <c r="AL132">
        <v>85.4</v>
      </c>
      <c r="AM132">
        <v>85.4</v>
      </c>
      <c r="AN132">
        <v>1.5299999999999999E-2</v>
      </c>
      <c r="AO132" s="36">
        <v>983.3</v>
      </c>
      <c r="AP132">
        <v>1.4999999999999999E-2</v>
      </c>
      <c r="AQ132">
        <v>951.3</v>
      </c>
      <c r="AR132">
        <v>1.52E-2</v>
      </c>
      <c r="AT132" s="3">
        <v>990</v>
      </c>
      <c r="AU132" s="3">
        <v>8</v>
      </c>
      <c r="AV132" s="3">
        <v>1</v>
      </c>
      <c r="AW132">
        <v>85.9</v>
      </c>
      <c r="AX132">
        <v>932.1</v>
      </c>
      <c r="AY132">
        <v>84.6</v>
      </c>
      <c r="AZ132" s="36">
        <v>944.9</v>
      </c>
      <c r="BA132">
        <v>85.4</v>
      </c>
      <c r="BB132">
        <v>85.4</v>
      </c>
      <c r="BC132">
        <v>1.5299999999999999E-2</v>
      </c>
      <c r="BD132" s="36">
        <v>983.3</v>
      </c>
      <c r="BE132">
        <v>1.4999999999999999E-2</v>
      </c>
      <c r="BF132">
        <v>951.3</v>
      </c>
      <c r="BG132">
        <v>1.52E-2</v>
      </c>
    </row>
    <row r="133" spans="1:59" x14ac:dyDescent="0.25">
      <c r="A133" s="3">
        <v>990</v>
      </c>
      <c r="B133" s="3">
        <v>8</v>
      </c>
      <c r="C133" s="3">
        <v>2</v>
      </c>
      <c r="D133">
        <v>0</v>
      </c>
      <c r="E133">
        <v>0</v>
      </c>
      <c r="F133">
        <v>0</v>
      </c>
      <c r="G133" s="36">
        <v>0</v>
      </c>
      <c r="H133">
        <v>0</v>
      </c>
      <c r="I133">
        <v>0</v>
      </c>
      <c r="J133">
        <v>0</v>
      </c>
      <c r="K133" s="36">
        <v>0</v>
      </c>
      <c r="L133">
        <v>0</v>
      </c>
      <c r="M133">
        <v>0</v>
      </c>
      <c r="N133">
        <v>0</v>
      </c>
      <c r="P133" s="3">
        <v>990</v>
      </c>
      <c r="Q133" s="3">
        <v>8</v>
      </c>
      <c r="R133" s="3">
        <v>2</v>
      </c>
      <c r="S133">
        <v>0</v>
      </c>
      <c r="T133">
        <v>0</v>
      </c>
      <c r="U133">
        <v>0</v>
      </c>
      <c r="V133" s="36">
        <v>0</v>
      </c>
      <c r="W133">
        <v>0</v>
      </c>
      <c r="X133">
        <v>0</v>
      </c>
      <c r="Y133">
        <v>0</v>
      </c>
      <c r="Z133" s="36">
        <v>0</v>
      </c>
      <c r="AA133">
        <v>0</v>
      </c>
      <c r="AB133">
        <v>0</v>
      </c>
      <c r="AC133">
        <v>0</v>
      </c>
      <c r="AE133" s="3">
        <v>990</v>
      </c>
      <c r="AF133" s="3">
        <v>8</v>
      </c>
      <c r="AG133" s="3">
        <v>2</v>
      </c>
      <c r="AH133">
        <v>86.1</v>
      </c>
      <c r="AI133">
        <v>965.7</v>
      </c>
      <c r="AJ133">
        <v>84.8</v>
      </c>
      <c r="AK133" s="36">
        <v>946.9</v>
      </c>
      <c r="AL133">
        <v>85.3</v>
      </c>
      <c r="AM133">
        <v>85.6</v>
      </c>
      <c r="AN133">
        <v>1.6E-2</v>
      </c>
      <c r="AO133" s="36">
        <v>965.7</v>
      </c>
      <c r="AP133">
        <v>1.46E-2</v>
      </c>
      <c r="AQ133">
        <v>946.9</v>
      </c>
      <c r="AR133">
        <v>1.5299999999999999E-2</v>
      </c>
      <c r="AT133" s="3">
        <v>990</v>
      </c>
      <c r="AU133" s="3">
        <v>8</v>
      </c>
      <c r="AV133" s="3">
        <v>2</v>
      </c>
      <c r="AW133">
        <v>86.1</v>
      </c>
      <c r="AX133">
        <v>965.7</v>
      </c>
      <c r="AY133">
        <v>84.8</v>
      </c>
      <c r="AZ133" s="36">
        <v>946.9</v>
      </c>
      <c r="BA133">
        <v>85.3</v>
      </c>
      <c r="BB133">
        <v>85.6</v>
      </c>
      <c r="BC133">
        <v>1.6E-2</v>
      </c>
      <c r="BD133" s="36">
        <v>965.7</v>
      </c>
      <c r="BE133">
        <v>1.46E-2</v>
      </c>
      <c r="BF133">
        <v>946.9</v>
      </c>
      <c r="BG133">
        <v>1.5299999999999999E-2</v>
      </c>
    </row>
    <row r="134" spans="1:59" x14ac:dyDescent="0.25">
      <c r="A134" s="3">
        <v>990</v>
      </c>
      <c r="B134" s="3">
        <v>9</v>
      </c>
      <c r="C134" s="3">
        <v>1</v>
      </c>
      <c r="D134">
        <v>0</v>
      </c>
      <c r="E134">
        <v>0</v>
      </c>
      <c r="F134">
        <v>0</v>
      </c>
      <c r="G134" s="36">
        <v>0</v>
      </c>
      <c r="H134">
        <v>0</v>
      </c>
      <c r="I134">
        <v>0</v>
      </c>
      <c r="J134">
        <v>0</v>
      </c>
      <c r="K134" s="36">
        <v>0</v>
      </c>
      <c r="L134">
        <v>0</v>
      </c>
      <c r="M134">
        <v>0</v>
      </c>
      <c r="N134">
        <v>0</v>
      </c>
      <c r="P134" s="3">
        <v>990</v>
      </c>
      <c r="Q134" s="3">
        <v>9</v>
      </c>
      <c r="R134" s="3">
        <v>1</v>
      </c>
      <c r="S134">
        <v>0</v>
      </c>
      <c r="T134">
        <v>0</v>
      </c>
      <c r="U134">
        <v>0</v>
      </c>
      <c r="V134" s="36">
        <v>0</v>
      </c>
      <c r="W134">
        <v>0</v>
      </c>
      <c r="X134">
        <v>0</v>
      </c>
      <c r="Y134">
        <v>0</v>
      </c>
      <c r="Z134" s="36">
        <v>0</v>
      </c>
      <c r="AA134">
        <v>0</v>
      </c>
      <c r="AB134">
        <v>0</v>
      </c>
      <c r="AC134">
        <v>0</v>
      </c>
      <c r="AE134" s="3">
        <v>990</v>
      </c>
      <c r="AF134" s="3">
        <v>9</v>
      </c>
      <c r="AG134" s="3">
        <v>1</v>
      </c>
      <c r="AH134">
        <v>82.1</v>
      </c>
      <c r="AI134">
        <v>954.1</v>
      </c>
      <c r="AJ134">
        <v>78.3</v>
      </c>
      <c r="AK134" s="36">
        <v>900</v>
      </c>
      <c r="AL134">
        <v>79.3</v>
      </c>
      <c r="AM134">
        <v>80</v>
      </c>
      <c r="AN134">
        <v>1.3899999999999999E-2</v>
      </c>
      <c r="AO134" s="36">
        <v>954.1</v>
      </c>
      <c r="AP134">
        <v>1.32E-2</v>
      </c>
      <c r="AQ134">
        <v>934.5</v>
      </c>
      <c r="AR134">
        <v>1.35E-2</v>
      </c>
      <c r="AT134" s="3">
        <v>990</v>
      </c>
      <c r="AU134" s="3">
        <v>9</v>
      </c>
      <c r="AV134" s="3">
        <v>1</v>
      </c>
      <c r="AW134">
        <v>82.1</v>
      </c>
      <c r="AX134">
        <v>954.1</v>
      </c>
      <c r="AY134">
        <v>78.3</v>
      </c>
      <c r="AZ134" s="36">
        <v>900</v>
      </c>
      <c r="BA134">
        <v>79.3</v>
      </c>
      <c r="BB134">
        <v>80</v>
      </c>
      <c r="BC134">
        <v>1.3899999999999999E-2</v>
      </c>
      <c r="BD134" s="36">
        <v>954.1</v>
      </c>
      <c r="BE134">
        <v>1.32E-2</v>
      </c>
      <c r="BF134">
        <v>934.5</v>
      </c>
      <c r="BG134">
        <v>1.35E-2</v>
      </c>
    </row>
    <row r="135" spans="1:59" x14ac:dyDescent="0.25">
      <c r="A135" s="3">
        <v>990</v>
      </c>
      <c r="B135" s="3">
        <v>9</v>
      </c>
      <c r="C135" s="3">
        <v>2</v>
      </c>
      <c r="D135">
        <v>0</v>
      </c>
      <c r="E135">
        <v>0</v>
      </c>
      <c r="F135">
        <v>0</v>
      </c>
      <c r="G135" s="36">
        <v>0</v>
      </c>
      <c r="H135">
        <v>0</v>
      </c>
      <c r="I135">
        <v>0</v>
      </c>
      <c r="J135">
        <v>0</v>
      </c>
      <c r="K135" s="36">
        <v>0</v>
      </c>
      <c r="L135">
        <v>0</v>
      </c>
      <c r="M135">
        <v>0</v>
      </c>
      <c r="N135">
        <v>0</v>
      </c>
      <c r="P135" s="3">
        <v>990</v>
      </c>
      <c r="Q135" s="3">
        <v>9</v>
      </c>
      <c r="R135" s="3">
        <v>2</v>
      </c>
      <c r="S135">
        <v>0</v>
      </c>
      <c r="T135">
        <v>0</v>
      </c>
      <c r="U135">
        <v>0</v>
      </c>
      <c r="V135" s="36">
        <v>0</v>
      </c>
      <c r="W135">
        <v>0</v>
      </c>
      <c r="X135">
        <v>0</v>
      </c>
      <c r="Y135">
        <v>0</v>
      </c>
      <c r="Z135" s="36">
        <v>0</v>
      </c>
      <c r="AA135">
        <v>0</v>
      </c>
      <c r="AB135">
        <v>0</v>
      </c>
      <c r="AC135">
        <v>0</v>
      </c>
      <c r="AE135" s="3">
        <v>990</v>
      </c>
      <c r="AF135" s="3">
        <v>9</v>
      </c>
      <c r="AG135" s="3">
        <v>2</v>
      </c>
      <c r="AH135">
        <v>81.3</v>
      </c>
      <c r="AI135">
        <v>952.1</v>
      </c>
      <c r="AJ135">
        <v>77.7</v>
      </c>
      <c r="AK135" s="36">
        <v>986.9</v>
      </c>
      <c r="AL135">
        <v>80</v>
      </c>
      <c r="AM135">
        <v>79.7</v>
      </c>
      <c r="AN135">
        <v>1.3899999999999999E-2</v>
      </c>
      <c r="AO135" s="36">
        <v>967.7</v>
      </c>
      <c r="AP135">
        <v>1.32E-2</v>
      </c>
      <c r="AQ135">
        <v>903.3</v>
      </c>
      <c r="AR135">
        <v>1.3599999999999999E-2</v>
      </c>
      <c r="AT135" s="3">
        <v>990</v>
      </c>
      <c r="AU135" s="3">
        <v>9</v>
      </c>
      <c r="AV135" s="3">
        <v>2</v>
      </c>
      <c r="AW135">
        <v>81.3</v>
      </c>
      <c r="AX135">
        <v>952.1</v>
      </c>
      <c r="AY135">
        <v>77.7</v>
      </c>
      <c r="AZ135" s="36">
        <v>986.9</v>
      </c>
      <c r="BA135">
        <v>80</v>
      </c>
      <c r="BB135">
        <v>79.7</v>
      </c>
      <c r="BC135">
        <v>1.3899999999999999E-2</v>
      </c>
      <c r="BD135" s="36">
        <v>967.7</v>
      </c>
      <c r="BE135">
        <v>1.32E-2</v>
      </c>
      <c r="BF135">
        <v>903.3</v>
      </c>
      <c r="BG135">
        <v>1.3599999999999999E-2</v>
      </c>
    </row>
    <row r="136" spans="1:59" x14ac:dyDescent="0.25">
      <c r="A136" s="3">
        <v>990</v>
      </c>
      <c r="B136" s="3">
        <v>9</v>
      </c>
      <c r="C136" s="3">
        <v>3</v>
      </c>
      <c r="D136">
        <v>0</v>
      </c>
      <c r="E136">
        <v>0</v>
      </c>
      <c r="F136">
        <v>0</v>
      </c>
      <c r="G136" s="36">
        <v>0</v>
      </c>
      <c r="H136">
        <v>0</v>
      </c>
      <c r="I136">
        <v>0</v>
      </c>
      <c r="J136">
        <v>0</v>
      </c>
      <c r="K136" s="36">
        <v>0</v>
      </c>
      <c r="L136">
        <v>0</v>
      </c>
      <c r="M136">
        <v>0</v>
      </c>
      <c r="N136">
        <v>0</v>
      </c>
      <c r="P136" s="3">
        <v>990</v>
      </c>
      <c r="Q136" s="3">
        <v>9</v>
      </c>
      <c r="R136" s="3">
        <v>3</v>
      </c>
      <c r="S136">
        <v>0</v>
      </c>
      <c r="T136">
        <v>0</v>
      </c>
      <c r="U136">
        <v>0</v>
      </c>
      <c r="V136" s="36">
        <v>0</v>
      </c>
      <c r="W136">
        <v>0</v>
      </c>
      <c r="X136">
        <v>0</v>
      </c>
      <c r="Y136">
        <v>0</v>
      </c>
      <c r="Z136" s="36">
        <v>0</v>
      </c>
      <c r="AA136">
        <v>0</v>
      </c>
      <c r="AB136">
        <v>0</v>
      </c>
      <c r="AC136">
        <v>0</v>
      </c>
      <c r="AE136" s="3">
        <v>990</v>
      </c>
      <c r="AF136" s="3">
        <v>9</v>
      </c>
      <c r="AG136" s="3">
        <v>3</v>
      </c>
      <c r="AH136">
        <v>82.2</v>
      </c>
      <c r="AI136">
        <v>917.3</v>
      </c>
      <c r="AJ136">
        <v>76.8</v>
      </c>
      <c r="AK136" s="36">
        <v>982.9</v>
      </c>
      <c r="AL136">
        <v>81.2</v>
      </c>
      <c r="AM136">
        <v>79.400000000000006</v>
      </c>
      <c r="AN136">
        <v>1.41E-2</v>
      </c>
      <c r="AO136" s="36">
        <v>924.5</v>
      </c>
      <c r="AP136">
        <v>1.29E-2</v>
      </c>
      <c r="AQ136">
        <v>981.3</v>
      </c>
      <c r="AR136">
        <v>1.37E-2</v>
      </c>
      <c r="AT136" s="3">
        <v>990</v>
      </c>
      <c r="AU136" s="3">
        <v>9</v>
      </c>
      <c r="AV136" s="3">
        <v>3</v>
      </c>
      <c r="AW136">
        <v>82.2</v>
      </c>
      <c r="AX136">
        <v>917.3</v>
      </c>
      <c r="AY136">
        <v>76.8</v>
      </c>
      <c r="AZ136" s="36">
        <v>982.9</v>
      </c>
      <c r="BA136">
        <v>81.2</v>
      </c>
      <c r="BB136">
        <v>79.400000000000006</v>
      </c>
      <c r="BC136">
        <v>1.41E-2</v>
      </c>
      <c r="BD136" s="36">
        <v>924.5</v>
      </c>
      <c r="BE136">
        <v>1.29E-2</v>
      </c>
      <c r="BF136">
        <v>981.3</v>
      </c>
      <c r="BG136">
        <v>1.37E-2</v>
      </c>
    </row>
    <row r="137" spans="1:59" x14ac:dyDescent="0.25">
      <c r="A137" s="3">
        <v>990</v>
      </c>
      <c r="B137" s="3">
        <v>9</v>
      </c>
      <c r="C137" s="3">
        <v>4</v>
      </c>
      <c r="D137">
        <v>0</v>
      </c>
      <c r="E137">
        <v>0</v>
      </c>
      <c r="F137">
        <v>0</v>
      </c>
      <c r="G137" s="36">
        <v>0</v>
      </c>
      <c r="H137">
        <v>0</v>
      </c>
      <c r="I137">
        <v>0</v>
      </c>
      <c r="J137">
        <v>0</v>
      </c>
      <c r="K137" s="36">
        <v>0</v>
      </c>
      <c r="L137">
        <v>0</v>
      </c>
      <c r="M137">
        <v>0</v>
      </c>
      <c r="N137">
        <v>0</v>
      </c>
      <c r="P137" s="3">
        <v>990</v>
      </c>
      <c r="Q137" s="3">
        <v>9</v>
      </c>
      <c r="R137" s="3">
        <v>4</v>
      </c>
      <c r="S137">
        <v>0</v>
      </c>
      <c r="T137">
        <v>0</v>
      </c>
      <c r="U137">
        <v>0</v>
      </c>
      <c r="V137" s="36">
        <v>0</v>
      </c>
      <c r="W137">
        <v>0</v>
      </c>
      <c r="X137">
        <v>0</v>
      </c>
      <c r="Y137">
        <v>0</v>
      </c>
      <c r="Z137" s="36">
        <v>0</v>
      </c>
      <c r="AA137">
        <v>0</v>
      </c>
      <c r="AB137">
        <v>0</v>
      </c>
      <c r="AC137">
        <v>0</v>
      </c>
      <c r="AE137" s="3">
        <v>990</v>
      </c>
      <c r="AF137" s="3">
        <v>9</v>
      </c>
      <c r="AG137" s="3">
        <v>4</v>
      </c>
      <c r="AH137">
        <v>85.1</v>
      </c>
      <c r="AI137">
        <v>913.7</v>
      </c>
      <c r="AJ137">
        <v>75.099999999999994</v>
      </c>
      <c r="AK137" s="36">
        <v>974.1</v>
      </c>
      <c r="AL137">
        <v>81.900000000000006</v>
      </c>
      <c r="AM137">
        <v>78.900000000000006</v>
      </c>
      <c r="AN137">
        <v>1.52E-2</v>
      </c>
      <c r="AO137" s="36">
        <v>913.7</v>
      </c>
      <c r="AP137">
        <v>1.21E-2</v>
      </c>
      <c r="AQ137">
        <v>973.7</v>
      </c>
      <c r="AR137">
        <v>1.37E-2</v>
      </c>
      <c r="AT137" s="3">
        <v>990</v>
      </c>
      <c r="AU137" s="3">
        <v>9</v>
      </c>
      <c r="AV137" s="3">
        <v>4</v>
      </c>
      <c r="AW137">
        <v>85.1</v>
      </c>
      <c r="AX137">
        <v>913.7</v>
      </c>
      <c r="AY137">
        <v>75.099999999999994</v>
      </c>
      <c r="AZ137" s="36">
        <v>974.1</v>
      </c>
      <c r="BA137">
        <v>81.900000000000006</v>
      </c>
      <c r="BB137">
        <v>78.900000000000006</v>
      </c>
      <c r="BC137">
        <v>1.52E-2</v>
      </c>
      <c r="BD137" s="36">
        <v>913.7</v>
      </c>
      <c r="BE137">
        <v>1.21E-2</v>
      </c>
      <c r="BF137">
        <v>973.7</v>
      </c>
      <c r="BG137">
        <v>1.37E-2</v>
      </c>
    </row>
    <row r="138" spans="1:59" x14ac:dyDescent="0.25">
      <c r="A138" s="3">
        <v>990</v>
      </c>
      <c r="B138" s="3">
        <v>10</v>
      </c>
      <c r="C138" s="3">
        <v>1</v>
      </c>
      <c r="D138">
        <v>0</v>
      </c>
      <c r="E138">
        <v>0</v>
      </c>
      <c r="F138">
        <v>0</v>
      </c>
      <c r="G138" s="36">
        <v>0</v>
      </c>
      <c r="H138">
        <v>0</v>
      </c>
      <c r="I138">
        <v>0</v>
      </c>
      <c r="J138">
        <v>0</v>
      </c>
      <c r="K138" s="36">
        <v>0</v>
      </c>
      <c r="L138">
        <v>0</v>
      </c>
      <c r="M138">
        <v>0</v>
      </c>
      <c r="N138">
        <v>0</v>
      </c>
      <c r="P138" s="3">
        <v>990</v>
      </c>
      <c r="Q138" s="3">
        <v>10</v>
      </c>
      <c r="R138" s="3">
        <v>1</v>
      </c>
      <c r="S138">
        <v>0</v>
      </c>
      <c r="T138">
        <v>0</v>
      </c>
      <c r="U138">
        <v>0</v>
      </c>
      <c r="V138" s="36">
        <v>0</v>
      </c>
      <c r="W138">
        <v>0</v>
      </c>
      <c r="X138">
        <v>0</v>
      </c>
      <c r="Y138">
        <v>0</v>
      </c>
      <c r="Z138" s="36">
        <v>0</v>
      </c>
      <c r="AA138">
        <v>0</v>
      </c>
      <c r="AB138">
        <v>0</v>
      </c>
      <c r="AC138">
        <v>0</v>
      </c>
      <c r="AE138" s="3">
        <v>990</v>
      </c>
      <c r="AF138" s="3">
        <v>10</v>
      </c>
      <c r="AG138" s="3">
        <v>1</v>
      </c>
      <c r="AH138">
        <v>86.3</v>
      </c>
      <c r="AI138">
        <v>929.3</v>
      </c>
      <c r="AJ138">
        <v>84.5</v>
      </c>
      <c r="AK138" s="36">
        <v>909.7</v>
      </c>
      <c r="AL138">
        <v>85.4</v>
      </c>
      <c r="AM138">
        <v>85.3</v>
      </c>
      <c r="AN138">
        <v>1.6199999999999999E-2</v>
      </c>
      <c r="AO138" s="36">
        <v>928.9</v>
      </c>
      <c r="AP138">
        <v>1.44E-2</v>
      </c>
      <c r="AQ138">
        <v>909.7</v>
      </c>
      <c r="AR138">
        <v>1.5299999999999999E-2</v>
      </c>
      <c r="AT138" s="3">
        <v>990</v>
      </c>
      <c r="AU138" s="3">
        <v>10</v>
      </c>
      <c r="AV138" s="3">
        <v>1</v>
      </c>
      <c r="AW138">
        <v>86.3</v>
      </c>
      <c r="AX138">
        <v>929.3</v>
      </c>
      <c r="AY138">
        <v>84.5</v>
      </c>
      <c r="AZ138" s="36">
        <v>909.7</v>
      </c>
      <c r="BA138">
        <v>85.4</v>
      </c>
      <c r="BB138">
        <v>85.3</v>
      </c>
      <c r="BC138">
        <v>1.6199999999999999E-2</v>
      </c>
      <c r="BD138" s="36">
        <v>928.9</v>
      </c>
      <c r="BE138">
        <v>1.44E-2</v>
      </c>
      <c r="BF138">
        <v>909.7</v>
      </c>
      <c r="BG138">
        <v>1.5299999999999999E-2</v>
      </c>
    </row>
    <row r="139" spans="1:59" x14ac:dyDescent="0.25">
      <c r="A139" s="3">
        <v>990</v>
      </c>
      <c r="B139" s="3">
        <v>10</v>
      </c>
      <c r="C139" s="3">
        <v>2</v>
      </c>
      <c r="D139">
        <v>0</v>
      </c>
      <c r="E139">
        <v>0</v>
      </c>
      <c r="F139">
        <v>0</v>
      </c>
      <c r="G139" s="36">
        <v>0</v>
      </c>
      <c r="H139">
        <v>0</v>
      </c>
      <c r="I139">
        <v>0</v>
      </c>
      <c r="J139">
        <v>0</v>
      </c>
      <c r="K139" s="36">
        <v>0</v>
      </c>
      <c r="L139">
        <v>0</v>
      </c>
      <c r="M139">
        <v>0</v>
      </c>
      <c r="N139">
        <v>0</v>
      </c>
      <c r="P139" s="3">
        <v>990</v>
      </c>
      <c r="Q139" s="3">
        <v>10</v>
      </c>
      <c r="R139" s="3">
        <v>2</v>
      </c>
      <c r="S139">
        <v>0</v>
      </c>
      <c r="T139">
        <v>0</v>
      </c>
      <c r="U139">
        <v>0</v>
      </c>
      <c r="V139" s="36">
        <v>0</v>
      </c>
      <c r="W139">
        <v>0</v>
      </c>
      <c r="X139">
        <v>0</v>
      </c>
      <c r="Y139">
        <v>0</v>
      </c>
      <c r="Z139" s="36">
        <v>0</v>
      </c>
      <c r="AA139">
        <v>0</v>
      </c>
      <c r="AB139">
        <v>0</v>
      </c>
      <c r="AC139">
        <v>0</v>
      </c>
      <c r="AE139" s="3">
        <v>990</v>
      </c>
      <c r="AF139" s="3">
        <v>10</v>
      </c>
      <c r="AG139" s="3">
        <v>2</v>
      </c>
      <c r="AH139">
        <v>86.3</v>
      </c>
      <c r="AI139">
        <v>965.7</v>
      </c>
      <c r="AJ139">
        <v>83.9</v>
      </c>
      <c r="AK139" s="36">
        <v>983.7</v>
      </c>
      <c r="AL139">
        <v>85.2</v>
      </c>
      <c r="AM139">
        <v>85.1</v>
      </c>
      <c r="AN139">
        <v>1.55E-2</v>
      </c>
      <c r="AO139" s="36">
        <v>965.7</v>
      </c>
      <c r="AP139">
        <v>1.4800000000000001E-2</v>
      </c>
      <c r="AQ139">
        <v>980.5</v>
      </c>
      <c r="AR139">
        <v>1.52E-2</v>
      </c>
      <c r="AT139" s="3">
        <v>990</v>
      </c>
      <c r="AU139" s="3">
        <v>10</v>
      </c>
      <c r="AV139" s="3">
        <v>2</v>
      </c>
      <c r="AW139">
        <v>86.3</v>
      </c>
      <c r="AX139">
        <v>965.7</v>
      </c>
      <c r="AY139">
        <v>83.9</v>
      </c>
      <c r="AZ139" s="36">
        <v>983.7</v>
      </c>
      <c r="BA139">
        <v>85.2</v>
      </c>
      <c r="BB139">
        <v>85.1</v>
      </c>
      <c r="BC139">
        <v>1.55E-2</v>
      </c>
      <c r="BD139" s="36">
        <v>965.7</v>
      </c>
      <c r="BE139">
        <v>1.4800000000000001E-2</v>
      </c>
      <c r="BF139">
        <v>980.5</v>
      </c>
      <c r="BG139">
        <v>1.52E-2</v>
      </c>
    </row>
    <row r="140" spans="1:59" x14ac:dyDescent="0.25">
      <c r="A140" s="3">
        <v>990</v>
      </c>
      <c r="B140" s="3">
        <v>11</v>
      </c>
      <c r="C140" s="3">
        <v>1</v>
      </c>
      <c r="D140">
        <v>0</v>
      </c>
      <c r="E140">
        <v>0</v>
      </c>
      <c r="F140">
        <v>0</v>
      </c>
      <c r="G140" s="36">
        <v>0</v>
      </c>
      <c r="H140">
        <v>0</v>
      </c>
      <c r="I140">
        <v>0</v>
      </c>
      <c r="J140">
        <v>0</v>
      </c>
      <c r="K140" s="36">
        <v>0</v>
      </c>
      <c r="L140">
        <v>0</v>
      </c>
      <c r="M140">
        <v>0</v>
      </c>
      <c r="N140">
        <v>0</v>
      </c>
      <c r="P140" s="3">
        <v>990</v>
      </c>
      <c r="Q140" s="3">
        <v>11</v>
      </c>
      <c r="R140" s="3">
        <v>1</v>
      </c>
      <c r="S140">
        <v>0</v>
      </c>
      <c r="T140">
        <v>0</v>
      </c>
      <c r="U140">
        <v>0</v>
      </c>
      <c r="V140" s="36">
        <v>0</v>
      </c>
      <c r="W140">
        <v>0</v>
      </c>
      <c r="X140">
        <v>0</v>
      </c>
      <c r="Y140">
        <v>0</v>
      </c>
      <c r="Z140" s="36">
        <v>0</v>
      </c>
      <c r="AA140">
        <v>0</v>
      </c>
      <c r="AB140">
        <v>0</v>
      </c>
      <c r="AC140">
        <v>0</v>
      </c>
      <c r="AE140" s="3">
        <v>990</v>
      </c>
      <c r="AF140" s="3">
        <v>11</v>
      </c>
      <c r="AG140" s="3">
        <v>1</v>
      </c>
      <c r="AH140">
        <v>89.2</v>
      </c>
      <c r="AI140">
        <v>914.9</v>
      </c>
      <c r="AJ140">
        <v>72.2</v>
      </c>
      <c r="AK140" s="36">
        <v>961.3</v>
      </c>
      <c r="AL140">
        <v>80.599999999999994</v>
      </c>
      <c r="AM140">
        <v>79</v>
      </c>
      <c r="AN140">
        <v>1.7100000000000001E-2</v>
      </c>
      <c r="AO140" s="36">
        <v>915.3</v>
      </c>
      <c r="AP140">
        <v>1.06E-2</v>
      </c>
      <c r="AQ140">
        <v>961.3</v>
      </c>
      <c r="AR140">
        <v>1.35E-2</v>
      </c>
      <c r="AT140" s="3">
        <v>990</v>
      </c>
      <c r="AU140" s="3">
        <v>11</v>
      </c>
      <c r="AV140" s="3">
        <v>1</v>
      </c>
      <c r="AW140">
        <v>89.2</v>
      </c>
      <c r="AX140">
        <v>914.9</v>
      </c>
      <c r="AY140">
        <v>72.2</v>
      </c>
      <c r="AZ140" s="36">
        <v>961.3</v>
      </c>
      <c r="BA140">
        <v>80.599999999999994</v>
      </c>
      <c r="BB140">
        <v>79</v>
      </c>
      <c r="BC140">
        <v>1.7100000000000001E-2</v>
      </c>
      <c r="BD140" s="36">
        <v>915.3</v>
      </c>
      <c r="BE140">
        <v>1.06E-2</v>
      </c>
      <c r="BF140">
        <v>961.3</v>
      </c>
      <c r="BG140">
        <v>1.35E-2</v>
      </c>
    </row>
    <row r="141" spans="1:59" x14ac:dyDescent="0.25">
      <c r="A141" s="3">
        <v>990</v>
      </c>
      <c r="B141" s="3">
        <v>12</v>
      </c>
      <c r="C141" s="3">
        <v>1</v>
      </c>
      <c r="D141">
        <v>0</v>
      </c>
      <c r="E141">
        <v>0</v>
      </c>
      <c r="F141">
        <v>0</v>
      </c>
      <c r="G141" s="36">
        <v>0</v>
      </c>
      <c r="H141">
        <v>0</v>
      </c>
      <c r="I141">
        <v>0</v>
      </c>
      <c r="J141">
        <v>0</v>
      </c>
      <c r="K141" s="36">
        <v>0</v>
      </c>
      <c r="L141">
        <v>0</v>
      </c>
      <c r="M141">
        <v>0</v>
      </c>
      <c r="N141">
        <v>0</v>
      </c>
      <c r="P141" s="3">
        <v>990</v>
      </c>
      <c r="Q141" s="3">
        <v>12</v>
      </c>
      <c r="R141" s="3">
        <v>1</v>
      </c>
      <c r="S141">
        <v>0</v>
      </c>
      <c r="T141">
        <v>0</v>
      </c>
      <c r="U141">
        <v>0</v>
      </c>
      <c r="V141" s="36">
        <v>0</v>
      </c>
      <c r="W141">
        <v>0</v>
      </c>
      <c r="X141">
        <v>0</v>
      </c>
      <c r="Y141">
        <v>0</v>
      </c>
      <c r="Z141" s="36">
        <v>0</v>
      </c>
      <c r="AA141">
        <v>0</v>
      </c>
      <c r="AB141">
        <v>0</v>
      </c>
      <c r="AC141">
        <v>0</v>
      </c>
      <c r="AE141" s="3">
        <v>990</v>
      </c>
      <c r="AF141" s="3">
        <v>12</v>
      </c>
      <c r="AG141" s="3">
        <v>1</v>
      </c>
      <c r="AH141">
        <v>94.8</v>
      </c>
      <c r="AI141">
        <v>916.1</v>
      </c>
      <c r="AJ141">
        <v>85.7</v>
      </c>
      <c r="AK141" s="36">
        <v>954.1</v>
      </c>
      <c r="AL141">
        <v>90.4</v>
      </c>
      <c r="AM141">
        <v>90.2</v>
      </c>
      <c r="AN141">
        <v>1.9900000000000001E-2</v>
      </c>
      <c r="AO141" s="36">
        <v>916.9</v>
      </c>
      <c r="AP141">
        <v>1.6199999999999999E-2</v>
      </c>
      <c r="AQ141">
        <v>954.1</v>
      </c>
      <c r="AR141">
        <v>1.8100000000000002E-2</v>
      </c>
      <c r="AT141" s="3">
        <v>990</v>
      </c>
      <c r="AU141" s="3">
        <v>12</v>
      </c>
      <c r="AV141" s="3">
        <v>1</v>
      </c>
      <c r="AW141">
        <v>94.8</v>
      </c>
      <c r="AX141">
        <v>916.1</v>
      </c>
      <c r="AY141">
        <v>85.7</v>
      </c>
      <c r="AZ141" s="36">
        <v>954.1</v>
      </c>
      <c r="BA141">
        <v>90.4</v>
      </c>
      <c r="BB141">
        <v>90.2</v>
      </c>
      <c r="BC141">
        <v>1.9900000000000001E-2</v>
      </c>
      <c r="BD141" s="36">
        <v>916.9</v>
      </c>
      <c r="BE141">
        <v>1.6199999999999999E-2</v>
      </c>
      <c r="BF141">
        <v>954.1</v>
      </c>
      <c r="BG141">
        <v>1.8100000000000002E-2</v>
      </c>
    </row>
    <row r="142" spans="1:59" x14ac:dyDescent="0.25">
      <c r="A142" s="3">
        <v>990</v>
      </c>
      <c r="B142" s="3">
        <v>12</v>
      </c>
      <c r="C142" s="3">
        <v>2</v>
      </c>
      <c r="D142">
        <v>0</v>
      </c>
      <c r="E142">
        <v>0</v>
      </c>
      <c r="F142">
        <v>0</v>
      </c>
      <c r="G142" s="36">
        <v>0</v>
      </c>
      <c r="H142">
        <v>0</v>
      </c>
      <c r="I142">
        <v>0</v>
      </c>
      <c r="J142">
        <v>0</v>
      </c>
      <c r="K142" s="36">
        <v>0</v>
      </c>
      <c r="L142">
        <v>0</v>
      </c>
      <c r="M142">
        <v>0</v>
      </c>
      <c r="N142">
        <v>0</v>
      </c>
      <c r="P142" s="3">
        <v>990</v>
      </c>
      <c r="Q142" s="3">
        <v>12</v>
      </c>
      <c r="R142" s="3">
        <v>2</v>
      </c>
      <c r="S142">
        <v>0</v>
      </c>
      <c r="T142">
        <v>0</v>
      </c>
      <c r="U142">
        <v>0</v>
      </c>
      <c r="V142" s="36">
        <v>0</v>
      </c>
      <c r="W142">
        <v>0</v>
      </c>
      <c r="X142">
        <v>0</v>
      </c>
      <c r="Y142">
        <v>0</v>
      </c>
      <c r="Z142" s="36">
        <v>0</v>
      </c>
      <c r="AA142">
        <v>0</v>
      </c>
      <c r="AB142">
        <v>0</v>
      </c>
      <c r="AC142">
        <v>0</v>
      </c>
      <c r="AE142" s="3">
        <v>990</v>
      </c>
      <c r="AF142" s="3">
        <v>12</v>
      </c>
      <c r="AG142" s="3">
        <v>2</v>
      </c>
      <c r="AH142">
        <v>94.6</v>
      </c>
      <c r="AI142">
        <v>986.9</v>
      </c>
      <c r="AJ142">
        <v>90.4</v>
      </c>
      <c r="AK142" s="36">
        <v>976.9</v>
      </c>
      <c r="AL142">
        <v>92.6</v>
      </c>
      <c r="AM142">
        <v>92.1</v>
      </c>
      <c r="AN142">
        <v>2.0199999999999999E-2</v>
      </c>
      <c r="AO142" s="36">
        <v>919.3</v>
      </c>
      <c r="AP142">
        <v>1.8800000000000001E-2</v>
      </c>
      <c r="AQ142">
        <v>954.1</v>
      </c>
      <c r="AR142">
        <v>1.9599999999999999E-2</v>
      </c>
      <c r="AT142" s="3">
        <v>990</v>
      </c>
      <c r="AU142" s="3">
        <v>12</v>
      </c>
      <c r="AV142" s="3">
        <v>2</v>
      </c>
      <c r="AW142">
        <v>94.6</v>
      </c>
      <c r="AX142">
        <v>986.9</v>
      </c>
      <c r="AY142">
        <v>90.4</v>
      </c>
      <c r="AZ142" s="36">
        <v>976.9</v>
      </c>
      <c r="BA142">
        <v>92.6</v>
      </c>
      <c r="BB142">
        <v>92.1</v>
      </c>
      <c r="BC142">
        <v>2.0199999999999999E-2</v>
      </c>
      <c r="BD142" s="36">
        <v>919.3</v>
      </c>
      <c r="BE142">
        <v>1.8800000000000001E-2</v>
      </c>
      <c r="BF142">
        <v>954.1</v>
      </c>
      <c r="BG142">
        <v>1.9599999999999999E-2</v>
      </c>
    </row>
    <row r="143" spans="1:59" x14ac:dyDescent="0.25">
      <c r="A143" s="3">
        <v>990</v>
      </c>
      <c r="B143" s="3">
        <v>12</v>
      </c>
      <c r="C143" s="3">
        <v>3</v>
      </c>
      <c r="D143">
        <v>0</v>
      </c>
      <c r="E143">
        <v>0</v>
      </c>
      <c r="F143">
        <v>0</v>
      </c>
      <c r="G143" s="36">
        <v>0</v>
      </c>
      <c r="H143">
        <v>0</v>
      </c>
      <c r="I143">
        <v>0</v>
      </c>
      <c r="J143">
        <v>0</v>
      </c>
      <c r="K143" s="36">
        <v>0</v>
      </c>
      <c r="L143">
        <v>0</v>
      </c>
      <c r="M143">
        <v>0</v>
      </c>
      <c r="N143">
        <v>0</v>
      </c>
      <c r="P143" s="3">
        <v>990</v>
      </c>
      <c r="Q143" s="3">
        <v>12</v>
      </c>
      <c r="R143" s="3">
        <v>3</v>
      </c>
      <c r="S143">
        <v>0</v>
      </c>
      <c r="T143">
        <v>0</v>
      </c>
      <c r="U143">
        <v>0</v>
      </c>
      <c r="V143" s="36">
        <v>0</v>
      </c>
      <c r="W143">
        <v>0</v>
      </c>
      <c r="X143">
        <v>0</v>
      </c>
      <c r="Y143">
        <v>0</v>
      </c>
      <c r="Z143" s="36">
        <v>0</v>
      </c>
      <c r="AA143">
        <v>0</v>
      </c>
      <c r="AB143">
        <v>0</v>
      </c>
      <c r="AC143">
        <v>0</v>
      </c>
      <c r="AE143" s="3">
        <v>990</v>
      </c>
      <c r="AF143" s="3">
        <v>12</v>
      </c>
      <c r="AG143" s="3">
        <v>3</v>
      </c>
      <c r="AH143">
        <v>93.7</v>
      </c>
      <c r="AI143">
        <v>983.7</v>
      </c>
      <c r="AJ143">
        <v>90.2</v>
      </c>
      <c r="AK143" s="36">
        <v>974.5</v>
      </c>
      <c r="AL143">
        <v>91.9</v>
      </c>
      <c r="AM143">
        <v>91.6</v>
      </c>
      <c r="AN143">
        <v>2.0199999999999999E-2</v>
      </c>
      <c r="AO143" s="36">
        <v>920.5</v>
      </c>
      <c r="AP143">
        <v>1.9900000000000001E-2</v>
      </c>
      <c r="AQ143">
        <v>954.1</v>
      </c>
      <c r="AR143">
        <v>2.01E-2</v>
      </c>
      <c r="AT143" s="3">
        <v>990</v>
      </c>
      <c r="AU143" s="3">
        <v>12</v>
      </c>
      <c r="AV143" s="3">
        <v>3</v>
      </c>
      <c r="AW143">
        <v>93.7</v>
      </c>
      <c r="AX143">
        <v>983.7</v>
      </c>
      <c r="AY143">
        <v>90.2</v>
      </c>
      <c r="AZ143" s="36">
        <v>974.5</v>
      </c>
      <c r="BA143">
        <v>91.9</v>
      </c>
      <c r="BB143">
        <v>91.6</v>
      </c>
      <c r="BC143">
        <v>2.0199999999999999E-2</v>
      </c>
      <c r="BD143" s="36">
        <v>920.5</v>
      </c>
      <c r="BE143">
        <v>1.9900000000000001E-2</v>
      </c>
      <c r="BF143">
        <v>954.1</v>
      </c>
      <c r="BG143">
        <v>2.01E-2</v>
      </c>
    </row>
    <row r="144" spans="1:59" x14ac:dyDescent="0.25">
      <c r="A144" s="3">
        <v>990</v>
      </c>
      <c r="B144" s="3">
        <v>13</v>
      </c>
      <c r="C144" s="3">
        <v>1</v>
      </c>
      <c r="D144">
        <v>0</v>
      </c>
      <c r="E144">
        <v>0</v>
      </c>
      <c r="F144">
        <v>0</v>
      </c>
      <c r="G144" s="36">
        <v>0</v>
      </c>
      <c r="I144">
        <v>0</v>
      </c>
      <c r="J144">
        <v>0</v>
      </c>
      <c r="K144" s="36">
        <v>0</v>
      </c>
      <c r="L144">
        <v>0</v>
      </c>
      <c r="M144">
        <v>0</v>
      </c>
      <c r="N144">
        <v>0</v>
      </c>
      <c r="P144" s="3">
        <v>990</v>
      </c>
      <c r="Q144" s="3">
        <v>13</v>
      </c>
      <c r="R144" s="3">
        <v>1</v>
      </c>
      <c r="S144">
        <v>0</v>
      </c>
      <c r="T144">
        <v>0</v>
      </c>
      <c r="U144">
        <v>0</v>
      </c>
      <c r="V144" s="36">
        <v>0</v>
      </c>
      <c r="W144">
        <v>0</v>
      </c>
      <c r="X144">
        <v>0</v>
      </c>
      <c r="Y144">
        <v>0</v>
      </c>
      <c r="Z144" s="36">
        <v>0</v>
      </c>
      <c r="AA144">
        <v>0</v>
      </c>
      <c r="AB144">
        <v>0</v>
      </c>
      <c r="AC144">
        <v>0</v>
      </c>
      <c r="AE144" s="3">
        <v>990</v>
      </c>
      <c r="AF144" s="3">
        <v>13</v>
      </c>
      <c r="AG144" s="3">
        <v>1</v>
      </c>
      <c r="AH144">
        <v>92.2</v>
      </c>
      <c r="AI144">
        <v>980.9</v>
      </c>
      <c r="AJ144">
        <v>89.4</v>
      </c>
      <c r="AK144" s="36">
        <v>971.7</v>
      </c>
      <c r="AL144">
        <v>0</v>
      </c>
      <c r="AM144">
        <v>90.3</v>
      </c>
      <c r="AN144">
        <v>2.0199999999999999E-2</v>
      </c>
      <c r="AO144" s="36">
        <v>979.3</v>
      </c>
      <c r="AP144">
        <v>2.0199999999999999E-2</v>
      </c>
      <c r="AQ144">
        <v>914.5</v>
      </c>
      <c r="AR144">
        <v>2.0199999999999999E-2</v>
      </c>
      <c r="AT144" s="3">
        <v>990</v>
      </c>
      <c r="AU144" s="3">
        <v>13</v>
      </c>
      <c r="AV144" s="3">
        <v>1</v>
      </c>
      <c r="AW144">
        <v>92.2</v>
      </c>
      <c r="AX144">
        <v>980.9</v>
      </c>
      <c r="AY144">
        <v>89.4</v>
      </c>
      <c r="AZ144" s="36">
        <v>971.7</v>
      </c>
      <c r="BA144">
        <v>0</v>
      </c>
      <c r="BB144">
        <v>90.3</v>
      </c>
      <c r="BC144">
        <v>2.0199999999999999E-2</v>
      </c>
      <c r="BD144" s="36">
        <v>979.3</v>
      </c>
      <c r="BE144">
        <v>2.0199999999999999E-2</v>
      </c>
      <c r="BF144">
        <v>914.5</v>
      </c>
      <c r="BG144">
        <v>2.0199999999999999E-2</v>
      </c>
    </row>
    <row r="145" spans="1:59" x14ac:dyDescent="0.25">
      <c r="A145" s="3">
        <v>990</v>
      </c>
      <c r="B145" s="3">
        <v>13</v>
      </c>
      <c r="C145" s="3">
        <v>2</v>
      </c>
      <c r="D145">
        <v>0</v>
      </c>
      <c r="E145">
        <v>0</v>
      </c>
      <c r="F145">
        <v>0</v>
      </c>
      <c r="G145" s="36">
        <v>0</v>
      </c>
      <c r="I145">
        <v>0</v>
      </c>
      <c r="J145">
        <v>0</v>
      </c>
      <c r="K145" s="36">
        <v>0</v>
      </c>
      <c r="L145">
        <v>0</v>
      </c>
      <c r="M145">
        <v>0</v>
      </c>
      <c r="N145">
        <v>0</v>
      </c>
      <c r="P145" s="3">
        <v>990</v>
      </c>
      <c r="Q145" s="3">
        <v>13</v>
      </c>
      <c r="R145" s="3">
        <v>2</v>
      </c>
      <c r="S145">
        <v>0</v>
      </c>
      <c r="T145">
        <v>0</v>
      </c>
      <c r="U145">
        <v>0</v>
      </c>
      <c r="V145" s="36">
        <v>0</v>
      </c>
      <c r="W145">
        <v>0</v>
      </c>
      <c r="X145">
        <v>0</v>
      </c>
      <c r="Y145">
        <v>0</v>
      </c>
      <c r="Z145" s="36">
        <v>0</v>
      </c>
      <c r="AA145">
        <v>0</v>
      </c>
      <c r="AB145">
        <v>0</v>
      </c>
      <c r="AC145">
        <v>0</v>
      </c>
      <c r="AE145" s="3">
        <v>990</v>
      </c>
      <c r="AF145" s="3">
        <v>13</v>
      </c>
      <c r="AG145" s="3">
        <v>2</v>
      </c>
      <c r="AH145">
        <v>91.6</v>
      </c>
      <c r="AI145">
        <v>977.7</v>
      </c>
      <c r="AJ145">
        <v>89.2</v>
      </c>
      <c r="AK145" s="36">
        <v>917.7</v>
      </c>
      <c r="AL145">
        <v>0</v>
      </c>
      <c r="AM145">
        <v>90</v>
      </c>
      <c r="AN145">
        <v>2.0199999999999999E-2</v>
      </c>
      <c r="AO145" s="36">
        <v>976.9</v>
      </c>
      <c r="AP145">
        <v>2.0199999999999999E-2</v>
      </c>
      <c r="AQ145">
        <v>917.3</v>
      </c>
      <c r="AR145">
        <v>2.0199999999999999E-2</v>
      </c>
      <c r="AT145" s="3">
        <v>990</v>
      </c>
      <c r="AU145" s="3">
        <v>13</v>
      </c>
      <c r="AV145" s="3">
        <v>2</v>
      </c>
      <c r="AW145">
        <v>91.6</v>
      </c>
      <c r="AX145">
        <v>977.7</v>
      </c>
      <c r="AY145">
        <v>89.2</v>
      </c>
      <c r="AZ145" s="36">
        <v>917.7</v>
      </c>
      <c r="BA145">
        <v>0</v>
      </c>
      <c r="BB145">
        <v>90</v>
      </c>
      <c r="BC145">
        <v>2.0199999999999999E-2</v>
      </c>
      <c r="BD145" s="36">
        <v>976.9</v>
      </c>
      <c r="BE145">
        <v>2.0199999999999999E-2</v>
      </c>
      <c r="BF145">
        <v>917.3</v>
      </c>
      <c r="BG145">
        <v>2.0199999999999999E-2</v>
      </c>
    </row>
    <row r="146" spans="1:59" x14ac:dyDescent="0.25">
      <c r="A146" s="3">
        <v>990</v>
      </c>
      <c r="B146" s="3">
        <v>14</v>
      </c>
      <c r="C146" s="3">
        <v>1</v>
      </c>
      <c r="D146">
        <v>0</v>
      </c>
      <c r="E146">
        <v>0</v>
      </c>
      <c r="F146">
        <v>0</v>
      </c>
      <c r="G146" s="36">
        <v>0</v>
      </c>
      <c r="I146">
        <v>0</v>
      </c>
      <c r="J146">
        <v>0</v>
      </c>
      <c r="K146" s="36">
        <v>0</v>
      </c>
      <c r="L146">
        <v>0</v>
      </c>
      <c r="M146">
        <v>0</v>
      </c>
      <c r="N146">
        <v>0</v>
      </c>
      <c r="P146" s="3">
        <v>990</v>
      </c>
      <c r="Q146" s="3">
        <v>14</v>
      </c>
      <c r="R146" s="3">
        <v>1</v>
      </c>
      <c r="S146">
        <v>0</v>
      </c>
      <c r="T146">
        <v>0</v>
      </c>
      <c r="U146">
        <v>0</v>
      </c>
      <c r="V146" s="36">
        <v>0</v>
      </c>
      <c r="W146">
        <v>0</v>
      </c>
      <c r="X146">
        <v>0</v>
      </c>
      <c r="Y146">
        <v>0</v>
      </c>
      <c r="Z146" s="36">
        <v>0</v>
      </c>
      <c r="AA146">
        <v>0</v>
      </c>
      <c r="AB146">
        <v>0</v>
      </c>
      <c r="AC146">
        <v>0</v>
      </c>
      <c r="AE146" s="3">
        <v>990</v>
      </c>
      <c r="AF146" s="3">
        <v>14</v>
      </c>
      <c r="AG146" s="3">
        <v>1</v>
      </c>
      <c r="AH146">
        <v>90.7</v>
      </c>
      <c r="AI146">
        <v>975.7</v>
      </c>
      <c r="AJ146">
        <v>89.3</v>
      </c>
      <c r="AK146" s="36">
        <v>920.9</v>
      </c>
      <c r="AL146">
        <v>0</v>
      </c>
      <c r="AM146">
        <v>89.8</v>
      </c>
      <c r="AN146">
        <v>2.0199999999999999E-2</v>
      </c>
      <c r="AO146" s="36">
        <v>974.5</v>
      </c>
      <c r="AP146">
        <v>2.0199999999999999E-2</v>
      </c>
      <c r="AQ146">
        <v>916.9</v>
      </c>
      <c r="AR146">
        <v>2.0199999999999999E-2</v>
      </c>
      <c r="AT146" s="3">
        <v>990</v>
      </c>
      <c r="AU146" s="3">
        <v>14</v>
      </c>
      <c r="AV146" s="3">
        <v>1</v>
      </c>
      <c r="AW146">
        <v>90.7</v>
      </c>
      <c r="AX146">
        <v>975.7</v>
      </c>
      <c r="AY146">
        <v>89.3</v>
      </c>
      <c r="AZ146" s="36">
        <v>920.9</v>
      </c>
      <c r="BA146">
        <v>0</v>
      </c>
      <c r="BB146">
        <v>89.8</v>
      </c>
      <c r="BC146">
        <v>2.0199999999999999E-2</v>
      </c>
      <c r="BD146" s="36">
        <v>974.5</v>
      </c>
      <c r="BE146">
        <v>2.0199999999999999E-2</v>
      </c>
      <c r="BF146">
        <v>916.9</v>
      </c>
      <c r="BG146">
        <v>2.0199999999999999E-2</v>
      </c>
    </row>
    <row r="147" spans="1:59" x14ac:dyDescent="0.25">
      <c r="A147" s="3">
        <v>990</v>
      </c>
      <c r="B147" s="3">
        <v>14</v>
      </c>
      <c r="C147" s="3">
        <v>2</v>
      </c>
      <c r="D147">
        <v>0</v>
      </c>
      <c r="E147">
        <v>0</v>
      </c>
      <c r="F147">
        <v>0</v>
      </c>
      <c r="G147" s="36">
        <v>0</v>
      </c>
      <c r="I147">
        <v>0</v>
      </c>
      <c r="J147">
        <v>0</v>
      </c>
      <c r="K147" s="36">
        <v>0</v>
      </c>
      <c r="L147">
        <v>0</v>
      </c>
      <c r="M147">
        <v>0</v>
      </c>
      <c r="N147">
        <v>0</v>
      </c>
      <c r="P147" s="3">
        <v>990</v>
      </c>
      <c r="Q147" s="3">
        <v>14</v>
      </c>
      <c r="R147" s="3">
        <v>2</v>
      </c>
      <c r="S147">
        <v>0</v>
      </c>
      <c r="T147">
        <v>0</v>
      </c>
      <c r="U147">
        <v>0</v>
      </c>
      <c r="V147" s="36">
        <v>0</v>
      </c>
      <c r="W147">
        <v>0</v>
      </c>
      <c r="X147">
        <v>0</v>
      </c>
      <c r="Y147">
        <v>0</v>
      </c>
      <c r="Z147" s="36">
        <v>0</v>
      </c>
      <c r="AA147">
        <v>0</v>
      </c>
      <c r="AB147">
        <v>0</v>
      </c>
      <c r="AC147">
        <v>0</v>
      </c>
      <c r="AE147" s="3">
        <v>990</v>
      </c>
      <c r="AF147" s="3">
        <v>14</v>
      </c>
      <c r="AG147" s="3">
        <v>2</v>
      </c>
      <c r="AH147">
        <v>90.8</v>
      </c>
      <c r="AI147">
        <v>972.9</v>
      </c>
      <c r="AJ147">
        <v>89.5</v>
      </c>
      <c r="AK147" s="36">
        <v>922.9</v>
      </c>
      <c r="AL147">
        <v>0</v>
      </c>
      <c r="AM147">
        <v>89.9</v>
      </c>
      <c r="AN147">
        <v>2.0199999999999999E-2</v>
      </c>
      <c r="AO147" s="36">
        <v>972.1</v>
      </c>
      <c r="AP147">
        <v>2.0199999999999999E-2</v>
      </c>
      <c r="AQ147">
        <v>916.1</v>
      </c>
      <c r="AR147">
        <v>2.0199999999999999E-2</v>
      </c>
      <c r="AT147" s="3">
        <v>990</v>
      </c>
      <c r="AU147" s="3">
        <v>14</v>
      </c>
      <c r="AV147" s="3">
        <v>2</v>
      </c>
      <c r="AW147">
        <v>90.8</v>
      </c>
      <c r="AX147">
        <v>972.9</v>
      </c>
      <c r="AY147">
        <v>89.5</v>
      </c>
      <c r="AZ147" s="36">
        <v>922.9</v>
      </c>
      <c r="BA147">
        <v>0</v>
      </c>
      <c r="BB147">
        <v>89.9</v>
      </c>
      <c r="BC147">
        <v>2.0199999999999999E-2</v>
      </c>
      <c r="BD147" s="36">
        <v>972.1</v>
      </c>
      <c r="BE147">
        <v>2.0199999999999999E-2</v>
      </c>
      <c r="BF147">
        <v>916.1</v>
      </c>
      <c r="BG147">
        <v>2.0199999999999999E-2</v>
      </c>
    </row>
    <row r="148" spans="1:59" x14ac:dyDescent="0.25">
      <c r="A148" s="3">
        <v>990</v>
      </c>
      <c r="B148" s="3">
        <v>103</v>
      </c>
      <c r="C148" s="3">
        <v>1</v>
      </c>
      <c r="D148">
        <v>0</v>
      </c>
      <c r="E148">
        <v>0</v>
      </c>
      <c r="F148">
        <v>0</v>
      </c>
      <c r="G148" s="36">
        <v>0</v>
      </c>
      <c r="H148">
        <v>0</v>
      </c>
      <c r="I148">
        <v>0</v>
      </c>
      <c r="J148">
        <v>0</v>
      </c>
      <c r="K148" s="36">
        <v>0</v>
      </c>
      <c r="L148">
        <v>0</v>
      </c>
      <c r="M148">
        <v>0</v>
      </c>
      <c r="N148">
        <v>0</v>
      </c>
      <c r="P148" s="3">
        <v>990</v>
      </c>
      <c r="Q148" s="3">
        <v>103</v>
      </c>
      <c r="R148" s="3">
        <v>1</v>
      </c>
      <c r="S148">
        <v>0</v>
      </c>
      <c r="T148">
        <v>0</v>
      </c>
      <c r="U148">
        <v>0</v>
      </c>
      <c r="V148" s="36">
        <v>0</v>
      </c>
      <c r="W148">
        <v>0</v>
      </c>
      <c r="X148">
        <v>0</v>
      </c>
      <c r="Y148">
        <v>0</v>
      </c>
      <c r="Z148" s="36">
        <v>0</v>
      </c>
      <c r="AA148">
        <v>0</v>
      </c>
      <c r="AB148">
        <v>0</v>
      </c>
      <c r="AC148">
        <v>0</v>
      </c>
      <c r="AE148" s="3">
        <v>990</v>
      </c>
      <c r="AF148" s="3">
        <v>103</v>
      </c>
      <c r="AG148" s="3">
        <v>1</v>
      </c>
      <c r="AH148">
        <v>88.8</v>
      </c>
      <c r="AI148">
        <v>967.7</v>
      </c>
      <c r="AJ148">
        <v>87.1</v>
      </c>
      <c r="AK148" s="36">
        <v>933.7</v>
      </c>
      <c r="AL148">
        <v>87.7</v>
      </c>
      <c r="AM148">
        <v>88.1</v>
      </c>
      <c r="AN148">
        <v>2.0199999999999999E-2</v>
      </c>
      <c r="AO148" s="36">
        <v>938.5</v>
      </c>
      <c r="AP148">
        <v>2.0199999999999999E-2</v>
      </c>
      <c r="AQ148">
        <v>970.1</v>
      </c>
      <c r="AR148">
        <v>2.0199999999999999E-2</v>
      </c>
      <c r="AT148" s="3">
        <v>990</v>
      </c>
      <c r="AU148" s="3">
        <v>103</v>
      </c>
      <c r="AV148" s="3">
        <v>1</v>
      </c>
      <c r="AW148">
        <v>88.8</v>
      </c>
      <c r="AX148">
        <v>967.7</v>
      </c>
      <c r="AY148">
        <v>87.1</v>
      </c>
      <c r="AZ148" s="36">
        <v>933.7</v>
      </c>
      <c r="BA148">
        <v>87.7</v>
      </c>
      <c r="BB148">
        <v>88.1</v>
      </c>
      <c r="BC148">
        <v>2.0199999999999999E-2</v>
      </c>
      <c r="BD148" s="36">
        <v>938.5</v>
      </c>
      <c r="BE148">
        <v>2.0199999999999999E-2</v>
      </c>
      <c r="BF148">
        <v>970.1</v>
      </c>
      <c r="BG148">
        <v>2.0199999999999999E-2</v>
      </c>
    </row>
    <row r="149" spans="1:59" x14ac:dyDescent="0.25">
      <c r="A149" s="3">
        <v>990</v>
      </c>
      <c r="B149" s="3">
        <v>104</v>
      </c>
      <c r="C149" s="3">
        <v>1</v>
      </c>
      <c r="D149">
        <v>0</v>
      </c>
      <c r="E149">
        <v>0</v>
      </c>
      <c r="F149">
        <v>0</v>
      </c>
      <c r="G149" s="36">
        <v>0</v>
      </c>
      <c r="H149">
        <v>0</v>
      </c>
      <c r="I149">
        <v>0</v>
      </c>
      <c r="J149">
        <v>0</v>
      </c>
      <c r="K149" s="36">
        <v>0</v>
      </c>
      <c r="L149">
        <v>0</v>
      </c>
      <c r="M149">
        <v>0</v>
      </c>
      <c r="N149">
        <v>0</v>
      </c>
      <c r="P149" s="3">
        <v>990</v>
      </c>
      <c r="Q149" s="3">
        <v>104</v>
      </c>
      <c r="R149" s="3">
        <v>1</v>
      </c>
      <c r="S149">
        <v>0</v>
      </c>
      <c r="T149">
        <v>0</v>
      </c>
      <c r="U149">
        <v>0</v>
      </c>
      <c r="V149" s="36">
        <v>0</v>
      </c>
      <c r="W149">
        <v>0</v>
      </c>
      <c r="X149">
        <v>0</v>
      </c>
      <c r="Y149">
        <v>0</v>
      </c>
      <c r="Z149" s="36">
        <v>0</v>
      </c>
      <c r="AA149">
        <v>0</v>
      </c>
      <c r="AB149">
        <v>0</v>
      </c>
      <c r="AC149">
        <v>0</v>
      </c>
      <c r="AE149" s="3">
        <v>990</v>
      </c>
      <c r="AF149" s="3">
        <v>104</v>
      </c>
      <c r="AG149" s="3">
        <v>1</v>
      </c>
      <c r="AH149">
        <v>89.6</v>
      </c>
      <c r="AI149">
        <v>929.7</v>
      </c>
      <c r="AJ149">
        <v>82.9</v>
      </c>
      <c r="AK149" s="36">
        <v>957.3</v>
      </c>
      <c r="AL149">
        <v>85.7</v>
      </c>
      <c r="AM149">
        <v>88.8</v>
      </c>
      <c r="AN149">
        <v>2.0199999999999999E-2</v>
      </c>
      <c r="AO149" s="36">
        <v>934.1</v>
      </c>
      <c r="AP149">
        <v>1.61E-2</v>
      </c>
      <c r="AQ149">
        <v>959.3</v>
      </c>
      <c r="AR149">
        <v>1.9199999999999998E-2</v>
      </c>
      <c r="AT149" s="3">
        <v>990</v>
      </c>
      <c r="AU149" s="3">
        <v>104</v>
      </c>
      <c r="AV149" s="3">
        <v>1</v>
      </c>
      <c r="AW149">
        <v>89.6</v>
      </c>
      <c r="AX149">
        <v>929.7</v>
      </c>
      <c r="AY149">
        <v>82.9</v>
      </c>
      <c r="AZ149" s="36">
        <v>957.3</v>
      </c>
      <c r="BA149">
        <v>85.7</v>
      </c>
      <c r="BB149">
        <v>88.8</v>
      </c>
      <c r="BC149">
        <v>2.0199999999999999E-2</v>
      </c>
      <c r="BD149" s="36">
        <v>934.1</v>
      </c>
      <c r="BE149">
        <v>1.61E-2</v>
      </c>
      <c r="BF149">
        <v>959.3</v>
      </c>
      <c r="BG149">
        <v>1.9199999999999998E-2</v>
      </c>
    </row>
    <row r="150" spans="1:59" x14ac:dyDescent="0.25">
      <c r="A150" s="3">
        <v>990</v>
      </c>
      <c r="B150" s="3">
        <v>110</v>
      </c>
      <c r="C150" s="3">
        <v>1</v>
      </c>
      <c r="D150">
        <v>0</v>
      </c>
      <c r="E150">
        <v>0</v>
      </c>
      <c r="F150">
        <v>0</v>
      </c>
      <c r="G150" s="36">
        <v>0</v>
      </c>
      <c r="H150">
        <v>0</v>
      </c>
      <c r="I150">
        <v>0</v>
      </c>
      <c r="J150">
        <v>0</v>
      </c>
      <c r="K150" s="36">
        <v>0.1305909239307918</v>
      </c>
      <c r="L150">
        <v>0</v>
      </c>
      <c r="M150">
        <v>0</v>
      </c>
      <c r="N150">
        <v>0</v>
      </c>
      <c r="P150" s="3">
        <v>990</v>
      </c>
      <c r="Q150" s="3">
        <v>110</v>
      </c>
      <c r="R150" s="3">
        <v>1</v>
      </c>
      <c r="S150">
        <v>0</v>
      </c>
      <c r="T150">
        <v>0</v>
      </c>
      <c r="U150">
        <v>0</v>
      </c>
      <c r="V150" s="36">
        <v>0</v>
      </c>
      <c r="W150">
        <v>0</v>
      </c>
      <c r="X150">
        <v>0</v>
      </c>
      <c r="Y150">
        <v>0</v>
      </c>
      <c r="Z150" s="36">
        <v>1.200000000000045</v>
      </c>
      <c r="AA150">
        <v>0</v>
      </c>
      <c r="AB150">
        <v>0</v>
      </c>
      <c r="AC150">
        <v>0</v>
      </c>
      <c r="AE150" s="3">
        <v>990</v>
      </c>
      <c r="AF150" s="3">
        <v>110</v>
      </c>
      <c r="AG150" s="3">
        <v>1</v>
      </c>
      <c r="AH150">
        <v>90</v>
      </c>
      <c r="AI150">
        <v>917.7</v>
      </c>
      <c r="AJ150">
        <v>84.9</v>
      </c>
      <c r="AK150" s="36">
        <v>983.3</v>
      </c>
      <c r="AL150">
        <v>86.1</v>
      </c>
      <c r="AM150">
        <v>89.4</v>
      </c>
      <c r="AN150">
        <v>2.0199999999999999E-2</v>
      </c>
      <c r="AO150" s="36">
        <v>920.1</v>
      </c>
      <c r="AP150">
        <v>1.47E-2</v>
      </c>
      <c r="AQ150">
        <v>983.3</v>
      </c>
      <c r="AR150">
        <v>1.83E-2</v>
      </c>
      <c r="AT150" s="3">
        <v>990</v>
      </c>
      <c r="AU150" s="3">
        <v>110</v>
      </c>
      <c r="AV150" s="3">
        <v>1</v>
      </c>
      <c r="AW150">
        <v>90</v>
      </c>
      <c r="AX150">
        <v>917.7</v>
      </c>
      <c r="AY150">
        <v>84.9</v>
      </c>
      <c r="AZ150" s="36">
        <v>983.3</v>
      </c>
      <c r="BA150">
        <v>86.1</v>
      </c>
      <c r="BB150">
        <v>89.4</v>
      </c>
      <c r="BC150">
        <v>2.0199999999999999E-2</v>
      </c>
      <c r="BD150" s="36">
        <v>918.9</v>
      </c>
      <c r="BE150">
        <v>1.47E-2</v>
      </c>
      <c r="BF150">
        <v>983.3</v>
      </c>
      <c r="BG150">
        <v>1.83E-2</v>
      </c>
    </row>
    <row r="151" spans="1:59" x14ac:dyDescent="0.25">
      <c r="A151" s="3">
        <v>990</v>
      </c>
      <c r="B151" s="3">
        <v>114</v>
      </c>
      <c r="C151" s="3">
        <v>1</v>
      </c>
      <c r="D151">
        <v>0</v>
      </c>
      <c r="E151">
        <v>0</v>
      </c>
      <c r="F151">
        <v>0</v>
      </c>
      <c r="G151" s="36">
        <v>0</v>
      </c>
      <c r="H151">
        <v>0</v>
      </c>
      <c r="J151">
        <v>0</v>
      </c>
      <c r="K151" s="36">
        <v>0</v>
      </c>
      <c r="L151">
        <v>0</v>
      </c>
      <c r="M151">
        <v>0</v>
      </c>
      <c r="N151">
        <v>0</v>
      </c>
      <c r="P151" s="3">
        <v>990</v>
      </c>
      <c r="Q151" s="3">
        <v>114</v>
      </c>
      <c r="R151" s="3">
        <v>1</v>
      </c>
      <c r="S151">
        <v>0</v>
      </c>
      <c r="T151">
        <v>0</v>
      </c>
      <c r="U151">
        <v>0</v>
      </c>
      <c r="V151" s="36">
        <v>0</v>
      </c>
      <c r="W151">
        <v>0</v>
      </c>
      <c r="X151">
        <v>0</v>
      </c>
      <c r="Y151">
        <v>0</v>
      </c>
      <c r="Z151" s="36">
        <v>0</v>
      </c>
      <c r="AA151">
        <v>0</v>
      </c>
      <c r="AB151">
        <v>0</v>
      </c>
      <c r="AC151">
        <v>0</v>
      </c>
      <c r="AE151" s="3">
        <v>990</v>
      </c>
      <c r="AF151" s="3">
        <v>114</v>
      </c>
      <c r="AG151" s="3">
        <v>1</v>
      </c>
      <c r="AH151">
        <v>91.3</v>
      </c>
      <c r="AI151">
        <v>946.5</v>
      </c>
      <c r="AJ151">
        <v>89.3</v>
      </c>
      <c r="AK151" s="36">
        <v>973.7</v>
      </c>
      <c r="AL151">
        <v>90.3</v>
      </c>
      <c r="AM151">
        <v>0</v>
      </c>
      <c r="AN151">
        <v>2.0199999999999999E-2</v>
      </c>
      <c r="AO151" s="36">
        <v>900</v>
      </c>
      <c r="AP151">
        <v>2.01E-2</v>
      </c>
      <c r="AQ151">
        <v>950.1</v>
      </c>
      <c r="AR151">
        <v>2.0199999999999999E-2</v>
      </c>
      <c r="AT151" s="3">
        <v>990</v>
      </c>
      <c r="AU151" s="3">
        <v>114</v>
      </c>
      <c r="AV151" s="3">
        <v>1</v>
      </c>
      <c r="AW151">
        <v>91.3</v>
      </c>
      <c r="AX151">
        <v>946.5</v>
      </c>
      <c r="AY151">
        <v>89.3</v>
      </c>
      <c r="AZ151" s="36">
        <v>973.7</v>
      </c>
      <c r="BA151">
        <v>90.3</v>
      </c>
      <c r="BB151">
        <v>0</v>
      </c>
      <c r="BC151">
        <v>2.0199999999999999E-2</v>
      </c>
      <c r="BD151" s="36">
        <v>900</v>
      </c>
      <c r="BE151">
        <v>2.01E-2</v>
      </c>
      <c r="BF151">
        <v>950.1</v>
      </c>
      <c r="BG151">
        <v>2.0199999999999999E-2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K55"/>
  <sheetViews>
    <sheetView workbookViewId="0"/>
  </sheetViews>
  <sheetFormatPr defaultRowHeight="15" x14ac:dyDescent="0.25"/>
  <sheetData>
    <row r="1" spans="1:63" x14ac:dyDescent="0.25">
      <c r="A1" s="1" t="s">
        <v>72</v>
      </c>
    </row>
    <row r="2" spans="1:63" x14ac:dyDescent="0.25">
      <c r="A2" s="2" t="s">
        <v>1</v>
      </c>
    </row>
    <row r="3" spans="1:63" x14ac:dyDescent="0.25">
      <c r="B3" t="s">
        <v>2</v>
      </c>
      <c r="Q3" t="s">
        <v>3</v>
      </c>
    </row>
    <row r="4" spans="1:63" x14ac:dyDescent="0.25">
      <c r="D4" s="3" t="s">
        <v>73</v>
      </c>
      <c r="E4" s="3" t="s">
        <v>74</v>
      </c>
      <c r="F4" s="3" t="s">
        <v>75</v>
      </c>
      <c r="G4" s="3" t="s">
        <v>76</v>
      </c>
      <c r="H4" s="3" t="s">
        <v>77</v>
      </c>
      <c r="I4" s="3" t="s">
        <v>78</v>
      </c>
      <c r="J4" s="3" t="s">
        <v>79</v>
      </c>
      <c r="K4" s="3" t="s">
        <v>80</v>
      </c>
      <c r="L4" s="3" t="s">
        <v>81</v>
      </c>
      <c r="M4" s="3" t="s">
        <v>82</v>
      </c>
      <c r="N4" s="3" t="s">
        <v>83</v>
      </c>
      <c r="O4" s="3" t="s">
        <v>84</v>
      </c>
      <c r="T4" s="3" t="s">
        <v>73</v>
      </c>
      <c r="U4" s="3" t="s">
        <v>74</v>
      </c>
      <c r="V4" s="3" t="s">
        <v>75</v>
      </c>
      <c r="W4" s="3" t="s">
        <v>76</v>
      </c>
      <c r="X4" s="3" t="s">
        <v>77</v>
      </c>
      <c r="Y4" s="3" t="s">
        <v>78</v>
      </c>
      <c r="Z4" s="3" t="s">
        <v>79</v>
      </c>
      <c r="AA4" s="3" t="s">
        <v>80</v>
      </c>
      <c r="AB4" s="3" t="s">
        <v>81</v>
      </c>
      <c r="AC4" s="3" t="s">
        <v>82</v>
      </c>
      <c r="AD4" s="3" t="s">
        <v>83</v>
      </c>
      <c r="AE4" s="3" t="s">
        <v>84</v>
      </c>
    </row>
    <row r="5" spans="1:63" x14ac:dyDescent="0.25">
      <c r="C5" s="3" t="s">
        <v>6</v>
      </c>
      <c r="D5">
        <v>40</v>
      </c>
      <c r="E5">
        <v>40</v>
      </c>
      <c r="F5">
        <v>40</v>
      </c>
      <c r="G5">
        <v>25</v>
      </c>
      <c r="H5">
        <v>15</v>
      </c>
      <c r="I5">
        <v>12</v>
      </c>
      <c r="J5">
        <v>40</v>
      </c>
      <c r="K5">
        <v>40</v>
      </c>
      <c r="L5">
        <v>40</v>
      </c>
      <c r="M5">
        <v>40</v>
      </c>
      <c r="N5">
        <v>40</v>
      </c>
      <c r="O5">
        <v>40</v>
      </c>
      <c r="S5" s="3" t="s">
        <v>6</v>
      </c>
      <c r="T5">
        <v>40</v>
      </c>
      <c r="U5">
        <v>40</v>
      </c>
      <c r="V5">
        <v>40</v>
      </c>
      <c r="W5">
        <v>40</v>
      </c>
      <c r="X5">
        <v>40</v>
      </c>
      <c r="Y5">
        <v>40</v>
      </c>
      <c r="Z5">
        <v>40</v>
      </c>
      <c r="AA5">
        <v>40</v>
      </c>
      <c r="AB5">
        <v>40</v>
      </c>
      <c r="AC5">
        <v>40</v>
      </c>
      <c r="AD5">
        <v>40</v>
      </c>
      <c r="AE5">
        <v>40</v>
      </c>
    </row>
    <row r="6" spans="1:63" x14ac:dyDescent="0.25">
      <c r="C6" s="3" t="s">
        <v>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S6" s="3" t="s">
        <v>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63" x14ac:dyDescent="0.25">
      <c r="C7" s="3" t="s">
        <v>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S7" s="3" t="s">
        <v>8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63" x14ac:dyDescent="0.25">
      <c r="C8" s="3" t="s">
        <v>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S8" s="3" t="s">
        <v>9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63" x14ac:dyDescent="0.25">
      <c r="C9" s="3" t="s">
        <v>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S9" s="3" t="s">
        <v>10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63" x14ac:dyDescent="0.25">
      <c r="C10" s="3" t="s">
        <v>11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S10" s="3" t="s">
        <v>11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63" x14ac:dyDescent="0.25">
      <c r="C11" s="3" t="s">
        <v>12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S11" s="3" t="s">
        <v>12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63" x14ac:dyDescent="0.25">
      <c r="C12" s="3" t="s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S12" s="3" t="s">
        <v>13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63" x14ac:dyDescent="0.25">
      <c r="A13" s="2" t="s">
        <v>14</v>
      </c>
    </row>
    <row r="14" spans="1:63" x14ac:dyDescent="0.25">
      <c r="A14" t="s">
        <v>2</v>
      </c>
      <c r="Q14" t="s">
        <v>3</v>
      </c>
      <c r="AG14" t="s">
        <v>15</v>
      </c>
      <c r="AW14" t="s">
        <v>16</v>
      </c>
    </row>
    <row r="15" spans="1:63" x14ac:dyDescent="0.25">
      <c r="A15" s="3" t="s">
        <v>17</v>
      </c>
      <c r="B15" s="3" t="s">
        <v>18</v>
      </c>
      <c r="C15" s="3" t="s">
        <v>24</v>
      </c>
      <c r="D15" s="3" t="s">
        <v>73</v>
      </c>
      <c r="E15" s="3" t="s">
        <v>74</v>
      </c>
      <c r="F15" s="3" t="s">
        <v>75</v>
      </c>
      <c r="G15" s="3" t="s">
        <v>76</v>
      </c>
      <c r="H15" s="3" t="s">
        <v>77</v>
      </c>
      <c r="I15" s="3" t="s">
        <v>78</v>
      </c>
      <c r="J15" s="3" t="s">
        <v>79</v>
      </c>
      <c r="K15" s="3" t="s">
        <v>80</v>
      </c>
      <c r="L15" s="3" t="s">
        <v>81</v>
      </c>
      <c r="M15" s="3" t="s">
        <v>82</v>
      </c>
      <c r="N15" s="3" t="s">
        <v>83</v>
      </c>
      <c r="O15" s="3" t="s">
        <v>84</v>
      </c>
      <c r="Q15" s="3" t="s">
        <v>17</v>
      </c>
      <c r="R15" s="3" t="s">
        <v>18</v>
      </c>
      <c r="S15" s="3" t="s">
        <v>24</v>
      </c>
      <c r="T15" s="3" t="s">
        <v>73</v>
      </c>
      <c r="U15" s="3" t="s">
        <v>74</v>
      </c>
      <c r="V15" s="3" t="s">
        <v>75</v>
      </c>
      <c r="W15" s="3" t="s">
        <v>76</v>
      </c>
      <c r="X15" s="3" t="s">
        <v>77</v>
      </c>
      <c r="Y15" s="3" t="s">
        <v>78</v>
      </c>
      <c r="Z15" s="3" t="s">
        <v>79</v>
      </c>
      <c r="AA15" s="3" t="s">
        <v>80</v>
      </c>
      <c r="AB15" s="3" t="s">
        <v>81</v>
      </c>
      <c r="AC15" s="3" t="s">
        <v>82</v>
      </c>
      <c r="AD15" s="3" t="s">
        <v>83</v>
      </c>
      <c r="AE15" s="3" t="s">
        <v>84</v>
      </c>
      <c r="AG15" s="3" t="s">
        <v>17</v>
      </c>
      <c r="AH15" s="3" t="s">
        <v>18</v>
      </c>
      <c r="AI15" s="3" t="s">
        <v>24</v>
      </c>
      <c r="AJ15" s="3" t="s">
        <v>73</v>
      </c>
      <c r="AK15" s="3" t="s">
        <v>74</v>
      </c>
      <c r="AL15" s="3" t="s">
        <v>75</v>
      </c>
      <c r="AM15" s="3" t="s">
        <v>76</v>
      </c>
      <c r="AN15" s="3" t="s">
        <v>77</v>
      </c>
      <c r="AO15" s="3" t="s">
        <v>78</v>
      </c>
      <c r="AP15" s="3" t="s">
        <v>79</v>
      </c>
      <c r="AQ15" s="3" t="s">
        <v>80</v>
      </c>
      <c r="AR15" s="3" t="s">
        <v>81</v>
      </c>
      <c r="AS15" s="3" t="s">
        <v>82</v>
      </c>
      <c r="AT15" s="3" t="s">
        <v>83</v>
      </c>
      <c r="AU15" s="3" t="s">
        <v>84</v>
      </c>
      <c r="AW15" s="3" t="s">
        <v>17</v>
      </c>
      <c r="AX15" s="3" t="s">
        <v>18</v>
      </c>
      <c r="AY15" s="3" t="s">
        <v>24</v>
      </c>
      <c r="AZ15" s="3" t="s">
        <v>73</v>
      </c>
      <c r="BA15" s="3" t="s">
        <v>74</v>
      </c>
      <c r="BB15" s="3" t="s">
        <v>75</v>
      </c>
      <c r="BC15" s="3" t="s">
        <v>76</v>
      </c>
      <c r="BD15" s="3" t="s">
        <v>77</v>
      </c>
      <c r="BE15" s="3" t="s">
        <v>78</v>
      </c>
      <c r="BF15" s="3" t="s">
        <v>79</v>
      </c>
      <c r="BG15" s="3" t="s">
        <v>80</v>
      </c>
      <c r="BH15" s="3" t="s">
        <v>81</v>
      </c>
      <c r="BI15" s="3" t="s">
        <v>82</v>
      </c>
      <c r="BJ15" s="3" t="s">
        <v>83</v>
      </c>
      <c r="BK15" s="3" t="s">
        <v>84</v>
      </c>
    </row>
    <row r="16" spans="1:63" x14ac:dyDescent="0.25">
      <c r="A16" s="3">
        <v>360</v>
      </c>
      <c r="B16" s="3">
        <v>7</v>
      </c>
      <c r="C16" s="3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Q16" s="3">
        <v>360</v>
      </c>
      <c r="R16" s="3">
        <v>7</v>
      </c>
      <c r="S16" s="3">
        <v>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G16" s="3">
        <v>360</v>
      </c>
      <c r="AH16" s="3">
        <v>7</v>
      </c>
      <c r="AI16" s="3">
        <v>1</v>
      </c>
      <c r="AJ16">
        <v>100</v>
      </c>
      <c r="AK16">
        <v>100</v>
      </c>
      <c r="AL16">
        <v>100</v>
      </c>
      <c r="AM16">
        <v>100</v>
      </c>
      <c r="AN16">
        <v>100</v>
      </c>
      <c r="AO16">
        <v>100</v>
      </c>
      <c r="AP16">
        <v>70</v>
      </c>
      <c r="AQ16">
        <v>75</v>
      </c>
      <c r="AR16">
        <v>80</v>
      </c>
      <c r="AS16">
        <v>85</v>
      </c>
      <c r="AT16">
        <v>90</v>
      </c>
      <c r="AU16">
        <v>95</v>
      </c>
      <c r="AW16" s="3">
        <v>360</v>
      </c>
      <c r="AX16" s="3">
        <v>7</v>
      </c>
      <c r="AY16" s="3">
        <v>1</v>
      </c>
      <c r="AZ16">
        <v>100</v>
      </c>
      <c r="BA16">
        <v>100</v>
      </c>
      <c r="BB16">
        <v>100</v>
      </c>
      <c r="BC16">
        <v>100</v>
      </c>
      <c r="BD16">
        <v>100</v>
      </c>
      <c r="BE16">
        <v>100</v>
      </c>
      <c r="BF16">
        <v>70</v>
      </c>
      <c r="BG16">
        <v>75</v>
      </c>
      <c r="BH16">
        <v>80</v>
      </c>
      <c r="BI16">
        <v>85</v>
      </c>
      <c r="BJ16">
        <v>90</v>
      </c>
      <c r="BK16">
        <v>95</v>
      </c>
    </row>
    <row r="17" spans="1:63" x14ac:dyDescent="0.25">
      <c r="A17" s="3">
        <v>360</v>
      </c>
      <c r="B17" s="3">
        <v>8</v>
      </c>
      <c r="C17" s="3">
        <v>1</v>
      </c>
      <c r="D17">
        <v>0</v>
      </c>
      <c r="E17">
        <v>0</v>
      </c>
      <c r="F17">
        <v>0</v>
      </c>
      <c r="G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Q17" s="3">
        <v>360</v>
      </c>
      <c r="R17" s="3">
        <v>8</v>
      </c>
      <c r="S17" s="3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G17" s="3">
        <v>360</v>
      </c>
      <c r="AH17" s="3">
        <v>8</v>
      </c>
      <c r="AI17" s="3">
        <v>1</v>
      </c>
      <c r="AJ17">
        <v>100</v>
      </c>
      <c r="AK17">
        <v>100</v>
      </c>
      <c r="AL17">
        <v>100</v>
      </c>
      <c r="AM17">
        <v>100</v>
      </c>
      <c r="AN17">
        <v>0</v>
      </c>
      <c r="AO17">
        <v>0</v>
      </c>
      <c r="AP17">
        <v>75</v>
      </c>
      <c r="AQ17">
        <v>80</v>
      </c>
      <c r="AR17">
        <v>85</v>
      </c>
      <c r="AS17">
        <v>90</v>
      </c>
      <c r="AT17">
        <v>95</v>
      </c>
      <c r="AU17">
        <v>100</v>
      </c>
      <c r="AW17" s="3">
        <v>360</v>
      </c>
      <c r="AX17" s="3">
        <v>8</v>
      </c>
      <c r="AY17" s="3">
        <v>1</v>
      </c>
      <c r="AZ17">
        <v>100</v>
      </c>
      <c r="BA17">
        <v>100</v>
      </c>
      <c r="BB17">
        <v>100</v>
      </c>
      <c r="BC17">
        <v>100</v>
      </c>
      <c r="BD17">
        <v>0</v>
      </c>
      <c r="BE17">
        <v>0</v>
      </c>
      <c r="BF17">
        <v>75</v>
      </c>
      <c r="BG17">
        <v>80</v>
      </c>
      <c r="BH17">
        <v>85</v>
      </c>
      <c r="BI17">
        <v>90</v>
      </c>
      <c r="BJ17">
        <v>95</v>
      </c>
      <c r="BK17">
        <v>100</v>
      </c>
    </row>
    <row r="18" spans="1:63" x14ac:dyDescent="0.25">
      <c r="A18" s="3">
        <v>360</v>
      </c>
      <c r="B18" s="3">
        <v>8</v>
      </c>
      <c r="C18" s="3">
        <v>2</v>
      </c>
      <c r="D18">
        <v>0</v>
      </c>
      <c r="E18">
        <v>0</v>
      </c>
      <c r="F18">
        <v>0</v>
      </c>
      <c r="G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Q18" s="3">
        <v>360</v>
      </c>
      <c r="R18" s="3">
        <v>8</v>
      </c>
      <c r="S18" s="3">
        <v>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G18" s="3">
        <v>360</v>
      </c>
      <c r="AH18" s="3">
        <v>8</v>
      </c>
      <c r="AI18" s="3">
        <v>2</v>
      </c>
      <c r="AJ18">
        <v>100</v>
      </c>
      <c r="AK18">
        <v>100</v>
      </c>
      <c r="AL18">
        <v>100</v>
      </c>
      <c r="AM18">
        <v>100</v>
      </c>
      <c r="AN18">
        <v>0</v>
      </c>
      <c r="AO18">
        <v>0</v>
      </c>
      <c r="AP18">
        <v>75</v>
      </c>
      <c r="AQ18">
        <v>80</v>
      </c>
      <c r="AR18">
        <v>85</v>
      </c>
      <c r="AS18">
        <v>90</v>
      </c>
      <c r="AT18">
        <v>95</v>
      </c>
      <c r="AU18">
        <v>100</v>
      </c>
      <c r="AW18" s="3">
        <v>360</v>
      </c>
      <c r="AX18" s="3">
        <v>8</v>
      </c>
      <c r="AY18" s="3">
        <v>2</v>
      </c>
      <c r="AZ18">
        <v>100</v>
      </c>
      <c r="BA18">
        <v>100</v>
      </c>
      <c r="BB18">
        <v>100</v>
      </c>
      <c r="BC18">
        <v>100</v>
      </c>
      <c r="BD18">
        <v>0</v>
      </c>
      <c r="BE18">
        <v>0</v>
      </c>
      <c r="BF18">
        <v>75</v>
      </c>
      <c r="BG18">
        <v>80</v>
      </c>
      <c r="BH18">
        <v>85</v>
      </c>
      <c r="BI18">
        <v>90</v>
      </c>
      <c r="BJ18">
        <v>95</v>
      </c>
      <c r="BK18">
        <v>100</v>
      </c>
    </row>
    <row r="19" spans="1:63" x14ac:dyDescent="0.25">
      <c r="A19" s="3">
        <v>360</v>
      </c>
      <c r="B19" s="3">
        <v>9</v>
      </c>
      <c r="C19" s="3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Q19" s="3">
        <v>360</v>
      </c>
      <c r="R19" s="3">
        <v>9</v>
      </c>
      <c r="S19" s="3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G19" s="3">
        <v>360</v>
      </c>
      <c r="AH19" s="3">
        <v>9</v>
      </c>
      <c r="AI19" s="3">
        <v>1</v>
      </c>
      <c r="AJ19">
        <v>100</v>
      </c>
      <c r="AK19">
        <v>100</v>
      </c>
      <c r="AL19">
        <v>100</v>
      </c>
      <c r="AM19">
        <v>100</v>
      </c>
      <c r="AN19">
        <v>100</v>
      </c>
      <c r="AO19">
        <v>100</v>
      </c>
      <c r="AP19">
        <v>70</v>
      </c>
      <c r="AQ19">
        <v>75</v>
      </c>
      <c r="AR19">
        <v>80</v>
      </c>
      <c r="AS19">
        <v>85</v>
      </c>
      <c r="AT19">
        <v>90</v>
      </c>
      <c r="AU19">
        <v>95</v>
      </c>
      <c r="AW19" s="3">
        <v>360</v>
      </c>
      <c r="AX19" s="3">
        <v>9</v>
      </c>
      <c r="AY19" s="3">
        <v>1</v>
      </c>
      <c r="AZ19">
        <v>100</v>
      </c>
      <c r="BA19">
        <v>100</v>
      </c>
      <c r="BB19">
        <v>100</v>
      </c>
      <c r="BC19">
        <v>100</v>
      </c>
      <c r="BD19">
        <v>100</v>
      </c>
      <c r="BE19">
        <v>100</v>
      </c>
      <c r="BF19">
        <v>70</v>
      </c>
      <c r="BG19">
        <v>75</v>
      </c>
      <c r="BH19">
        <v>80</v>
      </c>
      <c r="BI19">
        <v>85</v>
      </c>
      <c r="BJ19">
        <v>90</v>
      </c>
      <c r="BK19">
        <v>95</v>
      </c>
    </row>
    <row r="20" spans="1:63" x14ac:dyDescent="0.25">
      <c r="A20" s="3">
        <v>360</v>
      </c>
      <c r="B20" s="3">
        <v>9</v>
      </c>
      <c r="C20" s="3">
        <v>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Q20" s="3">
        <v>360</v>
      </c>
      <c r="R20" s="3">
        <v>9</v>
      </c>
      <c r="S20" s="3">
        <v>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G20" s="3">
        <v>360</v>
      </c>
      <c r="AH20" s="3">
        <v>9</v>
      </c>
      <c r="AI20" s="3">
        <v>2</v>
      </c>
      <c r="AJ20">
        <v>100</v>
      </c>
      <c r="AK20">
        <v>100</v>
      </c>
      <c r="AL20">
        <v>100</v>
      </c>
      <c r="AM20">
        <v>100</v>
      </c>
      <c r="AN20">
        <v>100</v>
      </c>
      <c r="AO20">
        <v>100</v>
      </c>
      <c r="AP20">
        <v>70</v>
      </c>
      <c r="AQ20">
        <v>75</v>
      </c>
      <c r="AR20">
        <v>80</v>
      </c>
      <c r="AS20">
        <v>85</v>
      </c>
      <c r="AT20">
        <v>90</v>
      </c>
      <c r="AU20">
        <v>95</v>
      </c>
      <c r="AW20" s="3">
        <v>360</v>
      </c>
      <c r="AX20" s="3">
        <v>9</v>
      </c>
      <c r="AY20" s="3">
        <v>2</v>
      </c>
      <c r="AZ20">
        <v>100</v>
      </c>
      <c r="BA20">
        <v>100</v>
      </c>
      <c r="BB20">
        <v>100</v>
      </c>
      <c r="BC20">
        <v>100</v>
      </c>
      <c r="BD20">
        <v>100</v>
      </c>
      <c r="BE20">
        <v>100</v>
      </c>
      <c r="BF20">
        <v>70</v>
      </c>
      <c r="BG20">
        <v>75</v>
      </c>
      <c r="BH20">
        <v>80</v>
      </c>
      <c r="BI20">
        <v>85</v>
      </c>
      <c r="BJ20">
        <v>90</v>
      </c>
      <c r="BK20">
        <v>95</v>
      </c>
    </row>
    <row r="21" spans="1:63" x14ac:dyDescent="0.25">
      <c r="A21" s="3">
        <v>360</v>
      </c>
      <c r="B21" s="3">
        <v>9</v>
      </c>
      <c r="C21" s="3">
        <v>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Q21" s="3">
        <v>360</v>
      </c>
      <c r="R21" s="3">
        <v>9</v>
      </c>
      <c r="S21" s="3">
        <v>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G21" s="3">
        <v>360</v>
      </c>
      <c r="AH21" s="3">
        <v>9</v>
      </c>
      <c r="AI21" s="3">
        <v>3</v>
      </c>
      <c r="AJ21">
        <v>100</v>
      </c>
      <c r="AK21">
        <v>100</v>
      </c>
      <c r="AL21">
        <v>100</v>
      </c>
      <c r="AM21">
        <v>100</v>
      </c>
      <c r="AN21">
        <v>100</v>
      </c>
      <c r="AO21">
        <v>100</v>
      </c>
      <c r="AP21">
        <v>70</v>
      </c>
      <c r="AQ21">
        <v>75</v>
      </c>
      <c r="AR21">
        <v>80</v>
      </c>
      <c r="AS21">
        <v>85</v>
      </c>
      <c r="AT21">
        <v>90</v>
      </c>
      <c r="AU21">
        <v>95</v>
      </c>
      <c r="AW21" s="3">
        <v>360</v>
      </c>
      <c r="AX21" s="3">
        <v>9</v>
      </c>
      <c r="AY21" s="3">
        <v>3</v>
      </c>
      <c r="AZ21">
        <v>100</v>
      </c>
      <c r="BA21">
        <v>100</v>
      </c>
      <c r="BB21">
        <v>100</v>
      </c>
      <c r="BC21">
        <v>100</v>
      </c>
      <c r="BD21">
        <v>100</v>
      </c>
      <c r="BE21">
        <v>100</v>
      </c>
      <c r="BF21">
        <v>70</v>
      </c>
      <c r="BG21">
        <v>75</v>
      </c>
      <c r="BH21">
        <v>80</v>
      </c>
      <c r="BI21">
        <v>85</v>
      </c>
      <c r="BJ21">
        <v>90</v>
      </c>
      <c r="BK21">
        <v>95</v>
      </c>
    </row>
    <row r="22" spans="1:63" x14ac:dyDescent="0.25">
      <c r="A22" s="3">
        <v>360</v>
      </c>
      <c r="B22" s="3">
        <v>9</v>
      </c>
      <c r="C22" s="3">
        <v>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Q22" s="3">
        <v>360</v>
      </c>
      <c r="R22" s="3">
        <v>9</v>
      </c>
      <c r="S22" s="3">
        <v>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G22" s="3">
        <v>360</v>
      </c>
      <c r="AH22" s="3">
        <v>9</v>
      </c>
      <c r="AI22" s="3">
        <v>4</v>
      </c>
      <c r="AJ22">
        <v>100</v>
      </c>
      <c r="AK22">
        <v>100</v>
      </c>
      <c r="AL22">
        <v>100</v>
      </c>
      <c r="AM22">
        <v>100</v>
      </c>
      <c r="AN22">
        <v>100</v>
      </c>
      <c r="AO22">
        <v>100</v>
      </c>
      <c r="AP22">
        <v>70</v>
      </c>
      <c r="AQ22">
        <v>75</v>
      </c>
      <c r="AR22">
        <v>80</v>
      </c>
      <c r="AS22">
        <v>85</v>
      </c>
      <c r="AT22">
        <v>90</v>
      </c>
      <c r="AU22">
        <v>95</v>
      </c>
      <c r="AW22" s="3">
        <v>360</v>
      </c>
      <c r="AX22" s="3">
        <v>9</v>
      </c>
      <c r="AY22" s="3">
        <v>4</v>
      </c>
      <c r="AZ22">
        <v>100</v>
      </c>
      <c r="BA22">
        <v>100</v>
      </c>
      <c r="BB22">
        <v>100</v>
      </c>
      <c r="BC22">
        <v>100</v>
      </c>
      <c r="BD22">
        <v>100</v>
      </c>
      <c r="BE22">
        <v>100</v>
      </c>
      <c r="BF22">
        <v>70</v>
      </c>
      <c r="BG22">
        <v>75</v>
      </c>
      <c r="BH22">
        <v>80</v>
      </c>
      <c r="BI22">
        <v>85</v>
      </c>
      <c r="BJ22">
        <v>90</v>
      </c>
      <c r="BK22">
        <v>95</v>
      </c>
    </row>
    <row r="23" spans="1:63" x14ac:dyDescent="0.25">
      <c r="A23" s="3">
        <v>360</v>
      </c>
      <c r="B23" s="3">
        <v>10</v>
      </c>
      <c r="C23" s="3">
        <v>1</v>
      </c>
      <c r="D23">
        <v>0</v>
      </c>
      <c r="E23">
        <v>0</v>
      </c>
      <c r="F23">
        <v>0</v>
      </c>
      <c r="G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Q23" s="3">
        <v>360</v>
      </c>
      <c r="R23" s="3">
        <v>10</v>
      </c>
      <c r="S23" s="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G23" s="3">
        <v>360</v>
      </c>
      <c r="AH23" s="3">
        <v>10</v>
      </c>
      <c r="AI23" s="3">
        <v>1</v>
      </c>
      <c r="AJ23">
        <v>100</v>
      </c>
      <c r="AK23">
        <v>100</v>
      </c>
      <c r="AL23">
        <v>100</v>
      </c>
      <c r="AM23">
        <v>100</v>
      </c>
      <c r="AN23">
        <v>0</v>
      </c>
      <c r="AO23">
        <v>0</v>
      </c>
      <c r="AP23">
        <v>75</v>
      </c>
      <c r="AQ23">
        <v>80</v>
      </c>
      <c r="AR23">
        <v>85</v>
      </c>
      <c r="AS23">
        <v>90</v>
      </c>
      <c r="AT23">
        <v>95</v>
      </c>
      <c r="AU23">
        <v>100</v>
      </c>
      <c r="AW23" s="3">
        <v>360</v>
      </c>
      <c r="AX23" s="3">
        <v>10</v>
      </c>
      <c r="AY23" s="3">
        <v>1</v>
      </c>
      <c r="AZ23">
        <v>100</v>
      </c>
      <c r="BA23">
        <v>100</v>
      </c>
      <c r="BB23">
        <v>100</v>
      </c>
      <c r="BC23">
        <v>100</v>
      </c>
      <c r="BD23">
        <v>0</v>
      </c>
      <c r="BE23">
        <v>0</v>
      </c>
      <c r="BF23">
        <v>75</v>
      </c>
      <c r="BG23">
        <v>80</v>
      </c>
      <c r="BH23">
        <v>85</v>
      </c>
      <c r="BI23">
        <v>90</v>
      </c>
      <c r="BJ23">
        <v>95</v>
      </c>
      <c r="BK23">
        <v>100</v>
      </c>
    </row>
    <row r="24" spans="1:63" x14ac:dyDescent="0.25">
      <c r="A24" s="3">
        <v>360</v>
      </c>
      <c r="B24" s="3">
        <v>10</v>
      </c>
      <c r="C24" s="3">
        <v>2</v>
      </c>
      <c r="D24">
        <v>0</v>
      </c>
      <c r="E24">
        <v>0</v>
      </c>
      <c r="F24">
        <v>0</v>
      </c>
      <c r="G24">
        <v>0</v>
      </c>
      <c r="H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Q24" s="3">
        <v>360</v>
      </c>
      <c r="R24" s="3">
        <v>10</v>
      </c>
      <c r="S24" s="3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G24" s="3">
        <v>360</v>
      </c>
      <c r="AH24" s="3">
        <v>10</v>
      </c>
      <c r="AI24" s="3">
        <v>2</v>
      </c>
      <c r="AJ24">
        <v>100</v>
      </c>
      <c r="AK24">
        <v>100</v>
      </c>
      <c r="AL24">
        <v>100</v>
      </c>
      <c r="AM24">
        <v>100</v>
      </c>
      <c r="AN24">
        <v>28.8</v>
      </c>
      <c r="AO24">
        <v>0</v>
      </c>
      <c r="AP24">
        <v>75</v>
      </c>
      <c r="AQ24">
        <v>80</v>
      </c>
      <c r="AR24">
        <v>85</v>
      </c>
      <c r="AS24">
        <v>90</v>
      </c>
      <c r="AT24">
        <v>95</v>
      </c>
      <c r="AU24">
        <v>100</v>
      </c>
      <c r="AW24" s="3">
        <v>360</v>
      </c>
      <c r="AX24" s="3">
        <v>10</v>
      </c>
      <c r="AY24" s="3">
        <v>2</v>
      </c>
      <c r="AZ24">
        <v>100</v>
      </c>
      <c r="BA24">
        <v>100</v>
      </c>
      <c r="BB24">
        <v>100</v>
      </c>
      <c r="BC24">
        <v>100</v>
      </c>
      <c r="BD24">
        <v>28.8</v>
      </c>
      <c r="BE24">
        <v>0</v>
      </c>
      <c r="BF24">
        <v>75</v>
      </c>
      <c r="BG24">
        <v>80</v>
      </c>
      <c r="BH24">
        <v>85</v>
      </c>
      <c r="BI24">
        <v>90</v>
      </c>
      <c r="BJ24">
        <v>95</v>
      </c>
      <c r="BK24">
        <v>100</v>
      </c>
    </row>
    <row r="25" spans="1:63" x14ac:dyDescent="0.25">
      <c r="A25" s="3">
        <v>360</v>
      </c>
      <c r="B25" s="3">
        <v>11</v>
      </c>
      <c r="C25" s="3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Q25" s="3">
        <v>360</v>
      </c>
      <c r="R25" s="3">
        <v>11</v>
      </c>
      <c r="S25" s="3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G25" s="3">
        <v>360</v>
      </c>
      <c r="AH25" s="3">
        <v>11</v>
      </c>
      <c r="AI25" s="3">
        <v>1</v>
      </c>
      <c r="AJ25">
        <v>100</v>
      </c>
      <c r="AK25">
        <v>100</v>
      </c>
      <c r="AL25">
        <v>100</v>
      </c>
      <c r="AM25">
        <v>100</v>
      </c>
      <c r="AN25">
        <v>100</v>
      </c>
      <c r="AO25">
        <v>100</v>
      </c>
      <c r="AP25">
        <v>70</v>
      </c>
      <c r="AQ25">
        <v>75</v>
      </c>
      <c r="AR25">
        <v>80</v>
      </c>
      <c r="AS25">
        <v>85</v>
      </c>
      <c r="AT25">
        <v>90</v>
      </c>
      <c r="AU25">
        <v>95</v>
      </c>
      <c r="AW25" s="3">
        <v>360</v>
      </c>
      <c r="AX25" s="3">
        <v>11</v>
      </c>
      <c r="AY25" s="3">
        <v>1</v>
      </c>
      <c r="AZ25">
        <v>100</v>
      </c>
      <c r="BA25">
        <v>100</v>
      </c>
      <c r="BB25">
        <v>100</v>
      </c>
      <c r="BC25">
        <v>100</v>
      </c>
      <c r="BD25">
        <v>100</v>
      </c>
      <c r="BE25">
        <v>100</v>
      </c>
      <c r="BF25">
        <v>70</v>
      </c>
      <c r="BG25">
        <v>75</v>
      </c>
      <c r="BH25">
        <v>80</v>
      </c>
      <c r="BI25">
        <v>85</v>
      </c>
      <c r="BJ25">
        <v>90</v>
      </c>
      <c r="BK25">
        <v>95</v>
      </c>
    </row>
    <row r="26" spans="1:63" x14ac:dyDescent="0.25">
      <c r="A26" s="3">
        <v>450</v>
      </c>
      <c r="B26" s="3">
        <v>7</v>
      </c>
      <c r="C26" s="3">
        <v>1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Q26" s="3">
        <v>450</v>
      </c>
      <c r="R26" s="3">
        <v>7</v>
      </c>
      <c r="S26" s="3">
        <v>1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G26" s="3">
        <v>450</v>
      </c>
      <c r="AH26" s="3">
        <v>7</v>
      </c>
      <c r="AI26" s="3">
        <v>1</v>
      </c>
      <c r="AJ26">
        <v>100</v>
      </c>
      <c r="AK26">
        <v>100</v>
      </c>
      <c r="AL26">
        <v>100</v>
      </c>
      <c r="AM26">
        <v>100</v>
      </c>
      <c r="AN26">
        <v>100</v>
      </c>
      <c r="AO26">
        <v>100</v>
      </c>
      <c r="AP26">
        <v>70</v>
      </c>
      <c r="AQ26">
        <v>75</v>
      </c>
      <c r="AR26">
        <v>80</v>
      </c>
      <c r="AS26">
        <v>85</v>
      </c>
      <c r="AT26">
        <v>90</v>
      </c>
      <c r="AU26">
        <v>95</v>
      </c>
      <c r="AW26" s="3">
        <v>450</v>
      </c>
      <c r="AX26" s="3">
        <v>7</v>
      </c>
      <c r="AY26" s="3">
        <v>1</v>
      </c>
      <c r="AZ26">
        <v>100</v>
      </c>
      <c r="BA26">
        <v>100</v>
      </c>
      <c r="BB26">
        <v>100</v>
      </c>
      <c r="BC26">
        <v>100</v>
      </c>
      <c r="BD26">
        <v>100</v>
      </c>
      <c r="BE26">
        <v>100</v>
      </c>
      <c r="BF26">
        <v>70</v>
      </c>
      <c r="BG26">
        <v>75</v>
      </c>
      <c r="BH26">
        <v>80</v>
      </c>
      <c r="BI26">
        <v>85</v>
      </c>
      <c r="BJ26">
        <v>90</v>
      </c>
      <c r="BK26">
        <v>95</v>
      </c>
    </row>
    <row r="27" spans="1:63" x14ac:dyDescent="0.25">
      <c r="A27" s="3">
        <v>450</v>
      </c>
      <c r="B27" s="3">
        <v>8</v>
      </c>
      <c r="C27" s="3">
        <v>1</v>
      </c>
      <c r="D27">
        <v>0</v>
      </c>
      <c r="E27">
        <v>0</v>
      </c>
      <c r="F27">
        <v>0</v>
      </c>
      <c r="G27">
        <v>0</v>
      </c>
      <c r="H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Q27" s="3">
        <v>450</v>
      </c>
      <c r="R27" s="3">
        <v>8</v>
      </c>
      <c r="S27" s="3">
        <v>1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G27" s="3">
        <v>450</v>
      </c>
      <c r="AH27" s="3">
        <v>8</v>
      </c>
      <c r="AI27" s="3">
        <v>1</v>
      </c>
      <c r="AJ27">
        <v>100</v>
      </c>
      <c r="AK27">
        <v>100</v>
      </c>
      <c r="AL27">
        <v>100</v>
      </c>
      <c r="AM27">
        <v>100</v>
      </c>
      <c r="AN27">
        <v>23.5</v>
      </c>
      <c r="AO27">
        <v>0</v>
      </c>
      <c r="AP27">
        <v>75</v>
      </c>
      <c r="AQ27">
        <v>80</v>
      </c>
      <c r="AR27">
        <v>85</v>
      </c>
      <c r="AS27">
        <v>90</v>
      </c>
      <c r="AT27">
        <v>95</v>
      </c>
      <c r="AU27">
        <v>100</v>
      </c>
      <c r="AW27" s="3">
        <v>450</v>
      </c>
      <c r="AX27" s="3">
        <v>8</v>
      </c>
      <c r="AY27" s="3">
        <v>1</v>
      </c>
      <c r="AZ27">
        <v>100</v>
      </c>
      <c r="BA27">
        <v>100</v>
      </c>
      <c r="BB27">
        <v>100</v>
      </c>
      <c r="BC27">
        <v>100</v>
      </c>
      <c r="BD27">
        <v>23.5</v>
      </c>
      <c r="BE27">
        <v>0</v>
      </c>
      <c r="BF27">
        <v>75</v>
      </c>
      <c r="BG27">
        <v>80</v>
      </c>
      <c r="BH27">
        <v>85</v>
      </c>
      <c r="BI27">
        <v>90</v>
      </c>
      <c r="BJ27">
        <v>95</v>
      </c>
      <c r="BK27">
        <v>100</v>
      </c>
    </row>
    <row r="28" spans="1:63" x14ac:dyDescent="0.25">
      <c r="A28" s="3">
        <v>450</v>
      </c>
      <c r="B28" s="3">
        <v>8</v>
      </c>
      <c r="C28" s="3">
        <v>2</v>
      </c>
      <c r="D28">
        <v>0</v>
      </c>
      <c r="E28">
        <v>0</v>
      </c>
      <c r="F28">
        <v>0</v>
      </c>
      <c r="G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Q28" s="3">
        <v>450</v>
      </c>
      <c r="R28" s="3">
        <v>8</v>
      </c>
      <c r="S28" s="3">
        <v>2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G28" s="3">
        <v>450</v>
      </c>
      <c r="AH28" s="3">
        <v>8</v>
      </c>
      <c r="AI28" s="3">
        <v>2</v>
      </c>
      <c r="AJ28">
        <v>100</v>
      </c>
      <c r="AK28">
        <v>100</v>
      </c>
      <c r="AL28">
        <v>100</v>
      </c>
      <c r="AM28">
        <v>100</v>
      </c>
      <c r="AN28">
        <v>0</v>
      </c>
      <c r="AO28">
        <v>0</v>
      </c>
      <c r="AP28">
        <v>75</v>
      </c>
      <c r="AQ28">
        <v>80</v>
      </c>
      <c r="AR28">
        <v>85</v>
      </c>
      <c r="AS28">
        <v>90</v>
      </c>
      <c r="AT28">
        <v>95</v>
      </c>
      <c r="AU28">
        <v>100</v>
      </c>
      <c r="AW28" s="3">
        <v>450</v>
      </c>
      <c r="AX28" s="3">
        <v>8</v>
      </c>
      <c r="AY28" s="3">
        <v>2</v>
      </c>
      <c r="AZ28">
        <v>100</v>
      </c>
      <c r="BA28">
        <v>100</v>
      </c>
      <c r="BB28">
        <v>100</v>
      </c>
      <c r="BC28">
        <v>100</v>
      </c>
      <c r="BD28">
        <v>0</v>
      </c>
      <c r="BE28">
        <v>0</v>
      </c>
      <c r="BF28">
        <v>75</v>
      </c>
      <c r="BG28">
        <v>80</v>
      </c>
      <c r="BH28">
        <v>85</v>
      </c>
      <c r="BI28">
        <v>90</v>
      </c>
      <c r="BJ28">
        <v>95</v>
      </c>
      <c r="BK28">
        <v>100</v>
      </c>
    </row>
    <row r="29" spans="1:63" x14ac:dyDescent="0.25">
      <c r="A29" s="3">
        <v>450</v>
      </c>
      <c r="B29" s="3">
        <v>9</v>
      </c>
      <c r="C29" s="3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Q29" s="3">
        <v>450</v>
      </c>
      <c r="R29" s="3">
        <v>9</v>
      </c>
      <c r="S29" s="3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G29" s="3">
        <v>450</v>
      </c>
      <c r="AH29" s="3">
        <v>9</v>
      </c>
      <c r="AI29" s="3">
        <v>1</v>
      </c>
      <c r="AJ29">
        <v>100</v>
      </c>
      <c r="AK29">
        <v>100</v>
      </c>
      <c r="AL29">
        <v>100</v>
      </c>
      <c r="AM29">
        <v>100</v>
      </c>
      <c r="AN29">
        <v>100</v>
      </c>
      <c r="AO29">
        <v>100</v>
      </c>
      <c r="AP29">
        <v>70</v>
      </c>
      <c r="AQ29">
        <v>75</v>
      </c>
      <c r="AR29">
        <v>80</v>
      </c>
      <c r="AS29">
        <v>85</v>
      </c>
      <c r="AT29">
        <v>90</v>
      </c>
      <c r="AU29">
        <v>95</v>
      </c>
      <c r="AW29" s="3">
        <v>450</v>
      </c>
      <c r="AX29" s="3">
        <v>9</v>
      </c>
      <c r="AY29" s="3">
        <v>1</v>
      </c>
      <c r="AZ29">
        <v>100</v>
      </c>
      <c r="BA29">
        <v>100</v>
      </c>
      <c r="BB29">
        <v>100</v>
      </c>
      <c r="BC29">
        <v>100</v>
      </c>
      <c r="BD29">
        <v>100</v>
      </c>
      <c r="BE29">
        <v>100</v>
      </c>
      <c r="BF29">
        <v>70</v>
      </c>
      <c r="BG29">
        <v>75</v>
      </c>
      <c r="BH29">
        <v>80</v>
      </c>
      <c r="BI29">
        <v>85</v>
      </c>
      <c r="BJ29">
        <v>90</v>
      </c>
      <c r="BK29">
        <v>95</v>
      </c>
    </row>
    <row r="30" spans="1:63" x14ac:dyDescent="0.25">
      <c r="A30" s="3">
        <v>450</v>
      </c>
      <c r="B30" s="3">
        <v>9</v>
      </c>
      <c r="C30" s="3">
        <v>2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Q30" s="3">
        <v>450</v>
      </c>
      <c r="R30" s="3">
        <v>9</v>
      </c>
      <c r="S30" s="3">
        <v>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G30" s="3">
        <v>450</v>
      </c>
      <c r="AH30" s="3">
        <v>9</v>
      </c>
      <c r="AI30" s="3">
        <v>2</v>
      </c>
      <c r="AJ30">
        <v>100</v>
      </c>
      <c r="AK30">
        <v>100</v>
      </c>
      <c r="AL30">
        <v>100</v>
      </c>
      <c r="AM30">
        <v>100</v>
      </c>
      <c r="AN30">
        <v>100</v>
      </c>
      <c r="AO30">
        <v>100</v>
      </c>
      <c r="AP30">
        <v>70</v>
      </c>
      <c r="AQ30">
        <v>75</v>
      </c>
      <c r="AR30">
        <v>80</v>
      </c>
      <c r="AS30">
        <v>85</v>
      </c>
      <c r="AT30">
        <v>90</v>
      </c>
      <c r="AU30">
        <v>95</v>
      </c>
      <c r="AW30" s="3">
        <v>450</v>
      </c>
      <c r="AX30" s="3">
        <v>9</v>
      </c>
      <c r="AY30" s="3">
        <v>2</v>
      </c>
      <c r="AZ30">
        <v>100</v>
      </c>
      <c r="BA30">
        <v>100</v>
      </c>
      <c r="BB30">
        <v>100</v>
      </c>
      <c r="BC30">
        <v>100</v>
      </c>
      <c r="BD30">
        <v>100</v>
      </c>
      <c r="BE30">
        <v>100</v>
      </c>
      <c r="BF30">
        <v>70</v>
      </c>
      <c r="BG30">
        <v>75</v>
      </c>
      <c r="BH30">
        <v>80</v>
      </c>
      <c r="BI30">
        <v>85</v>
      </c>
      <c r="BJ30">
        <v>90</v>
      </c>
      <c r="BK30">
        <v>95</v>
      </c>
    </row>
    <row r="31" spans="1:63" x14ac:dyDescent="0.25">
      <c r="A31" s="3">
        <v>450</v>
      </c>
      <c r="B31" s="3">
        <v>9</v>
      </c>
      <c r="C31" s="3">
        <v>3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Q31" s="3">
        <v>450</v>
      </c>
      <c r="R31" s="3">
        <v>9</v>
      </c>
      <c r="S31" s="3">
        <v>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G31" s="3">
        <v>450</v>
      </c>
      <c r="AH31" s="3">
        <v>9</v>
      </c>
      <c r="AI31" s="3">
        <v>3</v>
      </c>
      <c r="AJ31">
        <v>100</v>
      </c>
      <c r="AK31">
        <v>100</v>
      </c>
      <c r="AL31">
        <v>100</v>
      </c>
      <c r="AM31">
        <v>100</v>
      </c>
      <c r="AN31">
        <v>100</v>
      </c>
      <c r="AO31">
        <v>100</v>
      </c>
      <c r="AP31">
        <v>70</v>
      </c>
      <c r="AQ31">
        <v>75</v>
      </c>
      <c r="AR31">
        <v>80</v>
      </c>
      <c r="AS31">
        <v>85</v>
      </c>
      <c r="AT31">
        <v>90</v>
      </c>
      <c r="AU31">
        <v>95</v>
      </c>
      <c r="AW31" s="3">
        <v>450</v>
      </c>
      <c r="AX31" s="3">
        <v>9</v>
      </c>
      <c r="AY31" s="3">
        <v>3</v>
      </c>
      <c r="AZ31">
        <v>100</v>
      </c>
      <c r="BA31">
        <v>100</v>
      </c>
      <c r="BB31">
        <v>100</v>
      </c>
      <c r="BC31">
        <v>100</v>
      </c>
      <c r="BD31">
        <v>100</v>
      </c>
      <c r="BE31">
        <v>100</v>
      </c>
      <c r="BF31">
        <v>70</v>
      </c>
      <c r="BG31">
        <v>75</v>
      </c>
      <c r="BH31">
        <v>80</v>
      </c>
      <c r="BI31">
        <v>85</v>
      </c>
      <c r="BJ31">
        <v>90</v>
      </c>
      <c r="BK31">
        <v>95</v>
      </c>
    </row>
    <row r="32" spans="1:63" x14ac:dyDescent="0.25">
      <c r="A32" s="3">
        <v>450</v>
      </c>
      <c r="B32" s="3">
        <v>9</v>
      </c>
      <c r="C32" s="3">
        <v>4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Q32" s="3">
        <v>450</v>
      </c>
      <c r="R32" s="3">
        <v>9</v>
      </c>
      <c r="S32" s="3">
        <v>4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G32" s="3">
        <v>450</v>
      </c>
      <c r="AH32" s="3">
        <v>9</v>
      </c>
      <c r="AI32" s="3">
        <v>4</v>
      </c>
      <c r="AJ32">
        <v>100</v>
      </c>
      <c r="AK32">
        <v>100</v>
      </c>
      <c r="AL32">
        <v>100</v>
      </c>
      <c r="AM32">
        <v>100</v>
      </c>
      <c r="AN32">
        <v>100</v>
      </c>
      <c r="AO32">
        <v>100</v>
      </c>
      <c r="AP32">
        <v>70</v>
      </c>
      <c r="AQ32">
        <v>75</v>
      </c>
      <c r="AR32">
        <v>80</v>
      </c>
      <c r="AS32">
        <v>85</v>
      </c>
      <c r="AT32">
        <v>90</v>
      </c>
      <c r="AU32">
        <v>95</v>
      </c>
      <c r="AW32" s="3">
        <v>450</v>
      </c>
      <c r="AX32" s="3">
        <v>9</v>
      </c>
      <c r="AY32" s="3">
        <v>4</v>
      </c>
      <c r="AZ32">
        <v>100</v>
      </c>
      <c r="BA32">
        <v>100</v>
      </c>
      <c r="BB32">
        <v>100</v>
      </c>
      <c r="BC32">
        <v>100</v>
      </c>
      <c r="BD32">
        <v>100</v>
      </c>
      <c r="BE32">
        <v>100</v>
      </c>
      <c r="BF32">
        <v>70</v>
      </c>
      <c r="BG32">
        <v>75</v>
      </c>
      <c r="BH32">
        <v>80</v>
      </c>
      <c r="BI32">
        <v>85</v>
      </c>
      <c r="BJ32">
        <v>90</v>
      </c>
      <c r="BK32">
        <v>95</v>
      </c>
    </row>
    <row r="33" spans="1:63" x14ac:dyDescent="0.25">
      <c r="A33" s="3">
        <v>450</v>
      </c>
      <c r="B33" s="3">
        <v>10</v>
      </c>
      <c r="C33" s="3">
        <v>1</v>
      </c>
      <c r="D33">
        <v>0</v>
      </c>
      <c r="E33">
        <v>0</v>
      </c>
      <c r="F33">
        <v>0</v>
      </c>
      <c r="G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Q33" s="3">
        <v>450</v>
      </c>
      <c r="R33" s="3">
        <v>10</v>
      </c>
      <c r="S33" s="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G33" s="3">
        <v>450</v>
      </c>
      <c r="AH33" s="3">
        <v>10</v>
      </c>
      <c r="AI33" s="3">
        <v>1</v>
      </c>
      <c r="AJ33">
        <v>100</v>
      </c>
      <c r="AK33">
        <v>100</v>
      </c>
      <c r="AL33">
        <v>100</v>
      </c>
      <c r="AM33">
        <v>100</v>
      </c>
      <c r="AN33">
        <v>0</v>
      </c>
      <c r="AO33">
        <v>0</v>
      </c>
      <c r="AP33">
        <v>75</v>
      </c>
      <c r="AQ33">
        <v>80</v>
      </c>
      <c r="AR33">
        <v>85</v>
      </c>
      <c r="AS33">
        <v>90</v>
      </c>
      <c r="AT33">
        <v>95</v>
      </c>
      <c r="AU33">
        <v>100</v>
      </c>
      <c r="AW33" s="3">
        <v>450</v>
      </c>
      <c r="AX33" s="3">
        <v>10</v>
      </c>
      <c r="AY33" s="3">
        <v>1</v>
      </c>
      <c r="AZ33">
        <v>100</v>
      </c>
      <c r="BA33">
        <v>100</v>
      </c>
      <c r="BB33">
        <v>100</v>
      </c>
      <c r="BC33">
        <v>100</v>
      </c>
      <c r="BD33">
        <v>0</v>
      </c>
      <c r="BE33">
        <v>0</v>
      </c>
      <c r="BF33">
        <v>75</v>
      </c>
      <c r="BG33">
        <v>80</v>
      </c>
      <c r="BH33">
        <v>85</v>
      </c>
      <c r="BI33">
        <v>90</v>
      </c>
      <c r="BJ33">
        <v>95</v>
      </c>
      <c r="BK33">
        <v>100</v>
      </c>
    </row>
    <row r="34" spans="1:63" x14ac:dyDescent="0.25">
      <c r="A34" s="3">
        <v>450</v>
      </c>
      <c r="B34" s="3">
        <v>10</v>
      </c>
      <c r="C34" s="3">
        <v>2</v>
      </c>
      <c r="D34">
        <v>0</v>
      </c>
      <c r="E34">
        <v>0</v>
      </c>
      <c r="F34">
        <v>0</v>
      </c>
      <c r="G34">
        <v>0</v>
      </c>
      <c r="H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Q34" s="3">
        <v>450</v>
      </c>
      <c r="R34" s="3">
        <v>10</v>
      </c>
      <c r="S34" s="3">
        <v>2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G34" s="3">
        <v>450</v>
      </c>
      <c r="AH34" s="3">
        <v>10</v>
      </c>
      <c r="AI34" s="3">
        <v>2</v>
      </c>
      <c r="AJ34">
        <v>100</v>
      </c>
      <c r="AK34">
        <v>100</v>
      </c>
      <c r="AL34">
        <v>100</v>
      </c>
      <c r="AM34">
        <v>100</v>
      </c>
      <c r="AN34">
        <v>100</v>
      </c>
      <c r="AO34">
        <v>0</v>
      </c>
      <c r="AP34">
        <v>75</v>
      </c>
      <c r="AQ34">
        <v>80</v>
      </c>
      <c r="AR34">
        <v>85</v>
      </c>
      <c r="AS34">
        <v>90</v>
      </c>
      <c r="AT34">
        <v>95</v>
      </c>
      <c r="AU34">
        <v>100</v>
      </c>
      <c r="AW34" s="3">
        <v>450</v>
      </c>
      <c r="AX34" s="3">
        <v>10</v>
      </c>
      <c r="AY34" s="3">
        <v>2</v>
      </c>
      <c r="AZ34">
        <v>100</v>
      </c>
      <c r="BA34">
        <v>100</v>
      </c>
      <c r="BB34">
        <v>100</v>
      </c>
      <c r="BC34">
        <v>100</v>
      </c>
      <c r="BD34">
        <v>100</v>
      </c>
      <c r="BE34">
        <v>0</v>
      </c>
      <c r="BF34">
        <v>75</v>
      </c>
      <c r="BG34">
        <v>80</v>
      </c>
      <c r="BH34">
        <v>85</v>
      </c>
      <c r="BI34">
        <v>90</v>
      </c>
      <c r="BJ34">
        <v>95</v>
      </c>
      <c r="BK34">
        <v>100</v>
      </c>
    </row>
    <row r="35" spans="1:63" x14ac:dyDescent="0.25">
      <c r="A35" s="3">
        <v>450</v>
      </c>
      <c r="B35" s="3">
        <v>11</v>
      </c>
      <c r="C35" s="3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Q35" s="3">
        <v>450</v>
      </c>
      <c r="R35" s="3">
        <v>11</v>
      </c>
      <c r="S35" s="3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G35" s="3">
        <v>450</v>
      </c>
      <c r="AH35" s="3">
        <v>11</v>
      </c>
      <c r="AI35" s="3">
        <v>1</v>
      </c>
      <c r="AJ35">
        <v>100</v>
      </c>
      <c r="AK35">
        <v>100</v>
      </c>
      <c r="AL35">
        <v>100</v>
      </c>
      <c r="AM35">
        <v>100</v>
      </c>
      <c r="AN35">
        <v>100</v>
      </c>
      <c r="AO35">
        <v>100</v>
      </c>
      <c r="AP35">
        <v>70</v>
      </c>
      <c r="AQ35">
        <v>75</v>
      </c>
      <c r="AR35">
        <v>80</v>
      </c>
      <c r="AS35">
        <v>85</v>
      </c>
      <c r="AT35">
        <v>90</v>
      </c>
      <c r="AU35">
        <v>95</v>
      </c>
      <c r="AW35" s="3">
        <v>450</v>
      </c>
      <c r="AX35" s="3">
        <v>11</v>
      </c>
      <c r="AY35" s="3">
        <v>1</v>
      </c>
      <c r="AZ35">
        <v>100</v>
      </c>
      <c r="BA35">
        <v>100</v>
      </c>
      <c r="BB35">
        <v>100</v>
      </c>
      <c r="BC35">
        <v>100</v>
      </c>
      <c r="BD35">
        <v>100</v>
      </c>
      <c r="BE35">
        <v>100</v>
      </c>
      <c r="BF35">
        <v>70</v>
      </c>
      <c r="BG35">
        <v>75</v>
      </c>
      <c r="BH35">
        <v>80</v>
      </c>
      <c r="BI35">
        <v>85</v>
      </c>
      <c r="BJ35">
        <v>90</v>
      </c>
      <c r="BK35">
        <v>95</v>
      </c>
    </row>
    <row r="36" spans="1:63" x14ac:dyDescent="0.25">
      <c r="A36" s="3">
        <v>720</v>
      </c>
      <c r="B36" s="3">
        <v>7</v>
      </c>
      <c r="C36" s="3">
        <v>1</v>
      </c>
      <c r="D36">
        <v>0</v>
      </c>
      <c r="E36">
        <v>0</v>
      </c>
      <c r="F36">
        <v>0</v>
      </c>
      <c r="G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Q36" s="3">
        <v>720</v>
      </c>
      <c r="R36" s="3">
        <v>7</v>
      </c>
      <c r="S36" s="3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G36" s="3">
        <v>720</v>
      </c>
      <c r="AH36" s="3">
        <v>7</v>
      </c>
      <c r="AI36" s="3">
        <v>1</v>
      </c>
      <c r="AJ36">
        <v>100</v>
      </c>
      <c r="AK36">
        <v>100</v>
      </c>
      <c r="AL36">
        <v>100</v>
      </c>
      <c r="AM36">
        <v>11.5</v>
      </c>
      <c r="AN36">
        <v>0</v>
      </c>
      <c r="AO36">
        <v>0</v>
      </c>
      <c r="AP36">
        <v>70</v>
      </c>
      <c r="AQ36">
        <v>75</v>
      </c>
      <c r="AR36">
        <v>80</v>
      </c>
      <c r="AS36">
        <v>85</v>
      </c>
      <c r="AT36">
        <v>90</v>
      </c>
      <c r="AU36">
        <v>95</v>
      </c>
      <c r="AW36" s="3">
        <v>720</v>
      </c>
      <c r="AX36" s="3">
        <v>7</v>
      </c>
      <c r="AY36" s="3">
        <v>1</v>
      </c>
      <c r="AZ36">
        <v>100</v>
      </c>
      <c r="BA36">
        <v>100</v>
      </c>
      <c r="BB36">
        <v>100</v>
      </c>
      <c r="BC36">
        <v>11.5</v>
      </c>
      <c r="BD36">
        <v>0</v>
      </c>
      <c r="BE36">
        <v>0</v>
      </c>
      <c r="BF36">
        <v>70</v>
      </c>
      <c r="BG36">
        <v>75</v>
      </c>
      <c r="BH36">
        <v>80</v>
      </c>
      <c r="BI36">
        <v>85</v>
      </c>
      <c r="BJ36">
        <v>90</v>
      </c>
      <c r="BK36">
        <v>95</v>
      </c>
    </row>
    <row r="37" spans="1:63" x14ac:dyDescent="0.25">
      <c r="A37" s="3">
        <v>720</v>
      </c>
      <c r="B37" s="3">
        <v>8</v>
      </c>
      <c r="C37" s="3">
        <v>1</v>
      </c>
      <c r="D37">
        <v>0</v>
      </c>
      <c r="E37">
        <v>0</v>
      </c>
      <c r="F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Q37" s="3">
        <v>720</v>
      </c>
      <c r="R37" s="3">
        <v>8</v>
      </c>
      <c r="S37" s="3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G37" s="3">
        <v>720</v>
      </c>
      <c r="AH37" s="3">
        <v>8</v>
      </c>
      <c r="AI37" s="3">
        <v>1</v>
      </c>
      <c r="AJ37">
        <v>100</v>
      </c>
      <c r="AK37">
        <v>100</v>
      </c>
      <c r="AL37">
        <v>100</v>
      </c>
      <c r="AM37">
        <v>0</v>
      </c>
      <c r="AN37">
        <v>0</v>
      </c>
      <c r="AO37">
        <v>0</v>
      </c>
      <c r="AP37">
        <v>75</v>
      </c>
      <c r="AQ37">
        <v>80</v>
      </c>
      <c r="AR37">
        <v>85</v>
      </c>
      <c r="AS37">
        <v>90</v>
      </c>
      <c r="AT37">
        <v>95</v>
      </c>
      <c r="AU37">
        <v>100</v>
      </c>
      <c r="AW37" s="3">
        <v>720</v>
      </c>
      <c r="AX37" s="3">
        <v>8</v>
      </c>
      <c r="AY37" s="3">
        <v>1</v>
      </c>
      <c r="AZ37">
        <v>100</v>
      </c>
      <c r="BA37">
        <v>100</v>
      </c>
      <c r="BB37">
        <v>100</v>
      </c>
      <c r="BC37">
        <v>0</v>
      </c>
      <c r="BD37">
        <v>0</v>
      </c>
      <c r="BE37">
        <v>0</v>
      </c>
      <c r="BF37">
        <v>75</v>
      </c>
      <c r="BG37">
        <v>80</v>
      </c>
      <c r="BH37">
        <v>85</v>
      </c>
      <c r="BI37">
        <v>90</v>
      </c>
      <c r="BJ37">
        <v>95</v>
      </c>
      <c r="BK37">
        <v>100</v>
      </c>
    </row>
    <row r="38" spans="1:63" x14ac:dyDescent="0.25">
      <c r="A38" s="3">
        <v>720</v>
      </c>
      <c r="B38" s="3">
        <v>8</v>
      </c>
      <c r="C38" s="3">
        <v>2</v>
      </c>
      <c r="D38">
        <v>0</v>
      </c>
      <c r="E38">
        <v>0</v>
      </c>
      <c r="F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Q38" s="3">
        <v>720</v>
      </c>
      <c r="R38" s="3">
        <v>8</v>
      </c>
      <c r="S38" s="3">
        <v>2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G38" s="3">
        <v>720</v>
      </c>
      <c r="AH38" s="3">
        <v>8</v>
      </c>
      <c r="AI38" s="3">
        <v>2</v>
      </c>
      <c r="AJ38">
        <v>100</v>
      </c>
      <c r="AK38">
        <v>100</v>
      </c>
      <c r="AL38">
        <v>100</v>
      </c>
      <c r="AM38">
        <v>0</v>
      </c>
      <c r="AN38">
        <v>0</v>
      </c>
      <c r="AO38">
        <v>0</v>
      </c>
      <c r="AP38">
        <v>75</v>
      </c>
      <c r="AQ38">
        <v>80</v>
      </c>
      <c r="AR38">
        <v>85</v>
      </c>
      <c r="AS38">
        <v>90</v>
      </c>
      <c r="AT38">
        <v>95</v>
      </c>
      <c r="AU38">
        <v>100</v>
      </c>
      <c r="AW38" s="3">
        <v>720</v>
      </c>
      <c r="AX38" s="3">
        <v>8</v>
      </c>
      <c r="AY38" s="3">
        <v>2</v>
      </c>
      <c r="AZ38">
        <v>100</v>
      </c>
      <c r="BA38">
        <v>100</v>
      </c>
      <c r="BB38">
        <v>100</v>
      </c>
      <c r="BC38">
        <v>0</v>
      </c>
      <c r="BD38">
        <v>0</v>
      </c>
      <c r="BE38">
        <v>0</v>
      </c>
      <c r="BF38">
        <v>75</v>
      </c>
      <c r="BG38">
        <v>80</v>
      </c>
      <c r="BH38">
        <v>85</v>
      </c>
      <c r="BI38">
        <v>90</v>
      </c>
      <c r="BJ38">
        <v>95</v>
      </c>
      <c r="BK38">
        <v>100</v>
      </c>
    </row>
    <row r="39" spans="1:63" x14ac:dyDescent="0.25">
      <c r="A39" s="3">
        <v>720</v>
      </c>
      <c r="B39" s="3">
        <v>9</v>
      </c>
      <c r="C39" s="3">
        <v>1</v>
      </c>
      <c r="D39">
        <v>0</v>
      </c>
      <c r="E39">
        <v>0</v>
      </c>
      <c r="F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Q39" s="3">
        <v>720</v>
      </c>
      <c r="R39" s="3">
        <v>9</v>
      </c>
      <c r="S39" s="3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G39" s="3">
        <v>720</v>
      </c>
      <c r="AH39" s="3">
        <v>9</v>
      </c>
      <c r="AI39" s="3">
        <v>1</v>
      </c>
      <c r="AJ39">
        <v>100</v>
      </c>
      <c r="AK39">
        <v>100</v>
      </c>
      <c r="AL39">
        <v>95.1</v>
      </c>
      <c r="AM39">
        <v>0</v>
      </c>
      <c r="AN39">
        <v>0</v>
      </c>
      <c r="AO39">
        <v>0</v>
      </c>
      <c r="AP39">
        <v>70</v>
      </c>
      <c r="AQ39">
        <v>75</v>
      </c>
      <c r="AR39">
        <v>80</v>
      </c>
      <c r="AS39">
        <v>85</v>
      </c>
      <c r="AT39">
        <v>90</v>
      </c>
      <c r="AU39">
        <v>95</v>
      </c>
      <c r="AW39" s="3">
        <v>720</v>
      </c>
      <c r="AX39" s="3">
        <v>9</v>
      </c>
      <c r="AY39" s="3">
        <v>1</v>
      </c>
      <c r="AZ39">
        <v>100</v>
      </c>
      <c r="BA39">
        <v>100</v>
      </c>
      <c r="BB39">
        <v>95.1</v>
      </c>
      <c r="BC39">
        <v>0</v>
      </c>
      <c r="BD39">
        <v>0</v>
      </c>
      <c r="BE39">
        <v>0</v>
      </c>
      <c r="BF39">
        <v>70</v>
      </c>
      <c r="BG39">
        <v>75</v>
      </c>
      <c r="BH39">
        <v>80</v>
      </c>
      <c r="BI39">
        <v>85</v>
      </c>
      <c r="BJ39">
        <v>90</v>
      </c>
      <c r="BK39">
        <v>95</v>
      </c>
    </row>
    <row r="40" spans="1:63" x14ac:dyDescent="0.25">
      <c r="A40" s="3">
        <v>720</v>
      </c>
      <c r="B40" s="3">
        <v>9</v>
      </c>
      <c r="C40" s="3">
        <v>2</v>
      </c>
      <c r="D40">
        <v>0</v>
      </c>
      <c r="E40">
        <v>0</v>
      </c>
      <c r="F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Q40" s="3">
        <v>720</v>
      </c>
      <c r="R40" s="3">
        <v>9</v>
      </c>
      <c r="S40" s="3">
        <v>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G40" s="3">
        <v>720</v>
      </c>
      <c r="AH40" s="3">
        <v>9</v>
      </c>
      <c r="AI40" s="3">
        <v>2</v>
      </c>
      <c r="AJ40">
        <v>100</v>
      </c>
      <c r="AK40">
        <v>100</v>
      </c>
      <c r="AL40">
        <v>85</v>
      </c>
      <c r="AM40">
        <v>0</v>
      </c>
      <c r="AN40">
        <v>0</v>
      </c>
      <c r="AO40">
        <v>0</v>
      </c>
      <c r="AP40">
        <v>70</v>
      </c>
      <c r="AQ40">
        <v>75</v>
      </c>
      <c r="AR40">
        <v>80</v>
      </c>
      <c r="AS40">
        <v>85</v>
      </c>
      <c r="AT40">
        <v>90</v>
      </c>
      <c r="AU40">
        <v>95</v>
      </c>
      <c r="AW40" s="3">
        <v>720</v>
      </c>
      <c r="AX40" s="3">
        <v>9</v>
      </c>
      <c r="AY40" s="3">
        <v>2</v>
      </c>
      <c r="AZ40">
        <v>100</v>
      </c>
      <c r="BA40">
        <v>100</v>
      </c>
      <c r="BB40">
        <v>85</v>
      </c>
      <c r="BC40">
        <v>0</v>
      </c>
      <c r="BD40">
        <v>0</v>
      </c>
      <c r="BE40">
        <v>0</v>
      </c>
      <c r="BF40">
        <v>70</v>
      </c>
      <c r="BG40">
        <v>75</v>
      </c>
      <c r="BH40">
        <v>80</v>
      </c>
      <c r="BI40">
        <v>85</v>
      </c>
      <c r="BJ40">
        <v>90</v>
      </c>
      <c r="BK40">
        <v>95</v>
      </c>
    </row>
    <row r="41" spans="1:63" x14ac:dyDescent="0.25">
      <c r="A41" s="3">
        <v>720</v>
      </c>
      <c r="B41" s="3">
        <v>9</v>
      </c>
      <c r="C41" s="3">
        <v>3</v>
      </c>
      <c r="D41">
        <v>0</v>
      </c>
      <c r="E41">
        <v>0</v>
      </c>
      <c r="F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Q41" s="3">
        <v>720</v>
      </c>
      <c r="R41" s="3">
        <v>9</v>
      </c>
      <c r="S41" s="3">
        <v>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G41" s="3">
        <v>720</v>
      </c>
      <c r="AH41" s="3">
        <v>9</v>
      </c>
      <c r="AI41" s="3">
        <v>3</v>
      </c>
      <c r="AJ41">
        <v>100</v>
      </c>
      <c r="AK41">
        <v>100</v>
      </c>
      <c r="AL41">
        <v>77.400000000000006</v>
      </c>
      <c r="AM41">
        <v>0</v>
      </c>
      <c r="AN41">
        <v>0</v>
      </c>
      <c r="AO41">
        <v>0</v>
      </c>
      <c r="AP41">
        <v>70</v>
      </c>
      <c r="AQ41">
        <v>75</v>
      </c>
      <c r="AR41">
        <v>80</v>
      </c>
      <c r="AS41">
        <v>85</v>
      </c>
      <c r="AT41">
        <v>90</v>
      </c>
      <c r="AU41">
        <v>95</v>
      </c>
      <c r="AW41" s="3">
        <v>720</v>
      </c>
      <c r="AX41" s="3">
        <v>9</v>
      </c>
      <c r="AY41" s="3">
        <v>3</v>
      </c>
      <c r="AZ41">
        <v>100</v>
      </c>
      <c r="BA41">
        <v>100</v>
      </c>
      <c r="BB41">
        <v>77.400000000000006</v>
      </c>
      <c r="BC41">
        <v>0</v>
      </c>
      <c r="BD41">
        <v>0</v>
      </c>
      <c r="BE41">
        <v>0</v>
      </c>
      <c r="BF41">
        <v>70</v>
      </c>
      <c r="BG41">
        <v>75</v>
      </c>
      <c r="BH41">
        <v>80</v>
      </c>
      <c r="BI41">
        <v>85</v>
      </c>
      <c r="BJ41">
        <v>90</v>
      </c>
      <c r="BK41">
        <v>95</v>
      </c>
    </row>
    <row r="42" spans="1:63" x14ac:dyDescent="0.25">
      <c r="A42" s="3">
        <v>720</v>
      </c>
      <c r="B42" s="3">
        <v>9</v>
      </c>
      <c r="C42" s="3">
        <v>4</v>
      </c>
      <c r="D42">
        <v>0</v>
      </c>
      <c r="E42">
        <v>0</v>
      </c>
      <c r="F42">
        <v>0</v>
      </c>
      <c r="G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Q42" s="3">
        <v>720</v>
      </c>
      <c r="R42" s="3">
        <v>9</v>
      </c>
      <c r="S42" s="3">
        <v>4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G42" s="3">
        <v>720</v>
      </c>
      <c r="AH42" s="3">
        <v>9</v>
      </c>
      <c r="AI42" s="3">
        <v>4</v>
      </c>
      <c r="AJ42">
        <v>100</v>
      </c>
      <c r="AK42">
        <v>100</v>
      </c>
      <c r="AL42">
        <v>71.2</v>
      </c>
      <c r="AM42">
        <v>19.5</v>
      </c>
      <c r="AN42">
        <v>0</v>
      </c>
      <c r="AO42">
        <v>0</v>
      </c>
      <c r="AP42">
        <v>70</v>
      </c>
      <c r="AQ42">
        <v>75</v>
      </c>
      <c r="AR42">
        <v>80</v>
      </c>
      <c r="AS42">
        <v>85</v>
      </c>
      <c r="AT42">
        <v>90</v>
      </c>
      <c r="AU42">
        <v>95</v>
      </c>
      <c r="AW42" s="3">
        <v>720</v>
      </c>
      <c r="AX42" s="3">
        <v>9</v>
      </c>
      <c r="AY42" s="3">
        <v>4</v>
      </c>
      <c r="AZ42">
        <v>100</v>
      </c>
      <c r="BA42">
        <v>100</v>
      </c>
      <c r="BB42">
        <v>71.2</v>
      </c>
      <c r="BC42">
        <v>19.5</v>
      </c>
      <c r="BD42">
        <v>0</v>
      </c>
      <c r="BE42">
        <v>0</v>
      </c>
      <c r="BF42">
        <v>70</v>
      </c>
      <c r="BG42">
        <v>75</v>
      </c>
      <c r="BH42">
        <v>80</v>
      </c>
      <c r="BI42">
        <v>85</v>
      </c>
      <c r="BJ42">
        <v>90</v>
      </c>
      <c r="BK42">
        <v>95</v>
      </c>
    </row>
    <row r="43" spans="1:63" x14ac:dyDescent="0.25">
      <c r="A43" s="3">
        <v>720</v>
      </c>
      <c r="B43" s="3">
        <v>10</v>
      </c>
      <c r="C43" s="3">
        <v>1</v>
      </c>
      <c r="D43">
        <v>0</v>
      </c>
      <c r="E43">
        <v>0</v>
      </c>
      <c r="F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Q43" s="3">
        <v>720</v>
      </c>
      <c r="R43" s="3">
        <v>10</v>
      </c>
      <c r="S43" s="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G43" s="3">
        <v>720</v>
      </c>
      <c r="AH43" s="3">
        <v>10</v>
      </c>
      <c r="AI43" s="3">
        <v>1</v>
      </c>
      <c r="AJ43">
        <v>100</v>
      </c>
      <c r="AK43">
        <v>100</v>
      </c>
      <c r="AL43">
        <v>100</v>
      </c>
      <c r="AM43">
        <v>0</v>
      </c>
      <c r="AN43">
        <v>0</v>
      </c>
      <c r="AO43">
        <v>0</v>
      </c>
      <c r="AP43">
        <v>75</v>
      </c>
      <c r="AQ43">
        <v>80</v>
      </c>
      <c r="AR43">
        <v>85</v>
      </c>
      <c r="AS43">
        <v>90</v>
      </c>
      <c r="AT43">
        <v>95</v>
      </c>
      <c r="AU43">
        <v>100</v>
      </c>
      <c r="AW43" s="3">
        <v>720</v>
      </c>
      <c r="AX43" s="3">
        <v>10</v>
      </c>
      <c r="AY43" s="3">
        <v>1</v>
      </c>
      <c r="AZ43">
        <v>100</v>
      </c>
      <c r="BA43">
        <v>100</v>
      </c>
      <c r="BB43">
        <v>100</v>
      </c>
      <c r="BC43">
        <v>0</v>
      </c>
      <c r="BD43">
        <v>0</v>
      </c>
      <c r="BE43">
        <v>0</v>
      </c>
      <c r="BF43">
        <v>75</v>
      </c>
      <c r="BG43">
        <v>80</v>
      </c>
      <c r="BH43">
        <v>85</v>
      </c>
      <c r="BI43">
        <v>90</v>
      </c>
      <c r="BJ43">
        <v>95</v>
      </c>
      <c r="BK43">
        <v>100</v>
      </c>
    </row>
    <row r="44" spans="1:63" x14ac:dyDescent="0.25">
      <c r="A44" s="3">
        <v>720</v>
      </c>
      <c r="B44" s="3">
        <v>10</v>
      </c>
      <c r="C44" s="3">
        <v>2</v>
      </c>
      <c r="D44">
        <v>0</v>
      </c>
      <c r="E44">
        <v>0</v>
      </c>
      <c r="F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Q44" s="3">
        <v>720</v>
      </c>
      <c r="R44" s="3">
        <v>10</v>
      </c>
      <c r="S44" s="3">
        <v>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G44" s="3">
        <v>720</v>
      </c>
      <c r="AH44" s="3">
        <v>10</v>
      </c>
      <c r="AI44" s="3">
        <v>2</v>
      </c>
      <c r="AJ44">
        <v>100</v>
      </c>
      <c r="AK44">
        <v>100</v>
      </c>
      <c r="AL44">
        <v>83.6</v>
      </c>
      <c r="AM44">
        <v>0</v>
      </c>
      <c r="AN44">
        <v>0</v>
      </c>
      <c r="AO44">
        <v>0</v>
      </c>
      <c r="AP44">
        <v>75</v>
      </c>
      <c r="AQ44">
        <v>80</v>
      </c>
      <c r="AR44">
        <v>85</v>
      </c>
      <c r="AS44">
        <v>90</v>
      </c>
      <c r="AT44">
        <v>95</v>
      </c>
      <c r="AU44">
        <v>100</v>
      </c>
      <c r="AW44" s="3">
        <v>720</v>
      </c>
      <c r="AX44" s="3">
        <v>10</v>
      </c>
      <c r="AY44" s="3">
        <v>2</v>
      </c>
      <c r="AZ44">
        <v>100</v>
      </c>
      <c r="BA44">
        <v>100</v>
      </c>
      <c r="BB44">
        <v>83.6</v>
      </c>
      <c r="BC44">
        <v>0</v>
      </c>
      <c r="BD44">
        <v>0</v>
      </c>
      <c r="BE44">
        <v>0</v>
      </c>
      <c r="BF44">
        <v>75</v>
      </c>
      <c r="BG44">
        <v>80</v>
      </c>
      <c r="BH44">
        <v>85</v>
      </c>
      <c r="BI44">
        <v>90</v>
      </c>
      <c r="BJ44">
        <v>95</v>
      </c>
      <c r="BK44">
        <v>100</v>
      </c>
    </row>
    <row r="45" spans="1:63" x14ac:dyDescent="0.25">
      <c r="A45" s="3">
        <v>720</v>
      </c>
      <c r="B45" s="3">
        <v>11</v>
      </c>
      <c r="C45" s="3">
        <v>1</v>
      </c>
      <c r="D45">
        <v>0</v>
      </c>
      <c r="E45">
        <v>0</v>
      </c>
      <c r="F45">
        <v>0</v>
      </c>
      <c r="G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Q45" s="3">
        <v>720</v>
      </c>
      <c r="R45" s="3">
        <v>11</v>
      </c>
      <c r="S45" s="3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G45" s="3">
        <v>720</v>
      </c>
      <c r="AH45" s="3">
        <v>11</v>
      </c>
      <c r="AI45" s="3">
        <v>1</v>
      </c>
      <c r="AJ45">
        <v>100</v>
      </c>
      <c r="AK45">
        <v>82.7</v>
      </c>
      <c r="AL45">
        <v>54.4</v>
      </c>
      <c r="AM45">
        <v>22.1</v>
      </c>
      <c r="AN45">
        <v>0</v>
      </c>
      <c r="AO45">
        <v>0</v>
      </c>
      <c r="AP45">
        <v>70</v>
      </c>
      <c r="AQ45">
        <v>75</v>
      </c>
      <c r="AR45">
        <v>80</v>
      </c>
      <c r="AS45">
        <v>85</v>
      </c>
      <c r="AT45">
        <v>90</v>
      </c>
      <c r="AU45">
        <v>95</v>
      </c>
      <c r="AW45" s="3">
        <v>720</v>
      </c>
      <c r="AX45" s="3">
        <v>11</v>
      </c>
      <c r="AY45" s="3">
        <v>1</v>
      </c>
      <c r="AZ45">
        <v>100</v>
      </c>
      <c r="BA45">
        <v>82.7</v>
      </c>
      <c r="BB45">
        <v>54.4</v>
      </c>
      <c r="BC45">
        <v>22.1</v>
      </c>
      <c r="BD45">
        <v>0</v>
      </c>
      <c r="BE45">
        <v>0</v>
      </c>
      <c r="BF45">
        <v>70</v>
      </c>
      <c r="BG45">
        <v>75</v>
      </c>
      <c r="BH45">
        <v>80</v>
      </c>
      <c r="BI45">
        <v>85</v>
      </c>
      <c r="BJ45">
        <v>90</v>
      </c>
      <c r="BK45">
        <v>95</v>
      </c>
    </row>
    <row r="46" spans="1:63" x14ac:dyDescent="0.25">
      <c r="A46" s="3">
        <v>990</v>
      </c>
      <c r="B46" s="3">
        <v>7</v>
      </c>
      <c r="C46" s="3">
        <v>1</v>
      </c>
      <c r="D46">
        <v>0</v>
      </c>
      <c r="E46">
        <v>0</v>
      </c>
      <c r="F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Q46" s="3">
        <v>990</v>
      </c>
      <c r="R46" s="3">
        <v>7</v>
      </c>
      <c r="S46" s="3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G46" s="3">
        <v>990</v>
      </c>
      <c r="AH46" s="3">
        <v>7</v>
      </c>
      <c r="AI46" s="3">
        <v>1</v>
      </c>
      <c r="AJ46">
        <v>100</v>
      </c>
      <c r="AK46">
        <v>100</v>
      </c>
      <c r="AL46">
        <v>45.1</v>
      </c>
      <c r="AM46">
        <v>0</v>
      </c>
      <c r="AN46">
        <v>0</v>
      </c>
      <c r="AO46">
        <v>0</v>
      </c>
      <c r="AP46">
        <v>70</v>
      </c>
      <c r="AQ46">
        <v>75</v>
      </c>
      <c r="AR46">
        <v>80</v>
      </c>
      <c r="AS46">
        <v>85</v>
      </c>
      <c r="AT46">
        <v>90</v>
      </c>
      <c r="AU46">
        <v>95</v>
      </c>
      <c r="AW46" s="3">
        <v>990</v>
      </c>
      <c r="AX46" s="3">
        <v>7</v>
      </c>
      <c r="AY46" s="3">
        <v>1</v>
      </c>
      <c r="AZ46">
        <v>100</v>
      </c>
      <c r="BA46">
        <v>100</v>
      </c>
      <c r="BB46">
        <v>45.1</v>
      </c>
      <c r="BC46">
        <v>0</v>
      </c>
      <c r="BD46">
        <v>0</v>
      </c>
      <c r="BE46">
        <v>0</v>
      </c>
      <c r="BF46">
        <v>70</v>
      </c>
      <c r="BG46">
        <v>75</v>
      </c>
      <c r="BH46">
        <v>80</v>
      </c>
      <c r="BI46">
        <v>85</v>
      </c>
      <c r="BJ46">
        <v>90</v>
      </c>
      <c r="BK46">
        <v>95</v>
      </c>
    </row>
    <row r="47" spans="1:63" x14ac:dyDescent="0.25">
      <c r="A47" s="3">
        <v>990</v>
      </c>
      <c r="B47" s="3">
        <v>8</v>
      </c>
      <c r="C47" s="3">
        <v>1</v>
      </c>
      <c r="D47">
        <v>0</v>
      </c>
      <c r="E47">
        <v>0</v>
      </c>
      <c r="F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 s="3">
        <v>990</v>
      </c>
      <c r="R47" s="3">
        <v>8</v>
      </c>
      <c r="S47" s="3">
        <v>1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G47" s="3">
        <v>990</v>
      </c>
      <c r="AH47" s="3">
        <v>8</v>
      </c>
      <c r="AI47" s="3">
        <v>1</v>
      </c>
      <c r="AJ47">
        <v>100</v>
      </c>
      <c r="AK47">
        <v>100</v>
      </c>
      <c r="AL47">
        <v>81.400000000000006</v>
      </c>
      <c r="AM47">
        <v>0</v>
      </c>
      <c r="AN47">
        <v>0</v>
      </c>
      <c r="AO47">
        <v>0</v>
      </c>
      <c r="AP47">
        <v>75</v>
      </c>
      <c r="AQ47">
        <v>80</v>
      </c>
      <c r="AR47">
        <v>85</v>
      </c>
      <c r="AS47">
        <v>90</v>
      </c>
      <c r="AT47">
        <v>95</v>
      </c>
      <c r="AU47">
        <v>100</v>
      </c>
      <c r="AW47" s="3">
        <v>990</v>
      </c>
      <c r="AX47" s="3">
        <v>8</v>
      </c>
      <c r="AY47" s="3">
        <v>1</v>
      </c>
      <c r="AZ47">
        <v>100</v>
      </c>
      <c r="BA47">
        <v>100</v>
      </c>
      <c r="BB47">
        <v>81.400000000000006</v>
      </c>
      <c r="BC47">
        <v>0</v>
      </c>
      <c r="BD47">
        <v>0</v>
      </c>
      <c r="BE47">
        <v>0</v>
      </c>
      <c r="BF47">
        <v>75</v>
      </c>
      <c r="BG47">
        <v>80</v>
      </c>
      <c r="BH47">
        <v>85</v>
      </c>
      <c r="BI47">
        <v>90</v>
      </c>
      <c r="BJ47">
        <v>95</v>
      </c>
      <c r="BK47">
        <v>100</v>
      </c>
    </row>
    <row r="48" spans="1:63" x14ac:dyDescent="0.25">
      <c r="A48" s="3">
        <v>990</v>
      </c>
      <c r="B48" s="3">
        <v>8</v>
      </c>
      <c r="C48" s="3">
        <v>2</v>
      </c>
      <c r="D48">
        <v>0</v>
      </c>
      <c r="E48">
        <v>0</v>
      </c>
      <c r="F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Q48" s="3">
        <v>990</v>
      </c>
      <c r="R48" s="3">
        <v>8</v>
      </c>
      <c r="S48" s="3">
        <v>2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G48" s="3">
        <v>990</v>
      </c>
      <c r="AH48" s="3">
        <v>8</v>
      </c>
      <c r="AI48" s="3">
        <v>2</v>
      </c>
      <c r="AJ48">
        <v>100</v>
      </c>
      <c r="AK48">
        <v>100</v>
      </c>
      <c r="AL48">
        <v>90.7</v>
      </c>
      <c r="AM48">
        <v>0</v>
      </c>
      <c r="AN48">
        <v>0</v>
      </c>
      <c r="AO48">
        <v>0</v>
      </c>
      <c r="AP48">
        <v>75</v>
      </c>
      <c r="AQ48">
        <v>80</v>
      </c>
      <c r="AR48">
        <v>85</v>
      </c>
      <c r="AS48">
        <v>90</v>
      </c>
      <c r="AT48">
        <v>95</v>
      </c>
      <c r="AU48">
        <v>100</v>
      </c>
      <c r="AW48" s="3">
        <v>990</v>
      </c>
      <c r="AX48" s="3">
        <v>8</v>
      </c>
      <c r="AY48" s="3">
        <v>2</v>
      </c>
      <c r="AZ48">
        <v>100</v>
      </c>
      <c r="BA48">
        <v>100</v>
      </c>
      <c r="BB48">
        <v>90.7</v>
      </c>
      <c r="BC48">
        <v>0</v>
      </c>
      <c r="BD48">
        <v>0</v>
      </c>
      <c r="BE48">
        <v>0</v>
      </c>
      <c r="BF48">
        <v>75</v>
      </c>
      <c r="BG48">
        <v>80</v>
      </c>
      <c r="BH48">
        <v>85</v>
      </c>
      <c r="BI48">
        <v>90</v>
      </c>
      <c r="BJ48">
        <v>95</v>
      </c>
      <c r="BK48">
        <v>100</v>
      </c>
    </row>
    <row r="49" spans="1:63" x14ac:dyDescent="0.25">
      <c r="A49" s="3">
        <v>990</v>
      </c>
      <c r="B49" s="3">
        <v>9</v>
      </c>
      <c r="C49" s="3">
        <v>1</v>
      </c>
      <c r="D49">
        <v>0</v>
      </c>
      <c r="E49">
        <v>0</v>
      </c>
      <c r="F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Q49" s="3">
        <v>990</v>
      </c>
      <c r="R49" s="3">
        <v>9</v>
      </c>
      <c r="S49" s="3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G49" s="3">
        <v>990</v>
      </c>
      <c r="AH49" s="3">
        <v>9</v>
      </c>
      <c r="AI49" s="3">
        <v>1</v>
      </c>
      <c r="AJ49">
        <v>100</v>
      </c>
      <c r="AK49">
        <v>100</v>
      </c>
      <c r="AL49">
        <v>34.5</v>
      </c>
      <c r="AM49">
        <v>0</v>
      </c>
      <c r="AN49">
        <v>0</v>
      </c>
      <c r="AO49">
        <v>0</v>
      </c>
      <c r="AP49">
        <v>70</v>
      </c>
      <c r="AQ49">
        <v>75</v>
      </c>
      <c r="AR49">
        <v>80</v>
      </c>
      <c r="AS49">
        <v>85</v>
      </c>
      <c r="AT49">
        <v>90</v>
      </c>
      <c r="AU49">
        <v>95</v>
      </c>
      <c r="AW49" s="3">
        <v>990</v>
      </c>
      <c r="AX49" s="3">
        <v>9</v>
      </c>
      <c r="AY49" s="3">
        <v>1</v>
      </c>
      <c r="AZ49">
        <v>100</v>
      </c>
      <c r="BA49">
        <v>100</v>
      </c>
      <c r="BB49">
        <v>34.5</v>
      </c>
      <c r="BC49">
        <v>0</v>
      </c>
      <c r="BD49">
        <v>0</v>
      </c>
      <c r="BE49">
        <v>0</v>
      </c>
      <c r="BF49">
        <v>70</v>
      </c>
      <c r="BG49">
        <v>75</v>
      </c>
      <c r="BH49">
        <v>80</v>
      </c>
      <c r="BI49">
        <v>85</v>
      </c>
      <c r="BJ49">
        <v>90</v>
      </c>
      <c r="BK49">
        <v>95</v>
      </c>
    </row>
    <row r="50" spans="1:63" x14ac:dyDescent="0.25">
      <c r="A50" s="3">
        <v>990</v>
      </c>
      <c r="B50" s="3">
        <v>9</v>
      </c>
      <c r="C50" s="3">
        <v>2</v>
      </c>
      <c r="D50">
        <v>0</v>
      </c>
      <c r="E50">
        <v>0</v>
      </c>
      <c r="F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Q50" s="3">
        <v>990</v>
      </c>
      <c r="R50" s="3">
        <v>9</v>
      </c>
      <c r="S50" s="3">
        <v>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G50" s="3">
        <v>990</v>
      </c>
      <c r="AH50" s="3">
        <v>9</v>
      </c>
      <c r="AI50" s="3">
        <v>2</v>
      </c>
      <c r="AJ50">
        <v>100</v>
      </c>
      <c r="AK50">
        <v>100</v>
      </c>
      <c r="AL50">
        <v>48.2</v>
      </c>
      <c r="AM50">
        <v>0</v>
      </c>
      <c r="AN50">
        <v>0</v>
      </c>
      <c r="AO50">
        <v>0</v>
      </c>
      <c r="AP50">
        <v>70</v>
      </c>
      <c r="AQ50">
        <v>75</v>
      </c>
      <c r="AR50">
        <v>80</v>
      </c>
      <c r="AS50">
        <v>85</v>
      </c>
      <c r="AT50">
        <v>90</v>
      </c>
      <c r="AU50">
        <v>95</v>
      </c>
      <c r="AW50" s="3">
        <v>990</v>
      </c>
      <c r="AX50" s="3">
        <v>9</v>
      </c>
      <c r="AY50" s="3">
        <v>2</v>
      </c>
      <c r="AZ50">
        <v>100</v>
      </c>
      <c r="BA50">
        <v>100</v>
      </c>
      <c r="BB50">
        <v>48.2</v>
      </c>
      <c r="BC50">
        <v>0</v>
      </c>
      <c r="BD50">
        <v>0</v>
      </c>
      <c r="BE50">
        <v>0</v>
      </c>
      <c r="BF50">
        <v>70</v>
      </c>
      <c r="BG50">
        <v>75</v>
      </c>
      <c r="BH50">
        <v>80</v>
      </c>
      <c r="BI50">
        <v>85</v>
      </c>
      <c r="BJ50">
        <v>90</v>
      </c>
      <c r="BK50">
        <v>95</v>
      </c>
    </row>
    <row r="51" spans="1:63" x14ac:dyDescent="0.25">
      <c r="A51" s="3">
        <v>990</v>
      </c>
      <c r="B51" s="3">
        <v>9</v>
      </c>
      <c r="C51" s="3">
        <v>3</v>
      </c>
      <c r="D51">
        <v>0</v>
      </c>
      <c r="E51">
        <v>0</v>
      </c>
      <c r="F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Q51" s="3">
        <v>990</v>
      </c>
      <c r="R51" s="3">
        <v>9</v>
      </c>
      <c r="S51" s="3">
        <v>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G51" s="3">
        <v>990</v>
      </c>
      <c r="AH51" s="3">
        <v>9</v>
      </c>
      <c r="AI51" s="3">
        <v>3</v>
      </c>
      <c r="AJ51">
        <v>100</v>
      </c>
      <c r="AK51">
        <v>100</v>
      </c>
      <c r="AL51">
        <v>63.7</v>
      </c>
      <c r="AM51">
        <v>0</v>
      </c>
      <c r="AN51">
        <v>0</v>
      </c>
      <c r="AO51">
        <v>0</v>
      </c>
      <c r="AP51">
        <v>70</v>
      </c>
      <c r="AQ51">
        <v>75</v>
      </c>
      <c r="AR51">
        <v>80</v>
      </c>
      <c r="AS51">
        <v>85</v>
      </c>
      <c r="AT51">
        <v>90</v>
      </c>
      <c r="AU51">
        <v>95</v>
      </c>
      <c r="AW51" s="3">
        <v>990</v>
      </c>
      <c r="AX51" s="3">
        <v>9</v>
      </c>
      <c r="AY51" s="3">
        <v>3</v>
      </c>
      <c r="AZ51">
        <v>100</v>
      </c>
      <c r="BA51">
        <v>100</v>
      </c>
      <c r="BB51">
        <v>63.7</v>
      </c>
      <c r="BC51">
        <v>0</v>
      </c>
      <c r="BD51">
        <v>0</v>
      </c>
      <c r="BE51">
        <v>0</v>
      </c>
      <c r="BF51">
        <v>70</v>
      </c>
      <c r="BG51">
        <v>75</v>
      </c>
      <c r="BH51">
        <v>80</v>
      </c>
      <c r="BI51">
        <v>85</v>
      </c>
      <c r="BJ51">
        <v>90</v>
      </c>
      <c r="BK51">
        <v>95</v>
      </c>
    </row>
    <row r="52" spans="1:63" x14ac:dyDescent="0.25">
      <c r="A52" s="3">
        <v>990</v>
      </c>
      <c r="B52" s="3">
        <v>9</v>
      </c>
      <c r="C52" s="3">
        <v>4</v>
      </c>
      <c r="D52">
        <v>0</v>
      </c>
      <c r="E52">
        <v>0</v>
      </c>
      <c r="F52">
        <v>0</v>
      </c>
      <c r="G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Q52" s="3">
        <v>990</v>
      </c>
      <c r="R52" s="3">
        <v>9</v>
      </c>
      <c r="S52" s="3">
        <v>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G52" s="3">
        <v>990</v>
      </c>
      <c r="AH52" s="3">
        <v>9</v>
      </c>
      <c r="AI52" s="3">
        <v>4</v>
      </c>
      <c r="AJ52">
        <v>100</v>
      </c>
      <c r="AK52">
        <v>100</v>
      </c>
      <c r="AL52">
        <v>53.5</v>
      </c>
      <c r="AM52">
        <v>1.8</v>
      </c>
      <c r="AN52">
        <v>0</v>
      </c>
      <c r="AO52">
        <v>0</v>
      </c>
      <c r="AP52">
        <v>70</v>
      </c>
      <c r="AQ52">
        <v>75</v>
      </c>
      <c r="AR52">
        <v>80</v>
      </c>
      <c r="AS52">
        <v>85</v>
      </c>
      <c r="AT52">
        <v>90</v>
      </c>
      <c r="AU52">
        <v>95</v>
      </c>
      <c r="AW52" s="3">
        <v>990</v>
      </c>
      <c r="AX52" s="3">
        <v>9</v>
      </c>
      <c r="AY52" s="3">
        <v>4</v>
      </c>
      <c r="AZ52">
        <v>100</v>
      </c>
      <c r="BA52">
        <v>100</v>
      </c>
      <c r="BB52">
        <v>53.5</v>
      </c>
      <c r="BC52">
        <v>1.8</v>
      </c>
      <c r="BD52">
        <v>0</v>
      </c>
      <c r="BE52">
        <v>0</v>
      </c>
      <c r="BF52">
        <v>70</v>
      </c>
      <c r="BG52">
        <v>75</v>
      </c>
      <c r="BH52">
        <v>80</v>
      </c>
      <c r="BI52">
        <v>85</v>
      </c>
      <c r="BJ52">
        <v>90</v>
      </c>
      <c r="BK52">
        <v>95</v>
      </c>
    </row>
    <row r="53" spans="1:63" x14ac:dyDescent="0.25">
      <c r="A53" s="3">
        <v>990</v>
      </c>
      <c r="B53" s="3">
        <v>10</v>
      </c>
      <c r="C53" s="3">
        <v>1</v>
      </c>
      <c r="D53">
        <v>0</v>
      </c>
      <c r="E53">
        <v>0</v>
      </c>
      <c r="F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Q53" s="3">
        <v>990</v>
      </c>
      <c r="R53" s="3">
        <v>10</v>
      </c>
      <c r="S53" s="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G53" s="3">
        <v>990</v>
      </c>
      <c r="AH53" s="3">
        <v>10</v>
      </c>
      <c r="AI53" s="3">
        <v>1</v>
      </c>
      <c r="AJ53">
        <v>100</v>
      </c>
      <c r="AK53">
        <v>100</v>
      </c>
      <c r="AL53">
        <v>70.400000000000006</v>
      </c>
      <c r="AM53">
        <v>0</v>
      </c>
      <c r="AN53">
        <v>0</v>
      </c>
      <c r="AO53">
        <v>0</v>
      </c>
      <c r="AP53">
        <v>75</v>
      </c>
      <c r="AQ53">
        <v>80</v>
      </c>
      <c r="AR53">
        <v>85</v>
      </c>
      <c r="AS53">
        <v>90</v>
      </c>
      <c r="AT53">
        <v>95</v>
      </c>
      <c r="AU53">
        <v>100</v>
      </c>
      <c r="AW53" s="3">
        <v>990</v>
      </c>
      <c r="AX53" s="3">
        <v>10</v>
      </c>
      <c r="AY53" s="3">
        <v>1</v>
      </c>
      <c r="AZ53">
        <v>100</v>
      </c>
      <c r="BA53">
        <v>100</v>
      </c>
      <c r="BB53">
        <v>70.400000000000006</v>
      </c>
      <c r="BC53">
        <v>0</v>
      </c>
      <c r="BD53">
        <v>0</v>
      </c>
      <c r="BE53">
        <v>0</v>
      </c>
      <c r="BF53">
        <v>75</v>
      </c>
      <c r="BG53">
        <v>80</v>
      </c>
      <c r="BH53">
        <v>85</v>
      </c>
      <c r="BI53">
        <v>90</v>
      </c>
      <c r="BJ53">
        <v>95</v>
      </c>
      <c r="BK53">
        <v>100</v>
      </c>
    </row>
    <row r="54" spans="1:63" x14ac:dyDescent="0.25">
      <c r="A54" s="3">
        <v>990</v>
      </c>
      <c r="B54" s="3">
        <v>10</v>
      </c>
      <c r="C54" s="3">
        <v>2</v>
      </c>
      <c r="D54">
        <v>0</v>
      </c>
      <c r="E54">
        <v>0</v>
      </c>
      <c r="F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Q54" s="3">
        <v>990</v>
      </c>
      <c r="R54" s="3">
        <v>10</v>
      </c>
      <c r="S54" s="3">
        <v>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G54" s="3">
        <v>990</v>
      </c>
      <c r="AH54" s="3">
        <v>10</v>
      </c>
      <c r="AI54" s="3">
        <v>2</v>
      </c>
      <c r="AJ54">
        <v>100</v>
      </c>
      <c r="AK54">
        <v>100</v>
      </c>
      <c r="AL54">
        <v>58.4</v>
      </c>
      <c r="AM54">
        <v>0</v>
      </c>
      <c r="AN54">
        <v>0</v>
      </c>
      <c r="AO54">
        <v>0</v>
      </c>
      <c r="AP54">
        <v>75</v>
      </c>
      <c r="AQ54">
        <v>80</v>
      </c>
      <c r="AR54">
        <v>85</v>
      </c>
      <c r="AS54">
        <v>90</v>
      </c>
      <c r="AT54">
        <v>95</v>
      </c>
      <c r="AU54">
        <v>100</v>
      </c>
      <c r="AW54" s="3">
        <v>990</v>
      </c>
      <c r="AX54" s="3">
        <v>10</v>
      </c>
      <c r="AY54" s="3">
        <v>2</v>
      </c>
      <c r="AZ54">
        <v>100</v>
      </c>
      <c r="BA54">
        <v>100</v>
      </c>
      <c r="BB54">
        <v>58.4</v>
      </c>
      <c r="BC54">
        <v>0</v>
      </c>
      <c r="BD54">
        <v>0</v>
      </c>
      <c r="BE54">
        <v>0</v>
      </c>
      <c r="BF54">
        <v>75</v>
      </c>
      <c r="BG54">
        <v>80</v>
      </c>
      <c r="BH54">
        <v>85</v>
      </c>
      <c r="BI54">
        <v>90</v>
      </c>
      <c r="BJ54">
        <v>95</v>
      </c>
      <c r="BK54">
        <v>100</v>
      </c>
    </row>
    <row r="55" spans="1:63" x14ac:dyDescent="0.25">
      <c r="A55" s="3">
        <v>990</v>
      </c>
      <c r="B55" s="3">
        <v>11</v>
      </c>
      <c r="C55" s="3">
        <v>1</v>
      </c>
      <c r="D55">
        <v>0</v>
      </c>
      <c r="E55">
        <v>0</v>
      </c>
      <c r="F55">
        <v>0</v>
      </c>
      <c r="G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Q55" s="3">
        <v>990</v>
      </c>
      <c r="R55" s="3">
        <v>11</v>
      </c>
      <c r="S55" s="3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G55" s="3">
        <v>990</v>
      </c>
      <c r="AH55" s="3">
        <v>11</v>
      </c>
      <c r="AI55" s="3">
        <v>1</v>
      </c>
      <c r="AJ55">
        <v>100</v>
      </c>
      <c r="AK55">
        <v>77</v>
      </c>
      <c r="AL55">
        <v>50</v>
      </c>
      <c r="AM55">
        <v>19.5</v>
      </c>
      <c r="AN55">
        <v>0</v>
      </c>
      <c r="AO55">
        <v>0</v>
      </c>
      <c r="AP55">
        <v>70</v>
      </c>
      <c r="AQ55">
        <v>75</v>
      </c>
      <c r="AR55">
        <v>80</v>
      </c>
      <c r="AS55">
        <v>85</v>
      </c>
      <c r="AT55">
        <v>90</v>
      </c>
      <c r="AU55">
        <v>95</v>
      </c>
      <c r="AW55" s="3">
        <v>990</v>
      </c>
      <c r="AX55" s="3">
        <v>11</v>
      </c>
      <c r="AY55" s="3">
        <v>1</v>
      </c>
      <c r="AZ55">
        <v>100</v>
      </c>
      <c r="BA55">
        <v>77</v>
      </c>
      <c r="BB55">
        <v>50</v>
      </c>
      <c r="BC55">
        <v>19.5</v>
      </c>
      <c r="BD55">
        <v>0</v>
      </c>
      <c r="BE55">
        <v>0</v>
      </c>
      <c r="BF55">
        <v>70</v>
      </c>
      <c r="BG55">
        <v>75</v>
      </c>
      <c r="BH55">
        <v>80</v>
      </c>
      <c r="BI55">
        <v>85</v>
      </c>
      <c r="BJ55">
        <v>90</v>
      </c>
      <c r="BK55">
        <v>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43"/>
  <sheetViews>
    <sheetView workbookViewId="0"/>
  </sheetViews>
  <sheetFormatPr defaultRowHeight="15" x14ac:dyDescent="0.25"/>
  <sheetData>
    <row r="1" spans="1:27" x14ac:dyDescent="0.25">
      <c r="A1" s="1" t="s">
        <v>85</v>
      </c>
    </row>
    <row r="2" spans="1:27" x14ac:dyDescent="0.25">
      <c r="A2" s="2" t="s">
        <v>1</v>
      </c>
    </row>
    <row r="3" spans="1:27" x14ac:dyDescent="0.25">
      <c r="A3" t="s">
        <v>2</v>
      </c>
      <c r="H3" t="s">
        <v>3</v>
      </c>
    </row>
    <row r="4" spans="1:27" x14ac:dyDescent="0.25">
      <c r="C4" s="3" t="s">
        <v>86</v>
      </c>
      <c r="D4" s="3" t="s">
        <v>87</v>
      </c>
      <c r="E4" s="3" t="s">
        <v>88</v>
      </c>
      <c r="F4" s="3" t="s">
        <v>89</v>
      </c>
      <c r="J4" s="3" t="s">
        <v>86</v>
      </c>
      <c r="K4" s="3" t="s">
        <v>87</v>
      </c>
      <c r="L4" s="3" t="s">
        <v>88</v>
      </c>
      <c r="M4" s="3" t="s">
        <v>89</v>
      </c>
    </row>
    <row r="5" spans="1:27" x14ac:dyDescent="0.25">
      <c r="B5" s="3" t="s">
        <v>6</v>
      </c>
      <c r="C5">
        <v>20</v>
      </c>
      <c r="D5">
        <v>12</v>
      </c>
      <c r="E5">
        <v>24</v>
      </c>
      <c r="F5">
        <v>12</v>
      </c>
      <c r="I5" s="3" t="s">
        <v>6</v>
      </c>
      <c r="J5">
        <v>28</v>
      </c>
      <c r="K5">
        <v>28</v>
      </c>
      <c r="L5">
        <v>28</v>
      </c>
      <c r="M5">
        <v>28</v>
      </c>
    </row>
    <row r="6" spans="1:27" x14ac:dyDescent="0.25">
      <c r="B6" s="3" t="s">
        <v>7</v>
      </c>
      <c r="C6">
        <v>0</v>
      </c>
      <c r="D6">
        <v>0</v>
      </c>
      <c r="E6">
        <v>0</v>
      </c>
      <c r="F6">
        <v>0</v>
      </c>
      <c r="I6" s="3" t="s">
        <v>7</v>
      </c>
      <c r="J6">
        <v>0</v>
      </c>
      <c r="K6">
        <v>0</v>
      </c>
      <c r="L6">
        <v>0</v>
      </c>
      <c r="M6">
        <v>0</v>
      </c>
    </row>
    <row r="7" spans="1:27" x14ac:dyDescent="0.25">
      <c r="B7" s="3" t="s">
        <v>8</v>
      </c>
      <c r="C7">
        <v>0</v>
      </c>
      <c r="D7">
        <v>0</v>
      </c>
      <c r="E7">
        <v>0</v>
      </c>
      <c r="F7">
        <v>0</v>
      </c>
      <c r="I7" s="3" t="s">
        <v>8</v>
      </c>
      <c r="J7">
        <v>0</v>
      </c>
      <c r="K7">
        <v>0</v>
      </c>
      <c r="L7">
        <v>0</v>
      </c>
      <c r="M7">
        <v>0</v>
      </c>
    </row>
    <row r="8" spans="1:27" x14ac:dyDescent="0.25">
      <c r="B8" s="3" t="s">
        <v>9</v>
      </c>
      <c r="C8">
        <v>0</v>
      </c>
      <c r="D8">
        <v>0</v>
      </c>
      <c r="E8">
        <v>0</v>
      </c>
      <c r="F8">
        <v>0</v>
      </c>
      <c r="I8" s="3" t="s">
        <v>9</v>
      </c>
      <c r="J8">
        <v>0</v>
      </c>
      <c r="K8">
        <v>0</v>
      </c>
      <c r="L8">
        <v>0</v>
      </c>
      <c r="M8">
        <v>0</v>
      </c>
    </row>
    <row r="9" spans="1:27" x14ac:dyDescent="0.25">
      <c r="B9" s="3" t="s">
        <v>10</v>
      </c>
      <c r="C9">
        <v>0</v>
      </c>
      <c r="D9">
        <v>0</v>
      </c>
      <c r="E9">
        <v>0</v>
      </c>
      <c r="F9">
        <v>0</v>
      </c>
      <c r="I9" s="3" t="s">
        <v>10</v>
      </c>
      <c r="J9">
        <v>0</v>
      </c>
      <c r="K9">
        <v>0</v>
      </c>
      <c r="L9">
        <v>0</v>
      </c>
      <c r="M9">
        <v>0</v>
      </c>
    </row>
    <row r="10" spans="1:27" x14ac:dyDescent="0.25">
      <c r="B10" s="3" t="s">
        <v>11</v>
      </c>
      <c r="C10">
        <v>0</v>
      </c>
      <c r="D10">
        <v>0</v>
      </c>
      <c r="E10">
        <v>0</v>
      </c>
      <c r="F10">
        <v>0</v>
      </c>
      <c r="I10" s="3" t="s">
        <v>11</v>
      </c>
      <c r="J10">
        <v>0</v>
      </c>
      <c r="K10">
        <v>0</v>
      </c>
      <c r="L10">
        <v>0</v>
      </c>
      <c r="M10">
        <v>0</v>
      </c>
    </row>
    <row r="11" spans="1:27" x14ac:dyDescent="0.25">
      <c r="B11" s="3" t="s">
        <v>12</v>
      </c>
      <c r="C11">
        <v>0</v>
      </c>
      <c r="D11">
        <v>0</v>
      </c>
      <c r="E11">
        <v>0</v>
      </c>
      <c r="F11">
        <v>0</v>
      </c>
      <c r="I11" s="3" t="s">
        <v>12</v>
      </c>
      <c r="J11">
        <v>0</v>
      </c>
      <c r="K11">
        <v>0</v>
      </c>
      <c r="L11">
        <v>0</v>
      </c>
      <c r="M11">
        <v>0</v>
      </c>
    </row>
    <row r="12" spans="1:27" x14ac:dyDescent="0.25">
      <c r="B12" s="3" t="s">
        <v>13</v>
      </c>
      <c r="C12">
        <v>0</v>
      </c>
      <c r="D12">
        <v>0</v>
      </c>
      <c r="E12">
        <v>0</v>
      </c>
      <c r="F12">
        <v>0</v>
      </c>
      <c r="I12" s="3" t="s">
        <v>13</v>
      </c>
      <c r="J12">
        <v>0</v>
      </c>
      <c r="K12">
        <v>0</v>
      </c>
      <c r="L12">
        <v>0</v>
      </c>
      <c r="M12">
        <v>0</v>
      </c>
    </row>
    <row r="13" spans="1:27" x14ac:dyDescent="0.25">
      <c r="A13" s="2" t="s">
        <v>14</v>
      </c>
    </row>
    <row r="14" spans="1:27" x14ac:dyDescent="0.25">
      <c r="A14" t="s">
        <v>2</v>
      </c>
      <c r="H14" t="s">
        <v>3</v>
      </c>
      <c r="O14" t="s">
        <v>15</v>
      </c>
      <c r="V14" t="s">
        <v>16</v>
      </c>
    </row>
    <row r="15" spans="1:27" x14ac:dyDescent="0.25">
      <c r="A15" s="3" t="s">
        <v>17</v>
      </c>
      <c r="B15" s="3" t="s">
        <v>90</v>
      </c>
      <c r="C15" s="3" t="s">
        <v>86</v>
      </c>
      <c r="D15" s="3" t="s">
        <v>87</v>
      </c>
      <c r="E15" s="3" t="s">
        <v>88</v>
      </c>
      <c r="F15" s="3" t="s">
        <v>89</v>
      </c>
      <c r="H15" s="3" t="s">
        <v>17</v>
      </c>
      <c r="I15" s="3" t="s">
        <v>90</v>
      </c>
      <c r="J15" s="3" t="s">
        <v>86</v>
      </c>
      <c r="K15" s="3" t="s">
        <v>87</v>
      </c>
      <c r="L15" s="3" t="s">
        <v>88</v>
      </c>
      <c r="M15" s="3" t="s">
        <v>89</v>
      </c>
      <c r="O15" s="3" t="s">
        <v>17</v>
      </c>
      <c r="P15" s="3" t="s">
        <v>90</v>
      </c>
      <c r="Q15" s="3" t="s">
        <v>86</v>
      </c>
      <c r="R15" s="3" t="s">
        <v>87</v>
      </c>
      <c r="S15" s="3" t="s">
        <v>88</v>
      </c>
      <c r="T15" s="3" t="s">
        <v>89</v>
      </c>
      <c r="V15" s="3" t="s">
        <v>17</v>
      </c>
      <c r="W15" s="3" t="s">
        <v>90</v>
      </c>
      <c r="X15" s="3" t="s">
        <v>86</v>
      </c>
      <c r="Y15" s="3" t="s">
        <v>87</v>
      </c>
      <c r="Z15" s="3" t="s">
        <v>88</v>
      </c>
      <c r="AA15" s="3" t="s">
        <v>89</v>
      </c>
    </row>
    <row r="16" spans="1:27" x14ac:dyDescent="0.25">
      <c r="A16" s="3">
        <v>360</v>
      </c>
      <c r="B16" s="3">
        <v>1</v>
      </c>
      <c r="C16">
        <v>0</v>
      </c>
      <c r="E16">
        <v>0</v>
      </c>
      <c r="F16">
        <v>0</v>
      </c>
      <c r="H16" s="3">
        <v>360</v>
      </c>
      <c r="I16" s="3">
        <v>1</v>
      </c>
      <c r="J16">
        <v>0</v>
      </c>
      <c r="K16">
        <v>0</v>
      </c>
      <c r="L16">
        <v>0</v>
      </c>
      <c r="M16">
        <v>0</v>
      </c>
      <c r="O16" s="3">
        <v>360</v>
      </c>
      <c r="P16" s="3">
        <v>1</v>
      </c>
      <c r="Q16">
        <v>27.161999999999999</v>
      </c>
      <c r="R16">
        <v>0</v>
      </c>
      <c r="S16">
        <v>3.8980000000000001</v>
      </c>
      <c r="T16">
        <v>1.355</v>
      </c>
      <c r="V16" s="3">
        <v>360</v>
      </c>
      <c r="W16" s="3">
        <v>1</v>
      </c>
      <c r="X16">
        <v>27.161999999999999</v>
      </c>
      <c r="Y16">
        <v>0</v>
      </c>
      <c r="Z16">
        <v>3.8980000000000001</v>
      </c>
      <c r="AA16">
        <v>1.355</v>
      </c>
    </row>
    <row r="17" spans="1:27" x14ac:dyDescent="0.25">
      <c r="A17" s="3">
        <v>360</v>
      </c>
      <c r="B17" s="3">
        <v>2</v>
      </c>
      <c r="C17">
        <v>0</v>
      </c>
      <c r="E17">
        <v>0</v>
      </c>
      <c r="F17">
        <v>0</v>
      </c>
      <c r="H17" s="3">
        <v>360</v>
      </c>
      <c r="I17" s="3">
        <v>2</v>
      </c>
      <c r="J17">
        <v>0</v>
      </c>
      <c r="K17">
        <v>0</v>
      </c>
      <c r="L17">
        <v>0</v>
      </c>
      <c r="M17">
        <v>0</v>
      </c>
      <c r="O17" s="3">
        <v>360</v>
      </c>
      <c r="P17" s="3">
        <v>2</v>
      </c>
      <c r="Q17">
        <v>1.0549999999999999</v>
      </c>
      <c r="R17">
        <v>0</v>
      </c>
      <c r="S17">
        <v>4.6980000000000004</v>
      </c>
      <c r="T17">
        <v>5.944</v>
      </c>
      <c r="V17" s="3">
        <v>360</v>
      </c>
      <c r="W17" s="3">
        <v>2</v>
      </c>
      <c r="X17">
        <v>1.0549999999999999</v>
      </c>
      <c r="Y17">
        <v>0</v>
      </c>
      <c r="Z17">
        <v>4.6980000000000004</v>
      </c>
      <c r="AA17">
        <v>5.944</v>
      </c>
    </row>
    <row r="18" spans="1:27" x14ac:dyDescent="0.25">
      <c r="A18" s="3">
        <v>360</v>
      </c>
      <c r="B18" s="3">
        <v>3</v>
      </c>
      <c r="C18">
        <v>0</v>
      </c>
      <c r="E18">
        <v>0</v>
      </c>
      <c r="F18">
        <v>0</v>
      </c>
      <c r="H18" s="3">
        <v>360</v>
      </c>
      <c r="I18" s="3">
        <v>3</v>
      </c>
      <c r="J18">
        <v>0</v>
      </c>
      <c r="K18">
        <v>0</v>
      </c>
      <c r="L18">
        <v>0</v>
      </c>
      <c r="M18">
        <v>0</v>
      </c>
      <c r="O18" s="3">
        <v>360</v>
      </c>
      <c r="P18" s="3">
        <v>3</v>
      </c>
      <c r="Q18">
        <v>19.428999999999998</v>
      </c>
      <c r="R18">
        <v>0</v>
      </c>
      <c r="S18">
        <v>3.8580000000000001</v>
      </c>
      <c r="T18">
        <v>2E-3</v>
      </c>
      <c r="V18" s="3">
        <v>360</v>
      </c>
      <c r="W18" s="3">
        <v>3</v>
      </c>
      <c r="X18">
        <v>19.428999999999998</v>
      </c>
      <c r="Y18">
        <v>0</v>
      </c>
      <c r="Z18">
        <v>3.8580000000000001</v>
      </c>
      <c r="AA18">
        <v>2E-3</v>
      </c>
    </row>
    <row r="19" spans="1:27" x14ac:dyDescent="0.25">
      <c r="A19" s="3">
        <v>360</v>
      </c>
      <c r="B19" s="3">
        <v>4</v>
      </c>
      <c r="H19" s="3">
        <v>360</v>
      </c>
      <c r="I19" s="3">
        <v>4</v>
      </c>
      <c r="J19">
        <v>0</v>
      </c>
      <c r="K19">
        <v>0</v>
      </c>
      <c r="L19">
        <v>0</v>
      </c>
      <c r="M19">
        <v>0</v>
      </c>
      <c r="O19" s="3">
        <v>360</v>
      </c>
      <c r="P19" s="3">
        <v>4</v>
      </c>
      <c r="Q19">
        <v>0</v>
      </c>
      <c r="R19">
        <v>0</v>
      </c>
      <c r="S19">
        <v>0</v>
      </c>
      <c r="T19">
        <v>0</v>
      </c>
      <c r="V19" s="3">
        <v>360</v>
      </c>
      <c r="W19" s="3">
        <v>4</v>
      </c>
      <c r="X19">
        <v>0</v>
      </c>
      <c r="Y19">
        <v>0</v>
      </c>
      <c r="Z19">
        <v>0</v>
      </c>
      <c r="AA19">
        <v>0</v>
      </c>
    </row>
    <row r="20" spans="1:27" x14ac:dyDescent="0.25">
      <c r="A20" s="3">
        <v>360</v>
      </c>
      <c r="B20" s="3">
        <v>5</v>
      </c>
      <c r="C20">
        <v>0</v>
      </c>
      <c r="D20">
        <v>0</v>
      </c>
      <c r="E20">
        <v>0</v>
      </c>
      <c r="H20" s="3">
        <v>360</v>
      </c>
      <c r="I20" s="3">
        <v>5</v>
      </c>
      <c r="J20">
        <v>0</v>
      </c>
      <c r="K20">
        <v>0</v>
      </c>
      <c r="L20">
        <v>0</v>
      </c>
      <c r="M20">
        <v>0</v>
      </c>
      <c r="O20" s="3">
        <v>360</v>
      </c>
      <c r="P20" s="3">
        <v>5</v>
      </c>
      <c r="Q20">
        <v>15.555</v>
      </c>
      <c r="R20">
        <v>11.53</v>
      </c>
      <c r="S20">
        <v>3.5049999999999999</v>
      </c>
      <c r="T20">
        <v>0</v>
      </c>
      <c r="V20" s="3">
        <v>360</v>
      </c>
      <c r="W20" s="3">
        <v>5</v>
      </c>
      <c r="X20">
        <v>15.555</v>
      </c>
      <c r="Y20">
        <v>11.53</v>
      </c>
      <c r="Z20">
        <v>3.5049999999999999</v>
      </c>
      <c r="AA20">
        <v>0</v>
      </c>
    </row>
    <row r="21" spans="1:27" x14ac:dyDescent="0.25">
      <c r="A21" s="3">
        <v>360</v>
      </c>
      <c r="B21" s="3">
        <v>6</v>
      </c>
      <c r="D21">
        <v>0</v>
      </c>
      <c r="E21">
        <v>0</v>
      </c>
      <c r="H21" s="3">
        <v>360</v>
      </c>
      <c r="I21" s="3">
        <v>6</v>
      </c>
      <c r="J21">
        <v>0</v>
      </c>
      <c r="K21">
        <v>0</v>
      </c>
      <c r="L21">
        <v>0</v>
      </c>
      <c r="M21">
        <v>0</v>
      </c>
      <c r="O21" s="3">
        <v>360</v>
      </c>
      <c r="P21" s="3">
        <v>6</v>
      </c>
      <c r="Q21">
        <v>0</v>
      </c>
      <c r="R21">
        <v>1.2270000000000001</v>
      </c>
      <c r="S21">
        <v>4.5199999999999996</v>
      </c>
      <c r="T21">
        <v>0</v>
      </c>
      <c r="V21" s="3">
        <v>360</v>
      </c>
      <c r="W21" s="3">
        <v>6</v>
      </c>
      <c r="X21">
        <v>0</v>
      </c>
      <c r="Y21">
        <v>1.2270000000000001</v>
      </c>
      <c r="Z21">
        <v>4.5199999999999996</v>
      </c>
      <c r="AA21">
        <v>0</v>
      </c>
    </row>
    <row r="22" spans="1:27" x14ac:dyDescent="0.25">
      <c r="A22" s="3">
        <v>360</v>
      </c>
      <c r="B22" s="3">
        <v>7</v>
      </c>
      <c r="C22">
        <v>0</v>
      </c>
      <c r="D22">
        <v>0</v>
      </c>
      <c r="E22">
        <v>0</v>
      </c>
      <c r="H22" s="3">
        <v>360</v>
      </c>
      <c r="I22" s="3">
        <v>7</v>
      </c>
      <c r="J22">
        <v>0</v>
      </c>
      <c r="K22">
        <v>0</v>
      </c>
      <c r="L22">
        <v>0</v>
      </c>
      <c r="M22">
        <v>0</v>
      </c>
      <c r="O22" s="3">
        <v>360</v>
      </c>
      <c r="P22" s="3">
        <v>7</v>
      </c>
      <c r="Q22">
        <v>22.571000000000002</v>
      </c>
      <c r="R22">
        <v>3.423</v>
      </c>
      <c r="S22">
        <v>3.726</v>
      </c>
      <c r="T22">
        <v>0</v>
      </c>
      <c r="V22" s="3">
        <v>360</v>
      </c>
      <c r="W22" s="3">
        <v>7</v>
      </c>
      <c r="X22">
        <v>22.571000000000002</v>
      </c>
      <c r="Y22">
        <v>3.423</v>
      </c>
      <c r="Z22">
        <v>3.726</v>
      </c>
      <c r="AA22">
        <v>0</v>
      </c>
    </row>
    <row r="23" spans="1:27" x14ac:dyDescent="0.25">
      <c r="A23" s="3">
        <v>450</v>
      </c>
      <c r="B23" s="3">
        <v>1</v>
      </c>
      <c r="C23">
        <v>0</v>
      </c>
      <c r="E23">
        <v>0</v>
      </c>
      <c r="F23">
        <v>0</v>
      </c>
      <c r="H23" s="3">
        <v>450</v>
      </c>
      <c r="I23" s="3">
        <v>1</v>
      </c>
      <c r="J23">
        <v>0</v>
      </c>
      <c r="K23">
        <v>0</v>
      </c>
      <c r="L23">
        <v>0</v>
      </c>
      <c r="M23">
        <v>0</v>
      </c>
      <c r="O23" s="3">
        <v>450</v>
      </c>
      <c r="P23" s="3">
        <v>1</v>
      </c>
      <c r="Q23">
        <v>27.161999999999999</v>
      </c>
      <c r="R23">
        <v>0</v>
      </c>
      <c r="S23">
        <v>3.8980000000000001</v>
      </c>
      <c r="T23">
        <v>1.274</v>
      </c>
      <c r="V23" s="3">
        <v>450</v>
      </c>
      <c r="W23" s="3">
        <v>1</v>
      </c>
      <c r="X23">
        <v>27.161999999999999</v>
      </c>
      <c r="Y23">
        <v>0</v>
      </c>
      <c r="Z23">
        <v>3.8980000000000001</v>
      </c>
      <c r="AA23">
        <v>1.274</v>
      </c>
    </row>
    <row r="24" spans="1:27" x14ac:dyDescent="0.25">
      <c r="A24" s="3">
        <v>450</v>
      </c>
      <c r="B24" s="3">
        <v>2</v>
      </c>
      <c r="C24">
        <v>0</v>
      </c>
      <c r="E24">
        <v>0</v>
      </c>
      <c r="F24">
        <v>0</v>
      </c>
      <c r="H24" s="3">
        <v>450</v>
      </c>
      <c r="I24" s="3">
        <v>2</v>
      </c>
      <c r="J24">
        <v>0</v>
      </c>
      <c r="K24">
        <v>0</v>
      </c>
      <c r="L24">
        <v>0</v>
      </c>
      <c r="M24">
        <v>0</v>
      </c>
      <c r="O24" s="3">
        <v>450</v>
      </c>
      <c r="P24" s="3">
        <v>2</v>
      </c>
      <c r="Q24">
        <v>1.0549999999999999</v>
      </c>
      <c r="R24">
        <v>0</v>
      </c>
      <c r="S24">
        <v>4.6980000000000004</v>
      </c>
      <c r="T24">
        <v>5.9390000000000001</v>
      </c>
      <c r="V24" s="3">
        <v>450</v>
      </c>
      <c r="W24" s="3">
        <v>2</v>
      </c>
      <c r="X24">
        <v>1.0549999999999999</v>
      </c>
      <c r="Y24">
        <v>0</v>
      </c>
      <c r="Z24">
        <v>4.6980000000000004</v>
      </c>
      <c r="AA24">
        <v>5.9390000000000001</v>
      </c>
    </row>
    <row r="25" spans="1:27" x14ac:dyDescent="0.25">
      <c r="A25" s="3">
        <v>450</v>
      </c>
      <c r="B25" s="3">
        <v>3</v>
      </c>
      <c r="C25">
        <v>0</v>
      </c>
      <c r="E25">
        <v>0</v>
      </c>
      <c r="F25">
        <v>0</v>
      </c>
      <c r="H25" s="3">
        <v>450</v>
      </c>
      <c r="I25" s="3">
        <v>3</v>
      </c>
      <c r="J25">
        <v>0</v>
      </c>
      <c r="K25">
        <v>0</v>
      </c>
      <c r="L25">
        <v>0</v>
      </c>
      <c r="M25">
        <v>0</v>
      </c>
      <c r="O25" s="3">
        <v>450</v>
      </c>
      <c r="P25" s="3">
        <v>3</v>
      </c>
      <c r="Q25">
        <v>19.43</v>
      </c>
      <c r="R25">
        <v>0</v>
      </c>
      <c r="S25">
        <v>3.8580000000000001</v>
      </c>
      <c r="T25">
        <v>2E-3</v>
      </c>
      <c r="V25" s="3">
        <v>450</v>
      </c>
      <c r="W25" s="3">
        <v>3</v>
      </c>
      <c r="X25">
        <v>19.43</v>
      </c>
      <c r="Y25">
        <v>0</v>
      </c>
      <c r="Z25">
        <v>3.8580000000000001</v>
      </c>
      <c r="AA25">
        <v>2E-3</v>
      </c>
    </row>
    <row r="26" spans="1:27" x14ac:dyDescent="0.25">
      <c r="A26" s="3">
        <v>450</v>
      </c>
      <c r="B26" s="3">
        <v>4</v>
      </c>
      <c r="H26" s="3">
        <v>450</v>
      </c>
      <c r="I26" s="3">
        <v>4</v>
      </c>
      <c r="J26">
        <v>0</v>
      </c>
      <c r="K26">
        <v>0</v>
      </c>
      <c r="L26">
        <v>0</v>
      </c>
      <c r="M26">
        <v>0</v>
      </c>
      <c r="O26" s="3">
        <v>450</v>
      </c>
      <c r="P26" s="3">
        <v>4</v>
      </c>
      <c r="Q26">
        <v>0</v>
      </c>
      <c r="R26">
        <v>0</v>
      </c>
      <c r="S26">
        <v>0</v>
      </c>
      <c r="T26">
        <v>0</v>
      </c>
      <c r="V26" s="3">
        <v>450</v>
      </c>
      <c r="W26" s="3">
        <v>4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 s="3">
        <v>450</v>
      </c>
      <c r="B27" s="3">
        <v>5</v>
      </c>
      <c r="C27">
        <v>0</v>
      </c>
      <c r="D27">
        <v>0</v>
      </c>
      <c r="E27">
        <v>0</v>
      </c>
      <c r="H27" s="3">
        <v>450</v>
      </c>
      <c r="I27" s="3">
        <v>5</v>
      </c>
      <c r="J27">
        <v>0</v>
      </c>
      <c r="K27">
        <v>0</v>
      </c>
      <c r="L27">
        <v>0</v>
      </c>
      <c r="M27">
        <v>0</v>
      </c>
      <c r="O27" s="3">
        <v>450</v>
      </c>
      <c r="P27" s="3">
        <v>5</v>
      </c>
      <c r="Q27">
        <v>15.683999999999999</v>
      </c>
      <c r="R27">
        <v>11.401999999999999</v>
      </c>
      <c r="S27">
        <v>3.5049999999999999</v>
      </c>
      <c r="T27">
        <v>0</v>
      </c>
      <c r="V27" s="3">
        <v>450</v>
      </c>
      <c r="W27" s="3">
        <v>5</v>
      </c>
      <c r="X27">
        <v>15.683999999999999</v>
      </c>
      <c r="Y27">
        <v>11.401999999999999</v>
      </c>
      <c r="Z27">
        <v>3.5049999999999999</v>
      </c>
      <c r="AA27">
        <v>0</v>
      </c>
    </row>
    <row r="28" spans="1:27" x14ac:dyDescent="0.25">
      <c r="A28" s="3">
        <v>450</v>
      </c>
      <c r="B28" s="3">
        <v>6</v>
      </c>
      <c r="D28">
        <v>0</v>
      </c>
      <c r="E28">
        <v>0</v>
      </c>
      <c r="H28" s="3">
        <v>450</v>
      </c>
      <c r="I28" s="3">
        <v>6</v>
      </c>
      <c r="J28">
        <v>0</v>
      </c>
      <c r="K28">
        <v>0</v>
      </c>
      <c r="L28">
        <v>0</v>
      </c>
      <c r="M28">
        <v>0</v>
      </c>
      <c r="O28" s="3">
        <v>450</v>
      </c>
      <c r="P28" s="3">
        <v>6</v>
      </c>
      <c r="Q28">
        <v>0</v>
      </c>
      <c r="R28">
        <v>1.2270000000000001</v>
      </c>
      <c r="S28">
        <v>4.5199999999999996</v>
      </c>
      <c r="T28">
        <v>0</v>
      </c>
      <c r="V28" s="3">
        <v>450</v>
      </c>
      <c r="W28" s="3">
        <v>6</v>
      </c>
      <c r="X28">
        <v>0</v>
      </c>
      <c r="Y28">
        <v>1.2270000000000001</v>
      </c>
      <c r="Z28">
        <v>4.5199999999999996</v>
      </c>
      <c r="AA28">
        <v>0</v>
      </c>
    </row>
    <row r="29" spans="1:27" x14ac:dyDescent="0.25">
      <c r="A29" s="3">
        <v>450</v>
      </c>
      <c r="B29" s="3">
        <v>7</v>
      </c>
      <c r="C29">
        <v>0</v>
      </c>
      <c r="D29">
        <v>0</v>
      </c>
      <c r="E29">
        <v>0</v>
      </c>
      <c r="H29" s="3">
        <v>450</v>
      </c>
      <c r="I29" s="3">
        <v>7</v>
      </c>
      <c r="J29">
        <v>0</v>
      </c>
      <c r="K29">
        <v>0</v>
      </c>
      <c r="L29">
        <v>0</v>
      </c>
      <c r="M29">
        <v>0</v>
      </c>
      <c r="O29" s="3">
        <v>450</v>
      </c>
      <c r="P29" s="3">
        <v>7</v>
      </c>
      <c r="Q29">
        <v>22.571000000000002</v>
      </c>
      <c r="R29">
        <v>3.423</v>
      </c>
      <c r="S29">
        <v>3.726</v>
      </c>
      <c r="T29">
        <v>0</v>
      </c>
      <c r="V29" s="3">
        <v>450</v>
      </c>
      <c r="W29" s="3">
        <v>7</v>
      </c>
      <c r="X29">
        <v>22.571000000000002</v>
      </c>
      <c r="Y29">
        <v>3.423</v>
      </c>
      <c r="Z29">
        <v>3.726</v>
      </c>
      <c r="AA29">
        <v>0</v>
      </c>
    </row>
    <row r="30" spans="1:27" x14ac:dyDescent="0.25">
      <c r="A30" s="3">
        <v>720</v>
      </c>
      <c r="B30" s="3">
        <v>1</v>
      </c>
      <c r="C30">
        <v>0</v>
      </c>
      <c r="E30">
        <v>0</v>
      </c>
      <c r="F30">
        <v>0</v>
      </c>
      <c r="H30" s="3">
        <v>720</v>
      </c>
      <c r="I30" s="3">
        <v>1</v>
      </c>
      <c r="J30">
        <v>0</v>
      </c>
      <c r="K30">
        <v>0</v>
      </c>
      <c r="L30">
        <v>0</v>
      </c>
      <c r="M30">
        <v>0</v>
      </c>
      <c r="O30" s="3">
        <v>720</v>
      </c>
      <c r="P30" s="3">
        <v>1</v>
      </c>
      <c r="Q30">
        <v>27.161999999999999</v>
      </c>
      <c r="R30">
        <v>0</v>
      </c>
      <c r="S30">
        <v>3.8980000000000001</v>
      </c>
      <c r="T30">
        <v>1.355</v>
      </c>
      <c r="V30" s="3">
        <v>720</v>
      </c>
      <c r="W30" s="3">
        <v>1</v>
      </c>
      <c r="X30">
        <v>27.161999999999999</v>
      </c>
      <c r="Y30">
        <v>0</v>
      </c>
      <c r="Z30">
        <v>3.8980000000000001</v>
      </c>
      <c r="AA30">
        <v>1.355</v>
      </c>
    </row>
    <row r="31" spans="1:27" x14ac:dyDescent="0.25">
      <c r="A31" s="3">
        <v>720</v>
      </c>
      <c r="B31" s="3">
        <v>2</v>
      </c>
      <c r="C31">
        <v>0</v>
      </c>
      <c r="E31">
        <v>0</v>
      </c>
      <c r="F31">
        <v>0</v>
      </c>
      <c r="H31" s="3">
        <v>720</v>
      </c>
      <c r="I31" s="3">
        <v>2</v>
      </c>
      <c r="J31">
        <v>0</v>
      </c>
      <c r="K31">
        <v>0</v>
      </c>
      <c r="L31">
        <v>0</v>
      </c>
      <c r="M31">
        <v>0</v>
      </c>
      <c r="O31" s="3">
        <v>720</v>
      </c>
      <c r="P31" s="3">
        <v>2</v>
      </c>
      <c r="Q31">
        <v>1.0549999999999999</v>
      </c>
      <c r="R31">
        <v>0</v>
      </c>
      <c r="S31">
        <v>4.6980000000000004</v>
      </c>
      <c r="T31">
        <v>5.944</v>
      </c>
      <c r="V31" s="3">
        <v>720</v>
      </c>
      <c r="W31" s="3">
        <v>2</v>
      </c>
      <c r="X31">
        <v>1.0549999999999999</v>
      </c>
      <c r="Y31">
        <v>0</v>
      </c>
      <c r="Z31">
        <v>4.6980000000000004</v>
      </c>
      <c r="AA31">
        <v>5.944</v>
      </c>
    </row>
    <row r="32" spans="1:27" x14ac:dyDescent="0.25">
      <c r="A32" s="3">
        <v>720</v>
      </c>
      <c r="B32" s="3">
        <v>3</v>
      </c>
      <c r="C32">
        <v>0</v>
      </c>
      <c r="E32">
        <v>0</v>
      </c>
      <c r="F32">
        <v>0</v>
      </c>
      <c r="H32" s="3">
        <v>720</v>
      </c>
      <c r="I32" s="3">
        <v>3</v>
      </c>
      <c r="J32">
        <v>0</v>
      </c>
      <c r="K32">
        <v>0</v>
      </c>
      <c r="L32">
        <v>0</v>
      </c>
      <c r="M32">
        <v>0</v>
      </c>
      <c r="O32" s="3">
        <v>720</v>
      </c>
      <c r="P32" s="3">
        <v>3</v>
      </c>
      <c r="Q32">
        <v>19.428999999999998</v>
      </c>
      <c r="R32">
        <v>0</v>
      </c>
      <c r="S32">
        <v>3.8580000000000001</v>
      </c>
      <c r="T32">
        <v>2E-3</v>
      </c>
      <c r="V32" s="3">
        <v>720</v>
      </c>
      <c r="W32" s="3">
        <v>3</v>
      </c>
      <c r="X32">
        <v>19.428999999999998</v>
      </c>
      <c r="Y32">
        <v>0</v>
      </c>
      <c r="Z32">
        <v>3.8580000000000001</v>
      </c>
      <c r="AA32">
        <v>2E-3</v>
      </c>
    </row>
    <row r="33" spans="1:27" x14ac:dyDescent="0.25">
      <c r="A33" s="3">
        <v>720</v>
      </c>
      <c r="B33" s="3">
        <v>4</v>
      </c>
      <c r="H33" s="3">
        <v>720</v>
      </c>
      <c r="I33" s="3">
        <v>4</v>
      </c>
      <c r="J33">
        <v>0</v>
      </c>
      <c r="K33">
        <v>0</v>
      </c>
      <c r="L33">
        <v>0</v>
      </c>
      <c r="M33">
        <v>0</v>
      </c>
      <c r="O33" s="3">
        <v>720</v>
      </c>
      <c r="P33" s="3">
        <v>4</v>
      </c>
      <c r="Q33">
        <v>0</v>
      </c>
      <c r="R33">
        <v>0</v>
      </c>
      <c r="S33">
        <v>0</v>
      </c>
      <c r="T33">
        <v>0</v>
      </c>
      <c r="V33" s="3">
        <v>720</v>
      </c>
      <c r="W33" s="3">
        <v>4</v>
      </c>
      <c r="X33">
        <v>0</v>
      </c>
      <c r="Y33">
        <v>0</v>
      </c>
      <c r="Z33">
        <v>0</v>
      </c>
      <c r="AA33">
        <v>0</v>
      </c>
    </row>
    <row r="34" spans="1:27" x14ac:dyDescent="0.25">
      <c r="A34" s="3">
        <v>720</v>
      </c>
      <c r="B34" s="3">
        <v>5</v>
      </c>
      <c r="C34">
        <v>0</v>
      </c>
      <c r="D34">
        <v>0</v>
      </c>
      <c r="E34">
        <v>0</v>
      </c>
      <c r="H34" s="3">
        <v>720</v>
      </c>
      <c r="I34" s="3">
        <v>5</v>
      </c>
      <c r="J34">
        <v>0</v>
      </c>
      <c r="K34">
        <v>0</v>
      </c>
      <c r="L34">
        <v>0</v>
      </c>
      <c r="M34">
        <v>0</v>
      </c>
      <c r="O34" s="3">
        <v>720</v>
      </c>
      <c r="P34" s="3">
        <v>5</v>
      </c>
      <c r="Q34">
        <v>15.555</v>
      </c>
      <c r="R34">
        <v>11.53</v>
      </c>
      <c r="S34">
        <v>3.5049999999999999</v>
      </c>
      <c r="T34">
        <v>0</v>
      </c>
      <c r="V34" s="3">
        <v>720</v>
      </c>
      <c r="W34" s="3">
        <v>5</v>
      </c>
      <c r="X34">
        <v>15.555</v>
      </c>
      <c r="Y34">
        <v>11.53</v>
      </c>
      <c r="Z34">
        <v>3.5049999999999999</v>
      </c>
      <c r="AA34">
        <v>0</v>
      </c>
    </row>
    <row r="35" spans="1:27" x14ac:dyDescent="0.25">
      <c r="A35" s="3">
        <v>720</v>
      </c>
      <c r="B35" s="3">
        <v>6</v>
      </c>
      <c r="D35">
        <v>0</v>
      </c>
      <c r="E35">
        <v>0</v>
      </c>
      <c r="H35" s="3">
        <v>720</v>
      </c>
      <c r="I35" s="3">
        <v>6</v>
      </c>
      <c r="J35">
        <v>0</v>
      </c>
      <c r="K35">
        <v>0</v>
      </c>
      <c r="L35">
        <v>0</v>
      </c>
      <c r="M35">
        <v>0</v>
      </c>
      <c r="O35" s="3">
        <v>720</v>
      </c>
      <c r="P35" s="3">
        <v>6</v>
      </c>
      <c r="Q35">
        <v>0</v>
      </c>
      <c r="R35">
        <v>1.2270000000000001</v>
      </c>
      <c r="S35">
        <v>4.5199999999999996</v>
      </c>
      <c r="T35">
        <v>0</v>
      </c>
      <c r="V35" s="3">
        <v>720</v>
      </c>
      <c r="W35" s="3">
        <v>6</v>
      </c>
      <c r="X35">
        <v>0</v>
      </c>
      <c r="Y35">
        <v>1.2270000000000001</v>
      </c>
      <c r="Z35">
        <v>4.5199999999999996</v>
      </c>
      <c r="AA35">
        <v>0</v>
      </c>
    </row>
    <row r="36" spans="1:27" x14ac:dyDescent="0.25">
      <c r="A36" s="3">
        <v>720</v>
      </c>
      <c r="B36" s="3">
        <v>7</v>
      </c>
      <c r="C36">
        <v>0</v>
      </c>
      <c r="D36">
        <v>0</v>
      </c>
      <c r="E36">
        <v>0</v>
      </c>
      <c r="H36" s="3">
        <v>720</v>
      </c>
      <c r="I36" s="3">
        <v>7</v>
      </c>
      <c r="J36">
        <v>0</v>
      </c>
      <c r="K36">
        <v>0</v>
      </c>
      <c r="L36">
        <v>0</v>
      </c>
      <c r="M36">
        <v>0</v>
      </c>
      <c r="O36" s="3">
        <v>720</v>
      </c>
      <c r="P36" s="3">
        <v>7</v>
      </c>
      <c r="Q36">
        <v>22.571999999999999</v>
      </c>
      <c r="R36">
        <v>3.3940000000000001</v>
      </c>
      <c r="S36">
        <v>3.726</v>
      </c>
      <c r="T36">
        <v>0</v>
      </c>
      <c r="V36" s="3">
        <v>720</v>
      </c>
      <c r="W36" s="3">
        <v>7</v>
      </c>
      <c r="X36">
        <v>22.571999999999999</v>
      </c>
      <c r="Y36">
        <v>3.3940000000000001</v>
      </c>
      <c r="Z36">
        <v>3.726</v>
      </c>
      <c r="AA36">
        <v>0</v>
      </c>
    </row>
    <row r="37" spans="1:27" x14ac:dyDescent="0.25">
      <c r="A37" s="3">
        <v>990</v>
      </c>
      <c r="B37" s="3">
        <v>1</v>
      </c>
      <c r="C37">
        <v>0</v>
      </c>
      <c r="E37">
        <v>0</v>
      </c>
      <c r="F37">
        <v>0</v>
      </c>
      <c r="H37" s="3">
        <v>990</v>
      </c>
      <c r="I37" s="3">
        <v>1</v>
      </c>
      <c r="J37">
        <v>0</v>
      </c>
      <c r="K37">
        <v>0</v>
      </c>
      <c r="L37">
        <v>0</v>
      </c>
      <c r="M37">
        <v>0</v>
      </c>
      <c r="O37" s="3">
        <v>990</v>
      </c>
      <c r="P37" s="3">
        <v>1</v>
      </c>
      <c r="Q37">
        <v>27.161999999999999</v>
      </c>
      <c r="R37">
        <v>0</v>
      </c>
      <c r="S37">
        <v>3.8980000000000001</v>
      </c>
      <c r="T37">
        <v>1.355</v>
      </c>
      <c r="V37" s="3">
        <v>990</v>
      </c>
      <c r="W37" s="3">
        <v>1</v>
      </c>
      <c r="X37">
        <v>27.161999999999999</v>
      </c>
      <c r="Y37">
        <v>0</v>
      </c>
      <c r="Z37">
        <v>3.8980000000000001</v>
      </c>
      <c r="AA37">
        <v>1.355</v>
      </c>
    </row>
    <row r="38" spans="1:27" x14ac:dyDescent="0.25">
      <c r="A38" s="3">
        <v>990</v>
      </c>
      <c r="B38" s="3">
        <v>2</v>
      </c>
      <c r="C38">
        <v>0</v>
      </c>
      <c r="E38">
        <v>0</v>
      </c>
      <c r="F38">
        <v>0</v>
      </c>
      <c r="H38" s="3">
        <v>990</v>
      </c>
      <c r="I38" s="3">
        <v>2</v>
      </c>
      <c r="J38">
        <v>0</v>
      </c>
      <c r="K38">
        <v>0</v>
      </c>
      <c r="L38">
        <v>0</v>
      </c>
      <c r="M38">
        <v>0</v>
      </c>
      <c r="O38" s="3">
        <v>990</v>
      </c>
      <c r="P38" s="3">
        <v>2</v>
      </c>
      <c r="Q38">
        <v>1.0549999999999999</v>
      </c>
      <c r="R38">
        <v>0</v>
      </c>
      <c r="S38">
        <v>4.6980000000000004</v>
      </c>
      <c r="T38">
        <v>5.944</v>
      </c>
      <c r="V38" s="3">
        <v>990</v>
      </c>
      <c r="W38" s="3">
        <v>2</v>
      </c>
      <c r="X38">
        <v>1.0549999999999999</v>
      </c>
      <c r="Y38">
        <v>0</v>
      </c>
      <c r="Z38">
        <v>4.6980000000000004</v>
      </c>
      <c r="AA38">
        <v>5.944</v>
      </c>
    </row>
    <row r="39" spans="1:27" x14ac:dyDescent="0.25">
      <c r="A39" s="3">
        <v>990</v>
      </c>
      <c r="B39" s="3">
        <v>3</v>
      </c>
      <c r="C39">
        <v>0</v>
      </c>
      <c r="E39">
        <v>0</v>
      </c>
      <c r="F39">
        <v>0</v>
      </c>
      <c r="H39" s="3">
        <v>990</v>
      </c>
      <c r="I39" s="3">
        <v>3</v>
      </c>
      <c r="J39">
        <v>0</v>
      </c>
      <c r="K39">
        <v>0</v>
      </c>
      <c r="L39">
        <v>0</v>
      </c>
      <c r="M39">
        <v>0</v>
      </c>
      <c r="O39" s="3">
        <v>990</v>
      </c>
      <c r="P39" s="3">
        <v>3</v>
      </c>
      <c r="Q39">
        <v>19.428999999999998</v>
      </c>
      <c r="R39">
        <v>0</v>
      </c>
      <c r="S39">
        <v>3.8580000000000001</v>
      </c>
      <c r="T39">
        <v>2E-3</v>
      </c>
      <c r="V39" s="3">
        <v>990</v>
      </c>
      <c r="W39" s="3">
        <v>3</v>
      </c>
      <c r="X39">
        <v>19.428999999999998</v>
      </c>
      <c r="Y39">
        <v>0</v>
      </c>
      <c r="Z39">
        <v>3.8580000000000001</v>
      </c>
      <c r="AA39">
        <v>2E-3</v>
      </c>
    </row>
    <row r="40" spans="1:27" x14ac:dyDescent="0.25">
      <c r="A40" s="3">
        <v>990</v>
      </c>
      <c r="B40" s="3">
        <v>4</v>
      </c>
      <c r="H40" s="3">
        <v>990</v>
      </c>
      <c r="I40" s="3">
        <v>4</v>
      </c>
      <c r="J40">
        <v>0</v>
      </c>
      <c r="K40">
        <v>0</v>
      </c>
      <c r="L40">
        <v>0</v>
      </c>
      <c r="M40">
        <v>0</v>
      </c>
      <c r="O40" s="3">
        <v>990</v>
      </c>
      <c r="P40" s="3">
        <v>4</v>
      </c>
      <c r="Q40">
        <v>0</v>
      </c>
      <c r="R40">
        <v>0</v>
      </c>
      <c r="S40">
        <v>0</v>
      </c>
      <c r="T40">
        <v>0</v>
      </c>
      <c r="V40" s="3">
        <v>990</v>
      </c>
      <c r="W40" s="3">
        <v>4</v>
      </c>
      <c r="X40">
        <v>0</v>
      </c>
      <c r="Y40">
        <v>0</v>
      </c>
      <c r="Z40">
        <v>0</v>
      </c>
      <c r="AA40">
        <v>0</v>
      </c>
    </row>
    <row r="41" spans="1:27" x14ac:dyDescent="0.25">
      <c r="A41" s="3">
        <v>990</v>
      </c>
      <c r="B41" s="3">
        <v>5</v>
      </c>
      <c r="C41">
        <v>0</v>
      </c>
      <c r="D41">
        <v>0</v>
      </c>
      <c r="E41">
        <v>0</v>
      </c>
      <c r="H41" s="3">
        <v>990</v>
      </c>
      <c r="I41" s="3">
        <v>5</v>
      </c>
      <c r="J41">
        <v>0</v>
      </c>
      <c r="K41">
        <v>0</v>
      </c>
      <c r="L41">
        <v>0</v>
      </c>
      <c r="M41">
        <v>0</v>
      </c>
      <c r="O41" s="3">
        <v>990</v>
      </c>
      <c r="P41" s="3">
        <v>5</v>
      </c>
      <c r="Q41">
        <v>15.683</v>
      </c>
      <c r="R41">
        <v>11.401999999999999</v>
      </c>
      <c r="S41">
        <v>3.5049999999999999</v>
      </c>
      <c r="T41">
        <v>0</v>
      </c>
      <c r="V41" s="3">
        <v>990</v>
      </c>
      <c r="W41" s="3">
        <v>5</v>
      </c>
      <c r="X41">
        <v>15.683</v>
      </c>
      <c r="Y41">
        <v>11.401999999999999</v>
      </c>
      <c r="Z41">
        <v>3.5049999999999999</v>
      </c>
      <c r="AA41">
        <v>0</v>
      </c>
    </row>
    <row r="42" spans="1:27" x14ac:dyDescent="0.25">
      <c r="A42" s="3">
        <v>990</v>
      </c>
      <c r="B42" s="3">
        <v>6</v>
      </c>
      <c r="D42">
        <v>0</v>
      </c>
      <c r="E42">
        <v>0</v>
      </c>
      <c r="H42" s="3">
        <v>990</v>
      </c>
      <c r="I42" s="3">
        <v>6</v>
      </c>
      <c r="J42">
        <v>0</v>
      </c>
      <c r="K42">
        <v>0</v>
      </c>
      <c r="L42">
        <v>0</v>
      </c>
      <c r="M42">
        <v>0</v>
      </c>
      <c r="O42" s="3">
        <v>990</v>
      </c>
      <c r="P42" s="3">
        <v>6</v>
      </c>
      <c r="Q42">
        <v>0</v>
      </c>
      <c r="R42">
        <v>1.2270000000000001</v>
      </c>
      <c r="S42">
        <v>4.5199999999999996</v>
      </c>
      <c r="T42">
        <v>0</v>
      </c>
      <c r="V42" s="3">
        <v>990</v>
      </c>
      <c r="W42" s="3">
        <v>6</v>
      </c>
      <c r="X42">
        <v>0</v>
      </c>
      <c r="Y42">
        <v>1.2270000000000001</v>
      </c>
      <c r="Z42">
        <v>4.5199999999999996</v>
      </c>
      <c r="AA42">
        <v>0</v>
      </c>
    </row>
    <row r="43" spans="1:27" x14ac:dyDescent="0.25">
      <c r="A43" s="3">
        <v>990</v>
      </c>
      <c r="B43" s="3">
        <v>7</v>
      </c>
      <c r="C43">
        <v>0</v>
      </c>
      <c r="D43">
        <v>0</v>
      </c>
      <c r="E43">
        <v>0</v>
      </c>
      <c r="H43" s="3">
        <v>990</v>
      </c>
      <c r="I43" s="3">
        <v>7</v>
      </c>
      <c r="J43">
        <v>0</v>
      </c>
      <c r="K43">
        <v>0</v>
      </c>
      <c r="L43">
        <v>0</v>
      </c>
      <c r="M43">
        <v>0</v>
      </c>
      <c r="O43" s="3">
        <v>990</v>
      </c>
      <c r="P43" s="3">
        <v>7</v>
      </c>
      <c r="Q43">
        <v>22.571999999999999</v>
      </c>
      <c r="R43">
        <v>3.4239999999999999</v>
      </c>
      <c r="S43">
        <v>3.726</v>
      </c>
      <c r="T43">
        <v>0</v>
      </c>
      <c r="V43" s="3">
        <v>990</v>
      </c>
      <c r="W43" s="3">
        <v>7</v>
      </c>
      <c r="X43">
        <v>22.571999999999999</v>
      </c>
      <c r="Y43">
        <v>3.4239999999999999</v>
      </c>
      <c r="Z43">
        <v>3.726</v>
      </c>
      <c r="AA43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Q87"/>
  <sheetViews>
    <sheetView workbookViewId="0"/>
  </sheetViews>
  <sheetFormatPr defaultRowHeight="15" x14ac:dyDescent="0.25"/>
  <sheetData>
    <row r="1" spans="1:43" x14ac:dyDescent="0.25">
      <c r="A1" s="1" t="s">
        <v>91</v>
      </c>
    </row>
    <row r="2" spans="1:43" x14ac:dyDescent="0.25">
      <c r="A2" s="2" t="s">
        <v>1</v>
      </c>
    </row>
    <row r="3" spans="1:43" x14ac:dyDescent="0.25">
      <c r="C3" t="s">
        <v>2</v>
      </c>
      <c r="L3" t="s">
        <v>3</v>
      </c>
    </row>
    <row r="4" spans="1:43" x14ac:dyDescent="0.25">
      <c r="E4" s="3" t="s">
        <v>92</v>
      </c>
      <c r="F4" s="3" t="s">
        <v>93</v>
      </c>
      <c r="G4" s="3" t="s">
        <v>94</v>
      </c>
      <c r="H4" s="3" t="s">
        <v>95</v>
      </c>
      <c r="I4" s="3" t="s">
        <v>96</v>
      </c>
      <c r="J4" s="3" t="s">
        <v>97</v>
      </c>
      <c r="P4" s="3" t="s">
        <v>92</v>
      </c>
      <c r="Q4" s="3" t="s">
        <v>93</v>
      </c>
      <c r="R4" s="3" t="s">
        <v>94</v>
      </c>
      <c r="S4" s="3" t="s">
        <v>95</v>
      </c>
      <c r="T4" s="3" t="s">
        <v>96</v>
      </c>
      <c r="U4" s="3" t="s">
        <v>97</v>
      </c>
    </row>
    <row r="5" spans="1:43" x14ac:dyDescent="0.25">
      <c r="D5" s="3" t="s">
        <v>6</v>
      </c>
      <c r="E5">
        <v>72</v>
      </c>
      <c r="F5">
        <v>72</v>
      </c>
      <c r="G5">
        <v>72</v>
      </c>
      <c r="H5">
        <v>72</v>
      </c>
      <c r="I5">
        <v>72</v>
      </c>
      <c r="J5">
        <v>72</v>
      </c>
      <c r="O5" s="3" t="s">
        <v>6</v>
      </c>
      <c r="P5">
        <v>72</v>
      </c>
      <c r="Q5">
        <v>72</v>
      </c>
      <c r="R5">
        <v>72</v>
      </c>
      <c r="S5">
        <v>72</v>
      </c>
      <c r="T5">
        <v>72</v>
      </c>
      <c r="U5">
        <v>72</v>
      </c>
    </row>
    <row r="6" spans="1:43" x14ac:dyDescent="0.25">
      <c r="D6" s="3" t="s">
        <v>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O6" s="3" t="s">
        <v>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43" x14ac:dyDescent="0.25">
      <c r="D7" s="3" t="s">
        <v>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O7" s="3" t="s">
        <v>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43" x14ac:dyDescent="0.25">
      <c r="D8" s="3" t="s">
        <v>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O8" s="3" t="s">
        <v>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43" x14ac:dyDescent="0.25">
      <c r="D9" s="3" t="s">
        <v>10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O9" s="3" t="s">
        <v>10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43" x14ac:dyDescent="0.25">
      <c r="D10" s="3" t="s">
        <v>11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O10" s="3" t="s">
        <v>11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43" x14ac:dyDescent="0.25">
      <c r="D11" s="3" t="s">
        <v>12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O11" s="3" t="s">
        <v>12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43" x14ac:dyDescent="0.25">
      <c r="D12" s="3" t="s">
        <v>13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O12" s="3" t="s">
        <v>13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43" x14ac:dyDescent="0.25">
      <c r="A13" s="2" t="s">
        <v>14</v>
      </c>
    </row>
    <row r="14" spans="1:43" x14ac:dyDescent="0.25">
      <c r="A14" t="s">
        <v>2</v>
      </c>
      <c r="L14" t="s">
        <v>3</v>
      </c>
      <c r="W14" t="s">
        <v>15</v>
      </c>
      <c r="AH14" t="s">
        <v>16</v>
      </c>
    </row>
    <row r="15" spans="1:43" x14ac:dyDescent="0.25">
      <c r="A15" s="3" t="s">
        <v>17</v>
      </c>
      <c r="B15" s="3" t="s">
        <v>98</v>
      </c>
      <c r="C15" s="3" t="s">
        <v>18</v>
      </c>
      <c r="D15" s="3" t="s">
        <v>24</v>
      </c>
      <c r="E15" s="3" t="s">
        <v>92</v>
      </c>
      <c r="F15" s="3" t="s">
        <v>93</v>
      </c>
      <c r="G15" s="3" t="s">
        <v>94</v>
      </c>
      <c r="H15" s="3" t="s">
        <v>95</v>
      </c>
      <c r="I15" s="3" t="s">
        <v>96</v>
      </c>
      <c r="J15" s="3" t="s">
        <v>97</v>
      </c>
      <c r="L15" s="3" t="s">
        <v>17</v>
      </c>
      <c r="M15" s="3" t="s">
        <v>98</v>
      </c>
      <c r="N15" s="3" t="s">
        <v>18</v>
      </c>
      <c r="O15" s="3" t="s">
        <v>24</v>
      </c>
      <c r="P15" s="3" t="s">
        <v>92</v>
      </c>
      <c r="Q15" s="3" t="s">
        <v>93</v>
      </c>
      <c r="R15" s="3" t="s">
        <v>94</v>
      </c>
      <c r="S15" s="3" t="s">
        <v>95</v>
      </c>
      <c r="T15" s="3" t="s">
        <v>96</v>
      </c>
      <c r="U15" s="3" t="s">
        <v>97</v>
      </c>
      <c r="W15" s="3" t="s">
        <v>17</v>
      </c>
      <c r="X15" s="3" t="s">
        <v>98</v>
      </c>
      <c r="Y15" s="3" t="s">
        <v>18</v>
      </c>
      <c r="Z15" s="3" t="s">
        <v>24</v>
      </c>
      <c r="AA15" s="3" t="s">
        <v>92</v>
      </c>
      <c r="AB15" s="3" t="s">
        <v>93</v>
      </c>
      <c r="AC15" s="3" t="s">
        <v>94</v>
      </c>
      <c r="AD15" s="3" t="s">
        <v>95</v>
      </c>
      <c r="AE15" s="3" t="s">
        <v>96</v>
      </c>
      <c r="AF15" s="3" t="s">
        <v>97</v>
      </c>
      <c r="AH15" s="3" t="s">
        <v>17</v>
      </c>
      <c r="AI15" s="3" t="s">
        <v>98</v>
      </c>
      <c r="AJ15" s="3" t="s">
        <v>18</v>
      </c>
      <c r="AK15" s="3" t="s">
        <v>24</v>
      </c>
      <c r="AL15" s="3" t="s">
        <v>92</v>
      </c>
      <c r="AM15" s="3" t="s">
        <v>93</v>
      </c>
      <c r="AN15" s="3" t="s">
        <v>94</v>
      </c>
      <c r="AO15" s="3" t="s">
        <v>95</v>
      </c>
      <c r="AP15" s="3" t="s">
        <v>96</v>
      </c>
      <c r="AQ15" s="3" t="s">
        <v>97</v>
      </c>
    </row>
    <row r="16" spans="1:43" x14ac:dyDescent="0.25">
      <c r="A16" s="3">
        <v>450</v>
      </c>
      <c r="B16" s="3">
        <v>1</v>
      </c>
      <c r="C16" s="3">
        <v>1</v>
      </c>
      <c r="D16" s="3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L16" s="3">
        <v>450</v>
      </c>
      <c r="M16" s="3">
        <v>1</v>
      </c>
      <c r="N16" s="3">
        <v>1</v>
      </c>
      <c r="O16" s="3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W16" s="3">
        <v>450</v>
      </c>
      <c r="X16" s="3">
        <v>1</v>
      </c>
      <c r="Y16" s="3">
        <v>1</v>
      </c>
      <c r="Z16" s="3">
        <v>1</v>
      </c>
      <c r="AA16">
        <v>76.5</v>
      </c>
      <c r="AB16">
        <v>79.8</v>
      </c>
      <c r="AC16">
        <v>80.099999999999994</v>
      </c>
      <c r="AD16">
        <v>89.7</v>
      </c>
      <c r="AE16">
        <v>1.3650000000000001E-2</v>
      </c>
      <c r="AF16">
        <v>2.018E-2</v>
      </c>
      <c r="AH16" s="3">
        <v>450</v>
      </c>
      <c r="AI16" s="3">
        <v>1</v>
      </c>
      <c r="AJ16" s="3">
        <v>1</v>
      </c>
      <c r="AK16" s="3">
        <v>1</v>
      </c>
      <c r="AL16">
        <v>76.5</v>
      </c>
      <c r="AM16">
        <v>79.8</v>
      </c>
      <c r="AN16">
        <v>80.099999999999994</v>
      </c>
      <c r="AO16">
        <v>89.7</v>
      </c>
      <c r="AP16">
        <v>1.3650000000000001E-2</v>
      </c>
      <c r="AQ16">
        <v>2.018E-2</v>
      </c>
    </row>
    <row r="17" spans="1:43" x14ac:dyDescent="0.25">
      <c r="A17" s="3">
        <v>450</v>
      </c>
      <c r="B17" s="3">
        <v>1</v>
      </c>
      <c r="C17" s="3">
        <v>2</v>
      </c>
      <c r="D17" s="3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L17" s="3">
        <v>450</v>
      </c>
      <c r="M17" s="3">
        <v>1</v>
      </c>
      <c r="N17" s="3">
        <v>2</v>
      </c>
      <c r="O17" s="3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W17" s="3">
        <v>450</v>
      </c>
      <c r="X17" s="3">
        <v>1</v>
      </c>
      <c r="Y17" s="3">
        <v>2</v>
      </c>
      <c r="Z17" s="3">
        <v>1</v>
      </c>
      <c r="AA17">
        <v>76.599999999999994</v>
      </c>
      <c r="AB17">
        <v>80</v>
      </c>
      <c r="AC17">
        <v>80.099999999999994</v>
      </c>
      <c r="AD17">
        <v>89.2</v>
      </c>
      <c r="AE17">
        <v>1.366E-2</v>
      </c>
      <c r="AF17">
        <v>2.019E-2</v>
      </c>
      <c r="AH17" s="3">
        <v>450</v>
      </c>
      <c r="AI17" s="3">
        <v>1</v>
      </c>
      <c r="AJ17" s="3">
        <v>2</v>
      </c>
      <c r="AK17" s="3">
        <v>1</v>
      </c>
      <c r="AL17">
        <v>76.599999999999994</v>
      </c>
      <c r="AM17">
        <v>80</v>
      </c>
      <c r="AN17">
        <v>80.099999999999994</v>
      </c>
      <c r="AO17">
        <v>89.2</v>
      </c>
      <c r="AP17">
        <v>1.366E-2</v>
      </c>
      <c r="AQ17">
        <v>2.019E-2</v>
      </c>
    </row>
    <row r="18" spans="1:43" x14ac:dyDescent="0.25">
      <c r="A18" s="3">
        <v>450</v>
      </c>
      <c r="B18" s="3">
        <v>1</v>
      </c>
      <c r="C18" s="3">
        <v>3</v>
      </c>
      <c r="D18" s="3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L18" s="3">
        <v>450</v>
      </c>
      <c r="M18" s="3">
        <v>1</v>
      </c>
      <c r="N18" s="3">
        <v>3</v>
      </c>
      <c r="O18" s="3">
        <v>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W18" s="3">
        <v>450</v>
      </c>
      <c r="X18" s="3">
        <v>1</v>
      </c>
      <c r="Y18" s="3">
        <v>3</v>
      </c>
      <c r="Z18" s="3">
        <v>1</v>
      </c>
      <c r="AA18">
        <v>76.900000000000006</v>
      </c>
      <c r="AB18">
        <v>80.099999999999994</v>
      </c>
      <c r="AC18">
        <v>80.2</v>
      </c>
      <c r="AD18">
        <v>88.6</v>
      </c>
      <c r="AE18">
        <v>1.3679999999999999E-2</v>
      </c>
      <c r="AF18">
        <v>2.0209999999999999E-2</v>
      </c>
      <c r="AH18" s="3">
        <v>450</v>
      </c>
      <c r="AI18" s="3">
        <v>1</v>
      </c>
      <c r="AJ18" s="3">
        <v>3</v>
      </c>
      <c r="AK18" s="3">
        <v>1</v>
      </c>
      <c r="AL18">
        <v>76.900000000000006</v>
      </c>
      <c r="AM18">
        <v>80.099999999999994</v>
      </c>
      <c r="AN18">
        <v>80.2</v>
      </c>
      <c r="AO18">
        <v>88.6</v>
      </c>
      <c r="AP18">
        <v>1.3679999999999999E-2</v>
      </c>
      <c r="AQ18">
        <v>2.0209999999999999E-2</v>
      </c>
    </row>
    <row r="19" spans="1:43" x14ac:dyDescent="0.25">
      <c r="A19" s="3">
        <v>450</v>
      </c>
      <c r="B19" s="3">
        <v>1</v>
      </c>
      <c r="C19" s="3">
        <v>3</v>
      </c>
      <c r="D19" s="3">
        <v>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L19" s="3">
        <v>450</v>
      </c>
      <c r="M19" s="3">
        <v>1</v>
      </c>
      <c r="N19" s="3">
        <v>3</v>
      </c>
      <c r="O19" s="3">
        <v>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W19" s="3">
        <v>450</v>
      </c>
      <c r="X19" s="3">
        <v>1</v>
      </c>
      <c r="Y19" s="3">
        <v>3</v>
      </c>
      <c r="Z19" s="3">
        <v>2</v>
      </c>
      <c r="AA19">
        <v>77.3</v>
      </c>
      <c r="AB19">
        <v>80.2</v>
      </c>
      <c r="AC19">
        <v>80.5</v>
      </c>
      <c r="AD19">
        <v>88.3</v>
      </c>
      <c r="AE19">
        <v>1.371E-2</v>
      </c>
      <c r="AF19">
        <v>2.0240000000000001E-2</v>
      </c>
      <c r="AH19" s="3">
        <v>450</v>
      </c>
      <c r="AI19" s="3">
        <v>1</v>
      </c>
      <c r="AJ19" s="3">
        <v>3</v>
      </c>
      <c r="AK19" s="3">
        <v>2</v>
      </c>
      <c r="AL19">
        <v>77.3</v>
      </c>
      <c r="AM19">
        <v>80.2</v>
      </c>
      <c r="AN19">
        <v>80.5</v>
      </c>
      <c r="AO19">
        <v>88.3</v>
      </c>
      <c r="AP19">
        <v>1.371E-2</v>
      </c>
      <c r="AQ19">
        <v>2.0240000000000001E-2</v>
      </c>
    </row>
    <row r="20" spans="1:43" x14ac:dyDescent="0.25">
      <c r="A20" s="3">
        <v>450</v>
      </c>
      <c r="B20" s="3">
        <v>1</v>
      </c>
      <c r="C20" s="3">
        <v>4</v>
      </c>
      <c r="D20" s="3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L20" s="3">
        <v>450</v>
      </c>
      <c r="M20" s="3">
        <v>1</v>
      </c>
      <c r="N20" s="3">
        <v>4</v>
      </c>
      <c r="O20" s="3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W20" s="3">
        <v>450</v>
      </c>
      <c r="X20" s="3">
        <v>1</v>
      </c>
      <c r="Y20" s="3">
        <v>4</v>
      </c>
      <c r="Z20" s="3">
        <v>1</v>
      </c>
      <c r="AA20">
        <v>78.2</v>
      </c>
      <c r="AB20">
        <v>80.599999999999994</v>
      </c>
      <c r="AC20">
        <v>80.099999999999994</v>
      </c>
      <c r="AD20">
        <v>84.4</v>
      </c>
      <c r="AE20">
        <v>1.2460000000000001E-2</v>
      </c>
      <c r="AF20">
        <v>1.685E-2</v>
      </c>
      <c r="AH20" s="3">
        <v>450</v>
      </c>
      <c r="AI20" s="3">
        <v>1</v>
      </c>
      <c r="AJ20" s="3">
        <v>4</v>
      </c>
      <c r="AK20" s="3">
        <v>1</v>
      </c>
      <c r="AL20">
        <v>78.2</v>
      </c>
      <c r="AM20">
        <v>80.599999999999994</v>
      </c>
      <c r="AN20">
        <v>80.099999999999994</v>
      </c>
      <c r="AO20">
        <v>84.4</v>
      </c>
      <c r="AP20">
        <v>1.2460000000000001E-2</v>
      </c>
      <c r="AQ20">
        <v>1.685E-2</v>
      </c>
    </row>
    <row r="21" spans="1:43" x14ac:dyDescent="0.25">
      <c r="A21" s="3">
        <v>450</v>
      </c>
      <c r="B21" s="3">
        <v>1</v>
      </c>
      <c r="C21" s="3">
        <v>4</v>
      </c>
      <c r="D21" s="3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L21" s="3">
        <v>450</v>
      </c>
      <c r="M21" s="3">
        <v>1</v>
      </c>
      <c r="N21" s="3">
        <v>4</v>
      </c>
      <c r="O21" s="3">
        <v>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W21" s="3">
        <v>450</v>
      </c>
      <c r="X21" s="3">
        <v>1</v>
      </c>
      <c r="Y21" s="3">
        <v>4</v>
      </c>
      <c r="Z21" s="3">
        <v>2</v>
      </c>
      <c r="AA21">
        <v>77.900000000000006</v>
      </c>
      <c r="AB21">
        <v>80.5</v>
      </c>
      <c r="AC21">
        <v>79.900000000000006</v>
      </c>
      <c r="AD21">
        <v>84.4</v>
      </c>
      <c r="AE21">
        <v>1.243E-2</v>
      </c>
      <c r="AF21">
        <v>1.6809999999999999E-2</v>
      </c>
      <c r="AH21" s="3">
        <v>450</v>
      </c>
      <c r="AI21" s="3">
        <v>1</v>
      </c>
      <c r="AJ21" s="3">
        <v>4</v>
      </c>
      <c r="AK21" s="3">
        <v>2</v>
      </c>
      <c r="AL21">
        <v>77.900000000000006</v>
      </c>
      <c r="AM21">
        <v>80.5</v>
      </c>
      <c r="AN21">
        <v>79.900000000000006</v>
      </c>
      <c r="AO21">
        <v>84.4</v>
      </c>
      <c r="AP21">
        <v>1.243E-2</v>
      </c>
      <c r="AQ21">
        <v>1.6809999999999999E-2</v>
      </c>
    </row>
    <row r="22" spans="1:43" x14ac:dyDescent="0.25">
      <c r="A22" s="3">
        <v>450</v>
      </c>
      <c r="B22" s="3">
        <v>1</v>
      </c>
      <c r="C22" s="3">
        <v>4</v>
      </c>
      <c r="D22" s="3">
        <v>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L22" s="3">
        <v>450</v>
      </c>
      <c r="M22" s="3">
        <v>1</v>
      </c>
      <c r="N22" s="3">
        <v>4</v>
      </c>
      <c r="O22" s="3">
        <v>3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W22" s="3">
        <v>450</v>
      </c>
      <c r="X22" s="3">
        <v>1</v>
      </c>
      <c r="Y22" s="3">
        <v>4</v>
      </c>
      <c r="Z22" s="3">
        <v>3</v>
      </c>
      <c r="AA22">
        <v>77.7</v>
      </c>
      <c r="AB22">
        <v>80.400000000000006</v>
      </c>
      <c r="AC22">
        <v>79.8</v>
      </c>
      <c r="AD22">
        <v>84.6</v>
      </c>
      <c r="AE22">
        <v>1.24E-2</v>
      </c>
      <c r="AF22">
        <v>1.678E-2</v>
      </c>
      <c r="AH22" s="3">
        <v>450</v>
      </c>
      <c r="AI22" s="3">
        <v>1</v>
      </c>
      <c r="AJ22" s="3">
        <v>4</v>
      </c>
      <c r="AK22" s="3">
        <v>3</v>
      </c>
      <c r="AL22">
        <v>77.7</v>
      </c>
      <c r="AM22">
        <v>80.400000000000006</v>
      </c>
      <c r="AN22">
        <v>79.8</v>
      </c>
      <c r="AO22">
        <v>84.6</v>
      </c>
      <c r="AP22">
        <v>1.24E-2</v>
      </c>
      <c r="AQ22">
        <v>1.678E-2</v>
      </c>
    </row>
    <row r="23" spans="1:43" x14ac:dyDescent="0.25">
      <c r="A23" s="3">
        <v>450</v>
      </c>
      <c r="B23" s="3">
        <v>1</v>
      </c>
      <c r="C23" s="3">
        <v>5</v>
      </c>
      <c r="D23" s="3">
        <v>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L23" s="3">
        <v>450</v>
      </c>
      <c r="M23" s="3">
        <v>1</v>
      </c>
      <c r="N23" s="3">
        <v>5</v>
      </c>
      <c r="O23" s="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W23" s="3">
        <v>450</v>
      </c>
      <c r="X23" s="3">
        <v>1</v>
      </c>
      <c r="Y23" s="3">
        <v>5</v>
      </c>
      <c r="Z23" s="3">
        <v>1</v>
      </c>
      <c r="AA23">
        <v>77.8</v>
      </c>
      <c r="AB23">
        <v>80.400000000000006</v>
      </c>
      <c r="AC23">
        <v>81</v>
      </c>
      <c r="AD23">
        <v>87.9</v>
      </c>
      <c r="AE23">
        <v>1.374E-2</v>
      </c>
      <c r="AF23">
        <v>2.026E-2</v>
      </c>
      <c r="AH23" s="3">
        <v>450</v>
      </c>
      <c r="AI23" s="3">
        <v>1</v>
      </c>
      <c r="AJ23" s="3">
        <v>5</v>
      </c>
      <c r="AK23" s="3">
        <v>1</v>
      </c>
      <c r="AL23">
        <v>77.8</v>
      </c>
      <c r="AM23">
        <v>80.400000000000006</v>
      </c>
      <c r="AN23">
        <v>81</v>
      </c>
      <c r="AO23">
        <v>87.9</v>
      </c>
      <c r="AP23">
        <v>1.374E-2</v>
      </c>
      <c r="AQ23">
        <v>2.026E-2</v>
      </c>
    </row>
    <row r="24" spans="1:43" x14ac:dyDescent="0.25">
      <c r="A24" s="3">
        <v>450</v>
      </c>
      <c r="B24" s="3">
        <v>1</v>
      </c>
      <c r="C24" s="3">
        <v>5</v>
      </c>
      <c r="D24" s="3">
        <v>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L24" s="3">
        <v>450</v>
      </c>
      <c r="M24" s="3">
        <v>1</v>
      </c>
      <c r="N24" s="3">
        <v>5</v>
      </c>
      <c r="O24" s="3">
        <v>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W24" s="3">
        <v>450</v>
      </c>
      <c r="X24" s="3">
        <v>1</v>
      </c>
      <c r="Y24" s="3">
        <v>5</v>
      </c>
      <c r="Z24" s="3">
        <v>2</v>
      </c>
      <c r="AA24">
        <v>78.599999999999994</v>
      </c>
      <c r="AB24">
        <v>80.8</v>
      </c>
      <c r="AC24">
        <v>81.8</v>
      </c>
      <c r="AD24">
        <v>88.1</v>
      </c>
      <c r="AE24">
        <v>1.375E-2</v>
      </c>
      <c r="AF24">
        <v>2.0250000000000001E-2</v>
      </c>
      <c r="AH24" s="3">
        <v>450</v>
      </c>
      <c r="AI24" s="3">
        <v>1</v>
      </c>
      <c r="AJ24" s="3">
        <v>5</v>
      </c>
      <c r="AK24" s="3">
        <v>2</v>
      </c>
      <c r="AL24">
        <v>78.599999999999994</v>
      </c>
      <c r="AM24">
        <v>80.8</v>
      </c>
      <c r="AN24">
        <v>81.8</v>
      </c>
      <c r="AO24">
        <v>88.1</v>
      </c>
      <c r="AP24">
        <v>1.375E-2</v>
      </c>
      <c r="AQ24">
        <v>2.0250000000000001E-2</v>
      </c>
    </row>
    <row r="25" spans="1:43" x14ac:dyDescent="0.25">
      <c r="A25" s="3">
        <v>450</v>
      </c>
      <c r="B25" s="3">
        <v>1</v>
      </c>
      <c r="C25" s="3">
        <v>5</v>
      </c>
      <c r="D25" s="3">
        <v>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L25" s="3">
        <v>450</v>
      </c>
      <c r="M25" s="3">
        <v>1</v>
      </c>
      <c r="N25" s="3">
        <v>5</v>
      </c>
      <c r="O25" s="3">
        <v>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W25" s="3">
        <v>450</v>
      </c>
      <c r="X25" s="3">
        <v>1</v>
      </c>
      <c r="Y25" s="3">
        <v>5</v>
      </c>
      <c r="Z25" s="3">
        <v>3</v>
      </c>
      <c r="AA25">
        <v>79.599999999999994</v>
      </c>
      <c r="AB25">
        <v>81.599999999999994</v>
      </c>
      <c r="AC25">
        <v>82.6</v>
      </c>
      <c r="AD25">
        <v>88.4</v>
      </c>
      <c r="AE25">
        <v>1.362E-2</v>
      </c>
      <c r="AF25">
        <v>1.9910000000000001E-2</v>
      </c>
      <c r="AH25" s="3">
        <v>450</v>
      </c>
      <c r="AI25" s="3">
        <v>1</v>
      </c>
      <c r="AJ25" s="3">
        <v>5</v>
      </c>
      <c r="AK25" s="3">
        <v>3</v>
      </c>
      <c r="AL25">
        <v>79.599999999999994</v>
      </c>
      <c r="AM25">
        <v>81.599999999999994</v>
      </c>
      <c r="AN25">
        <v>82.6</v>
      </c>
      <c r="AO25">
        <v>88.4</v>
      </c>
      <c r="AP25">
        <v>1.362E-2</v>
      </c>
      <c r="AQ25">
        <v>1.9910000000000001E-2</v>
      </c>
    </row>
    <row r="26" spans="1:43" x14ac:dyDescent="0.25">
      <c r="A26" s="3">
        <v>450</v>
      </c>
      <c r="B26" s="3">
        <v>1</v>
      </c>
      <c r="C26" s="3">
        <v>6</v>
      </c>
      <c r="D26" s="3">
        <v>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L26" s="3">
        <v>450</v>
      </c>
      <c r="M26" s="3">
        <v>1</v>
      </c>
      <c r="N26" s="3">
        <v>6</v>
      </c>
      <c r="O26" s="3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W26" s="3">
        <v>450</v>
      </c>
      <c r="X26" s="3">
        <v>1</v>
      </c>
      <c r="Y26" s="3">
        <v>6</v>
      </c>
      <c r="Z26" s="3">
        <v>1</v>
      </c>
      <c r="AA26">
        <v>77.900000000000006</v>
      </c>
      <c r="AB26">
        <v>80.3</v>
      </c>
      <c r="AC26">
        <v>80.099999999999994</v>
      </c>
      <c r="AD26">
        <v>84.5</v>
      </c>
      <c r="AE26">
        <v>1.218E-2</v>
      </c>
      <c r="AF26">
        <v>1.626E-2</v>
      </c>
      <c r="AH26" s="3">
        <v>450</v>
      </c>
      <c r="AI26" s="3">
        <v>1</v>
      </c>
      <c r="AJ26" s="3">
        <v>6</v>
      </c>
      <c r="AK26" s="3">
        <v>1</v>
      </c>
      <c r="AL26">
        <v>77.900000000000006</v>
      </c>
      <c r="AM26">
        <v>80.3</v>
      </c>
      <c r="AN26">
        <v>80.099999999999994</v>
      </c>
      <c r="AO26">
        <v>84.5</v>
      </c>
      <c r="AP26">
        <v>1.218E-2</v>
      </c>
      <c r="AQ26">
        <v>1.626E-2</v>
      </c>
    </row>
    <row r="27" spans="1:43" x14ac:dyDescent="0.25">
      <c r="A27" s="3">
        <v>450</v>
      </c>
      <c r="B27" s="3">
        <v>1</v>
      </c>
      <c r="C27" s="3">
        <v>6</v>
      </c>
      <c r="D27" s="3">
        <v>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L27" s="3">
        <v>450</v>
      </c>
      <c r="M27" s="3">
        <v>1</v>
      </c>
      <c r="N27" s="3">
        <v>6</v>
      </c>
      <c r="O27" s="3">
        <v>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W27" s="3">
        <v>450</v>
      </c>
      <c r="X27" s="3">
        <v>1</v>
      </c>
      <c r="Y27" s="3">
        <v>6</v>
      </c>
      <c r="Z27" s="3">
        <v>2</v>
      </c>
      <c r="AA27">
        <v>77.599999999999994</v>
      </c>
      <c r="AB27">
        <v>80.099999999999994</v>
      </c>
      <c r="AC27">
        <v>79.8</v>
      </c>
      <c r="AD27">
        <v>84.5</v>
      </c>
      <c r="AE27">
        <v>1.2149999999999999E-2</v>
      </c>
      <c r="AF27">
        <v>1.6230000000000001E-2</v>
      </c>
      <c r="AH27" s="3">
        <v>450</v>
      </c>
      <c r="AI27" s="3">
        <v>1</v>
      </c>
      <c r="AJ27" s="3">
        <v>6</v>
      </c>
      <c r="AK27" s="3">
        <v>2</v>
      </c>
      <c r="AL27">
        <v>77.599999999999994</v>
      </c>
      <c r="AM27">
        <v>80.099999999999994</v>
      </c>
      <c r="AN27">
        <v>79.8</v>
      </c>
      <c r="AO27">
        <v>84.5</v>
      </c>
      <c r="AP27">
        <v>1.2149999999999999E-2</v>
      </c>
      <c r="AQ27">
        <v>1.6230000000000001E-2</v>
      </c>
    </row>
    <row r="28" spans="1:43" x14ac:dyDescent="0.25">
      <c r="A28" s="3">
        <v>450</v>
      </c>
      <c r="B28" s="3">
        <v>1</v>
      </c>
      <c r="C28" s="3">
        <v>6</v>
      </c>
      <c r="D28" s="3">
        <v>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L28" s="3">
        <v>450</v>
      </c>
      <c r="M28" s="3">
        <v>1</v>
      </c>
      <c r="N28" s="3">
        <v>6</v>
      </c>
      <c r="O28" s="3">
        <v>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W28" s="3">
        <v>450</v>
      </c>
      <c r="X28" s="3">
        <v>1</v>
      </c>
      <c r="Y28" s="3">
        <v>6</v>
      </c>
      <c r="Z28" s="3">
        <v>3</v>
      </c>
      <c r="AA28">
        <v>77.2</v>
      </c>
      <c r="AB28">
        <v>79.900000000000006</v>
      </c>
      <c r="AC28">
        <v>79.5</v>
      </c>
      <c r="AD28">
        <v>84.5</v>
      </c>
      <c r="AE28">
        <v>1.213E-2</v>
      </c>
      <c r="AF28">
        <v>1.6209999999999999E-2</v>
      </c>
      <c r="AH28" s="3">
        <v>450</v>
      </c>
      <c r="AI28" s="3">
        <v>1</v>
      </c>
      <c r="AJ28" s="3">
        <v>6</v>
      </c>
      <c r="AK28" s="3">
        <v>3</v>
      </c>
      <c r="AL28">
        <v>77.2</v>
      </c>
      <c r="AM28">
        <v>79.900000000000006</v>
      </c>
      <c r="AN28">
        <v>79.5</v>
      </c>
      <c r="AO28">
        <v>84.5</v>
      </c>
      <c r="AP28">
        <v>1.213E-2</v>
      </c>
      <c r="AQ28">
        <v>1.6209999999999999E-2</v>
      </c>
    </row>
    <row r="29" spans="1:43" x14ac:dyDescent="0.25">
      <c r="A29" s="3">
        <v>450</v>
      </c>
      <c r="B29" s="3">
        <v>1</v>
      </c>
      <c r="C29" s="3">
        <v>103</v>
      </c>
      <c r="D29" s="3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L29" s="3">
        <v>450</v>
      </c>
      <c r="M29" s="3">
        <v>1</v>
      </c>
      <c r="N29" s="3">
        <v>103</v>
      </c>
      <c r="O29" s="3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W29" s="3">
        <v>450</v>
      </c>
      <c r="X29" s="3">
        <v>1</v>
      </c>
      <c r="Y29" s="3">
        <v>103</v>
      </c>
      <c r="Z29" s="3">
        <v>1</v>
      </c>
      <c r="AA29">
        <v>76.7</v>
      </c>
      <c r="AB29">
        <v>80.099999999999994</v>
      </c>
      <c r="AC29">
        <v>79.900000000000006</v>
      </c>
      <c r="AD29">
        <v>87.9</v>
      </c>
      <c r="AE29">
        <v>1.3690000000000001E-2</v>
      </c>
      <c r="AF29">
        <v>2.0219999999999998E-2</v>
      </c>
      <c r="AH29" s="3">
        <v>450</v>
      </c>
      <c r="AI29" s="3">
        <v>1</v>
      </c>
      <c r="AJ29" s="3">
        <v>103</v>
      </c>
      <c r="AK29" s="3">
        <v>1</v>
      </c>
      <c r="AL29">
        <v>76.7</v>
      </c>
      <c r="AM29">
        <v>80.099999999999994</v>
      </c>
      <c r="AN29">
        <v>79.900000000000006</v>
      </c>
      <c r="AO29">
        <v>87.9</v>
      </c>
      <c r="AP29">
        <v>1.3690000000000001E-2</v>
      </c>
      <c r="AQ29">
        <v>2.0219999999999998E-2</v>
      </c>
    </row>
    <row r="30" spans="1:43" x14ac:dyDescent="0.25">
      <c r="A30" s="3">
        <v>450</v>
      </c>
      <c r="B30" s="3">
        <v>1</v>
      </c>
      <c r="C30" s="3">
        <v>104</v>
      </c>
      <c r="D30" s="3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L30" s="3">
        <v>450</v>
      </c>
      <c r="M30" s="3">
        <v>1</v>
      </c>
      <c r="N30" s="3">
        <v>104</v>
      </c>
      <c r="O30" s="3">
        <v>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W30" s="3">
        <v>450</v>
      </c>
      <c r="X30" s="3">
        <v>1</v>
      </c>
      <c r="Y30" s="3">
        <v>104</v>
      </c>
      <c r="Z30" s="3">
        <v>1</v>
      </c>
      <c r="AA30">
        <v>77.2</v>
      </c>
      <c r="AB30">
        <v>83.5</v>
      </c>
      <c r="AC30">
        <v>79.400000000000006</v>
      </c>
      <c r="AD30">
        <v>87.8</v>
      </c>
      <c r="AE30">
        <v>1.3270000000000001E-2</v>
      </c>
      <c r="AF30">
        <v>1.917E-2</v>
      </c>
      <c r="AH30" s="3">
        <v>450</v>
      </c>
      <c r="AI30" s="3">
        <v>1</v>
      </c>
      <c r="AJ30" s="3">
        <v>104</v>
      </c>
      <c r="AK30" s="3">
        <v>1</v>
      </c>
      <c r="AL30">
        <v>77.2</v>
      </c>
      <c r="AM30">
        <v>83.5</v>
      </c>
      <c r="AN30">
        <v>79.400000000000006</v>
      </c>
      <c r="AO30">
        <v>87.8</v>
      </c>
      <c r="AP30">
        <v>1.3270000000000001E-2</v>
      </c>
      <c r="AQ30">
        <v>1.917E-2</v>
      </c>
    </row>
    <row r="31" spans="1:43" x14ac:dyDescent="0.25">
      <c r="A31" s="3">
        <v>450</v>
      </c>
      <c r="B31" s="3">
        <v>4</v>
      </c>
      <c r="C31" s="3">
        <v>110</v>
      </c>
      <c r="D31" s="3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L31" s="3">
        <v>450</v>
      </c>
      <c r="M31" s="3">
        <v>4</v>
      </c>
      <c r="N31" s="3">
        <v>110</v>
      </c>
      <c r="O31" s="3">
        <v>1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W31" s="3">
        <v>450</v>
      </c>
      <c r="X31" s="3">
        <v>4</v>
      </c>
      <c r="Y31" s="3">
        <v>110</v>
      </c>
      <c r="Z31" s="3">
        <v>1</v>
      </c>
      <c r="AA31">
        <v>79.099999999999994</v>
      </c>
      <c r="AB31">
        <v>89.2</v>
      </c>
      <c r="AC31">
        <v>80.099999999999994</v>
      </c>
      <c r="AD31">
        <v>90.2</v>
      </c>
      <c r="AE31">
        <v>1.3259999999999999E-2</v>
      </c>
      <c r="AF31">
        <v>1.9429999999999999E-2</v>
      </c>
      <c r="AH31" s="3">
        <v>450</v>
      </c>
      <c r="AI31" s="3">
        <v>4</v>
      </c>
      <c r="AJ31" s="3">
        <v>110</v>
      </c>
      <c r="AK31" s="3">
        <v>1</v>
      </c>
      <c r="AL31">
        <v>79.099999999999994</v>
      </c>
      <c r="AM31">
        <v>89.2</v>
      </c>
      <c r="AN31">
        <v>80.099999999999994</v>
      </c>
      <c r="AO31">
        <v>90.2</v>
      </c>
      <c r="AP31">
        <v>1.3259999999999999E-2</v>
      </c>
      <c r="AQ31">
        <v>1.9429999999999999E-2</v>
      </c>
    </row>
    <row r="32" spans="1:43" x14ac:dyDescent="0.25">
      <c r="A32" s="3">
        <v>450</v>
      </c>
      <c r="B32" s="3">
        <v>5</v>
      </c>
      <c r="C32" s="3">
        <v>12</v>
      </c>
      <c r="D32" s="3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L32" s="3">
        <v>450</v>
      </c>
      <c r="M32" s="3">
        <v>5</v>
      </c>
      <c r="N32" s="3">
        <v>12</v>
      </c>
      <c r="O32" s="3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W32" s="3">
        <v>450</v>
      </c>
      <c r="X32" s="3">
        <v>5</v>
      </c>
      <c r="Y32" s="3">
        <v>12</v>
      </c>
      <c r="Z32" s="3">
        <v>1</v>
      </c>
      <c r="AA32">
        <v>84.9</v>
      </c>
      <c r="AB32">
        <v>87</v>
      </c>
      <c r="AC32">
        <v>88.6</v>
      </c>
      <c r="AD32">
        <v>94.6</v>
      </c>
      <c r="AE32">
        <v>1.3599999999999999E-2</v>
      </c>
      <c r="AF32">
        <v>1.9820000000000001E-2</v>
      </c>
      <c r="AH32" s="3">
        <v>450</v>
      </c>
      <c r="AI32" s="3">
        <v>5</v>
      </c>
      <c r="AJ32" s="3">
        <v>12</v>
      </c>
      <c r="AK32" s="3">
        <v>1</v>
      </c>
      <c r="AL32">
        <v>84.9</v>
      </c>
      <c r="AM32">
        <v>87</v>
      </c>
      <c r="AN32">
        <v>88.6</v>
      </c>
      <c r="AO32">
        <v>94.6</v>
      </c>
      <c r="AP32">
        <v>1.3599999999999999E-2</v>
      </c>
      <c r="AQ32">
        <v>1.9820000000000001E-2</v>
      </c>
    </row>
    <row r="33" spans="1:43" x14ac:dyDescent="0.25">
      <c r="A33" s="3">
        <v>450</v>
      </c>
      <c r="B33" s="3">
        <v>5</v>
      </c>
      <c r="C33" s="3">
        <v>12</v>
      </c>
      <c r="D33" s="3">
        <v>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L33" s="3">
        <v>450</v>
      </c>
      <c r="M33" s="3">
        <v>5</v>
      </c>
      <c r="N33" s="3">
        <v>12</v>
      </c>
      <c r="O33" s="3">
        <v>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W33" s="3">
        <v>450</v>
      </c>
      <c r="X33" s="3">
        <v>5</v>
      </c>
      <c r="Y33" s="3">
        <v>12</v>
      </c>
      <c r="Z33" s="3">
        <v>2</v>
      </c>
      <c r="AA33">
        <v>83.3</v>
      </c>
      <c r="AB33">
        <v>85.4</v>
      </c>
      <c r="AC33">
        <v>87.1</v>
      </c>
      <c r="AD33">
        <v>93.6</v>
      </c>
      <c r="AE33">
        <v>1.3729999999999999E-2</v>
      </c>
      <c r="AF33">
        <v>2.018E-2</v>
      </c>
      <c r="AH33" s="3">
        <v>450</v>
      </c>
      <c r="AI33" s="3">
        <v>5</v>
      </c>
      <c r="AJ33" s="3">
        <v>12</v>
      </c>
      <c r="AK33" s="3">
        <v>2</v>
      </c>
      <c r="AL33">
        <v>83.3</v>
      </c>
      <c r="AM33">
        <v>85.4</v>
      </c>
      <c r="AN33">
        <v>87.1</v>
      </c>
      <c r="AO33">
        <v>93.6</v>
      </c>
      <c r="AP33">
        <v>1.3729999999999999E-2</v>
      </c>
      <c r="AQ33">
        <v>2.018E-2</v>
      </c>
    </row>
    <row r="34" spans="1:43" x14ac:dyDescent="0.25">
      <c r="A34" s="3">
        <v>450</v>
      </c>
      <c r="B34" s="3">
        <v>5</v>
      </c>
      <c r="C34" s="3">
        <v>12</v>
      </c>
      <c r="D34" s="3">
        <v>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L34" s="3">
        <v>450</v>
      </c>
      <c r="M34" s="3">
        <v>5</v>
      </c>
      <c r="N34" s="3">
        <v>12</v>
      </c>
      <c r="O34" s="3">
        <v>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W34" s="3">
        <v>450</v>
      </c>
      <c r="X34" s="3">
        <v>5</v>
      </c>
      <c r="Y34" s="3">
        <v>12</v>
      </c>
      <c r="Z34" s="3">
        <v>3</v>
      </c>
      <c r="AA34">
        <v>80.900000000000006</v>
      </c>
      <c r="AB34">
        <v>83.2</v>
      </c>
      <c r="AC34">
        <v>84.9</v>
      </c>
      <c r="AD34">
        <v>92</v>
      </c>
      <c r="AE34">
        <v>1.374E-2</v>
      </c>
      <c r="AF34">
        <v>2.0250000000000001E-2</v>
      </c>
      <c r="AH34" s="3">
        <v>450</v>
      </c>
      <c r="AI34" s="3">
        <v>5</v>
      </c>
      <c r="AJ34" s="3">
        <v>12</v>
      </c>
      <c r="AK34" s="3">
        <v>3</v>
      </c>
      <c r="AL34">
        <v>80.900000000000006</v>
      </c>
      <c r="AM34">
        <v>83.2</v>
      </c>
      <c r="AN34">
        <v>84.9</v>
      </c>
      <c r="AO34">
        <v>92</v>
      </c>
      <c r="AP34">
        <v>1.374E-2</v>
      </c>
      <c r="AQ34">
        <v>2.0250000000000001E-2</v>
      </c>
    </row>
    <row r="35" spans="1:43" x14ac:dyDescent="0.25">
      <c r="A35" s="3">
        <v>450</v>
      </c>
      <c r="B35" s="3">
        <v>5</v>
      </c>
      <c r="C35" s="3">
        <v>13</v>
      </c>
      <c r="D35" s="3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L35" s="3">
        <v>450</v>
      </c>
      <c r="M35" s="3">
        <v>5</v>
      </c>
      <c r="N35" s="3">
        <v>13</v>
      </c>
      <c r="O35" s="3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W35" s="3">
        <v>450</v>
      </c>
      <c r="X35" s="3">
        <v>5</v>
      </c>
      <c r="Y35" s="3">
        <v>13</v>
      </c>
      <c r="Z35" s="3">
        <v>1</v>
      </c>
      <c r="AA35">
        <v>78.8</v>
      </c>
      <c r="AB35">
        <v>82</v>
      </c>
      <c r="AC35">
        <v>82.3</v>
      </c>
      <c r="AD35">
        <v>90.4</v>
      </c>
      <c r="AE35">
        <v>1.371E-2</v>
      </c>
      <c r="AF35">
        <v>2.0240000000000001E-2</v>
      </c>
      <c r="AH35" s="3">
        <v>450</v>
      </c>
      <c r="AI35" s="3">
        <v>5</v>
      </c>
      <c r="AJ35" s="3">
        <v>13</v>
      </c>
      <c r="AK35" s="3">
        <v>1</v>
      </c>
      <c r="AL35">
        <v>78.8</v>
      </c>
      <c r="AM35">
        <v>82</v>
      </c>
      <c r="AN35">
        <v>82.3</v>
      </c>
      <c r="AO35">
        <v>90.4</v>
      </c>
      <c r="AP35">
        <v>1.371E-2</v>
      </c>
      <c r="AQ35">
        <v>2.0240000000000001E-2</v>
      </c>
    </row>
    <row r="36" spans="1:43" x14ac:dyDescent="0.25">
      <c r="A36" s="3">
        <v>450</v>
      </c>
      <c r="B36" s="3">
        <v>5</v>
      </c>
      <c r="C36" s="3">
        <v>13</v>
      </c>
      <c r="D36" s="3">
        <v>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L36" s="3">
        <v>450</v>
      </c>
      <c r="M36" s="3">
        <v>5</v>
      </c>
      <c r="N36" s="3">
        <v>13</v>
      </c>
      <c r="O36" s="3">
        <v>2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W36" s="3">
        <v>450</v>
      </c>
      <c r="X36" s="3">
        <v>5</v>
      </c>
      <c r="Y36" s="3">
        <v>13</v>
      </c>
      <c r="Z36" s="3">
        <v>2</v>
      </c>
      <c r="AA36">
        <v>77.900000000000006</v>
      </c>
      <c r="AB36">
        <v>81.3</v>
      </c>
      <c r="AC36">
        <v>81.5</v>
      </c>
      <c r="AD36">
        <v>90.1</v>
      </c>
      <c r="AE36">
        <v>1.3690000000000001E-2</v>
      </c>
      <c r="AF36">
        <v>2.0209999999999999E-2</v>
      </c>
      <c r="AH36" s="3">
        <v>450</v>
      </c>
      <c r="AI36" s="3">
        <v>5</v>
      </c>
      <c r="AJ36" s="3">
        <v>13</v>
      </c>
      <c r="AK36" s="3">
        <v>2</v>
      </c>
      <c r="AL36">
        <v>77.900000000000006</v>
      </c>
      <c r="AM36">
        <v>81.3</v>
      </c>
      <c r="AN36">
        <v>81.5</v>
      </c>
      <c r="AO36">
        <v>90.1</v>
      </c>
      <c r="AP36">
        <v>1.3690000000000001E-2</v>
      </c>
      <c r="AQ36">
        <v>2.0209999999999999E-2</v>
      </c>
    </row>
    <row r="37" spans="1:43" x14ac:dyDescent="0.25">
      <c r="A37" s="3">
        <v>450</v>
      </c>
      <c r="B37" s="3">
        <v>5</v>
      </c>
      <c r="C37" s="3">
        <v>14</v>
      </c>
      <c r="D37" s="3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L37" s="3">
        <v>450</v>
      </c>
      <c r="M37" s="3">
        <v>5</v>
      </c>
      <c r="N37" s="3">
        <v>14</v>
      </c>
      <c r="O37" s="3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W37" s="3">
        <v>450</v>
      </c>
      <c r="X37" s="3">
        <v>5</v>
      </c>
      <c r="Y37" s="3">
        <v>14</v>
      </c>
      <c r="Z37" s="3">
        <v>1</v>
      </c>
      <c r="AA37">
        <v>76.3</v>
      </c>
      <c r="AB37">
        <v>78.7</v>
      </c>
      <c r="AC37">
        <v>80.8</v>
      </c>
      <c r="AD37">
        <v>89.9</v>
      </c>
      <c r="AE37">
        <v>1.367E-2</v>
      </c>
      <c r="AF37">
        <v>2.019E-2</v>
      </c>
      <c r="AH37" s="3">
        <v>450</v>
      </c>
      <c r="AI37" s="3">
        <v>5</v>
      </c>
      <c r="AJ37" s="3">
        <v>14</v>
      </c>
      <c r="AK37" s="3">
        <v>1</v>
      </c>
      <c r="AL37">
        <v>76.3</v>
      </c>
      <c r="AM37">
        <v>78.7</v>
      </c>
      <c r="AN37">
        <v>80.8</v>
      </c>
      <c r="AO37">
        <v>89.9</v>
      </c>
      <c r="AP37">
        <v>1.367E-2</v>
      </c>
      <c r="AQ37">
        <v>2.019E-2</v>
      </c>
    </row>
    <row r="38" spans="1:43" x14ac:dyDescent="0.25">
      <c r="A38" s="3">
        <v>450</v>
      </c>
      <c r="B38" s="3">
        <v>5</v>
      </c>
      <c r="C38" s="3">
        <v>14</v>
      </c>
      <c r="D38" s="3">
        <v>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L38" s="3">
        <v>450</v>
      </c>
      <c r="M38" s="3">
        <v>5</v>
      </c>
      <c r="N38" s="3">
        <v>14</v>
      </c>
      <c r="O38" s="3">
        <v>2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W38" s="3">
        <v>450</v>
      </c>
      <c r="X38" s="3">
        <v>5</v>
      </c>
      <c r="Y38" s="3">
        <v>14</v>
      </c>
      <c r="Z38" s="3">
        <v>2</v>
      </c>
      <c r="AA38">
        <v>75.900000000000006</v>
      </c>
      <c r="AB38">
        <v>78.400000000000006</v>
      </c>
      <c r="AC38">
        <v>80.5</v>
      </c>
      <c r="AD38">
        <v>90</v>
      </c>
      <c r="AE38">
        <v>1.3650000000000001E-2</v>
      </c>
      <c r="AF38">
        <v>2.018E-2</v>
      </c>
      <c r="AH38" s="3">
        <v>450</v>
      </c>
      <c r="AI38" s="3">
        <v>5</v>
      </c>
      <c r="AJ38" s="3">
        <v>14</v>
      </c>
      <c r="AK38" s="3">
        <v>2</v>
      </c>
      <c r="AL38">
        <v>75.900000000000006</v>
      </c>
      <c r="AM38">
        <v>78.400000000000006</v>
      </c>
      <c r="AN38">
        <v>80.5</v>
      </c>
      <c r="AO38">
        <v>90</v>
      </c>
      <c r="AP38">
        <v>1.3650000000000001E-2</v>
      </c>
      <c r="AQ38">
        <v>2.018E-2</v>
      </c>
    </row>
    <row r="39" spans="1:43" x14ac:dyDescent="0.25">
      <c r="A39" s="3">
        <v>450</v>
      </c>
      <c r="B39" s="3">
        <v>5</v>
      </c>
      <c r="C39" s="3">
        <v>114</v>
      </c>
      <c r="D39" s="3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L39" s="3">
        <v>450</v>
      </c>
      <c r="M39" s="3">
        <v>5</v>
      </c>
      <c r="N39" s="3">
        <v>114</v>
      </c>
      <c r="O39" s="3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W39" s="3">
        <v>450</v>
      </c>
      <c r="X39" s="3">
        <v>5</v>
      </c>
      <c r="Y39" s="3">
        <v>114</v>
      </c>
      <c r="Z39" s="3">
        <v>1</v>
      </c>
      <c r="AA39">
        <v>79</v>
      </c>
      <c r="AB39">
        <v>81.900000000000006</v>
      </c>
      <c r="AC39">
        <v>82.7</v>
      </c>
      <c r="AD39">
        <v>90.5</v>
      </c>
      <c r="AE39">
        <v>1.371E-2</v>
      </c>
      <c r="AF39">
        <v>2.0240000000000001E-2</v>
      </c>
      <c r="AH39" s="3">
        <v>450</v>
      </c>
      <c r="AI39" s="3">
        <v>5</v>
      </c>
      <c r="AJ39" s="3">
        <v>114</v>
      </c>
      <c r="AK39" s="3">
        <v>1</v>
      </c>
      <c r="AL39">
        <v>79</v>
      </c>
      <c r="AM39">
        <v>81.900000000000006</v>
      </c>
      <c r="AN39">
        <v>82.7</v>
      </c>
      <c r="AO39">
        <v>90.5</v>
      </c>
      <c r="AP39">
        <v>1.371E-2</v>
      </c>
      <c r="AQ39">
        <v>2.0240000000000001E-2</v>
      </c>
    </row>
    <row r="40" spans="1:43" x14ac:dyDescent="0.25">
      <c r="A40" s="3">
        <v>720</v>
      </c>
      <c r="B40" s="3">
        <v>1</v>
      </c>
      <c r="C40" s="3">
        <v>1</v>
      </c>
      <c r="D40" s="3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L40" s="3">
        <v>720</v>
      </c>
      <c r="M40" s="3">
        <v>1</v>
      </c>
      <c r="N40" s="3">
        <v>1</v>
      </c>
      <c r="O40" s="3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W40" s="3">
        <v>720</v>
      </c>
      <c r="X40" s="3">
        <v>1</v>
      </c>
      <c r="Y40" s="3">
        <v>1</v>
      </c>
      <c r="Z40" s="3">
        <v>1</v>
      </c>
      <c r="AA40">
        <v>76.5</v>
      </c>
      <c r="AB40">
        <v>79.8</v>
      </c>
      <c r="AC40">
        <v>80</v>
      </c>
      <c r="AD40">
        <v>89.6</v>
      </c>
      <c r="AE40">
        <v>1.3650000000000001E-2</v>
      </c>
      <c r="AF40">
        <v>2.018E-2</v>
      </c>
      <c r="AH40" s="3">
        <v>720</v>
      </c>
      <c r="AI40" s="3">
        <v>1</v>
      </c>
      <c r="AJ40" s="3">
        <v>1</v>
      </c>
      <c r="AK40" s="3">
        <v>1</v>
      </c>
      <c r="AL40">
        <v>76.5</v>
      </c>
      <c r="AM40">
        <v>79.8</v>
      </c>
      <c r="AN40">
        <v>80</v>
      </c>
      <c r="AO40">
        <v>89.6</v>
      </c>
      <c r="AP40">
        <v>1.3650000000000001E-2</v>
      </c>
      <c r="AQ40">
        <v>2.018E-2</v>
      </c>
    </row>
    <row r="41" spans="1:43" x14ac:dyDescent="0.25">
      <c r="A41" s="3">
        <v>720</v>
      </c>
      <c r="B41" s="3">
        <v>1</v>
      </c>
      <c r="C41" s="3">
        <v>2</v>
      </c>
      <c r="D41" s="3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L41" s="3">
        <v>720</v>
      </c>
      <c r="M41" s="3">
        <v>1</v>
      </c>
      <c r="N41" s="3">
        <v>2</v>
      </c>
      <c r="O41" s="3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W41" s="3">
        <v>720</v>
      </c>
      <c r="X41" s="3">
        <v>1</v>
      </c>
      <c r="Y41" s="3">
        <v>2</v>
      </c>
      <c r="Z41" s="3">
        <v>1</v>
      </c>
      <c r="AA41">
        <v>76.7</v>
      </c>
      <c r="AB41">
        <v>80.099999999999994</v>
      </c>
      <c r="AC41">
        <v>80.099999999999994</v>
      </c>
      <c r="AD41">
        <v>89.2</v>
      </c>
      <c r="AE41">
        <v>1.366E-2</v>
      </c>
      <c r="AF41">
        <v>2.019E-2</v>
      </c>
      <c r="AH41" s="3">
        <v>720</v>
      </c>
      <c r="AI41" s="3">
        <v>1</v>
      </c>
      <c r="AJ41" s="3">
        <v>2</v>
      </c>
      <c r="AK41" s="3">
        <v>1</v>
      </c>
      <c r="AL41">
        <v>76.7</v>
      </c>
      <c r="AM41">
        <v>80.099999999999994</v>
      </c>
      <c r="AN41">
        <v>80.099999999999994</v>
      </c>
      <c r="AO41">
        <v>89.2</v>
      </c>
      <c r="AP41">
        <v>1.366E-2</v>
      </c>
      <c r="AQ41">
        <v>2.019E-2</v>
      </c>
    </row>
    <row r="42" spans="1:43" x14ac:dyDescent="0.25">
      <c r="A42" s="3">
        <v>720</v>
      </c>
      <c r="B42" s="3">
        <v>1</v>
      </c>
      <c r="C42" s="3">
        <v>3</v>
      </c>
      <c r="D42" s="3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L42" s="3">
        <v>720</v>
      </c>
      <c r="M42" s="3">
        <v>1</v>
      </c>
      <c r="N42" s="3">
        <v>3</v>
      </c>
      <c r="O42" s="3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W42" s="3">
        <v>720</v>
      </c>
      <c r="X42" s="3">
        <v>1</v>
      </c>
      <c r="Y42" s="3">
        <v>3</v>
      </c>
      <c r="Z42" s="3">
        <v>1</v>
      </c>
      <c r="AA42">
        <v>76.900000000000006</v>
      </c>
      <c r="AB42">
        <v>80.099999999999994</v>
      </c>
      <c r="AC42">
        <v>80.3</v>
      </c>
      <c r="AD42">
        <v>88.7</v>
      </c>
      <c r="AE42">
        <v>1.3679999999999999E-2</v>
      </c>
      <c r="AF42">
        <v>2.0209999999999999E-2</v>
      </c>
      <c r="AH42" s="3">
        <v>720</v>
      </c>
      <c r="AI42" s="3">
        <v>1</v>
      </c>
      <c r="AJ42" s="3">
        <v>3</v>
      </c>
      <c r="AK42" s="3">
        <v>1</v>
      </c>
      <c r="AL42">
        <v>76.900000000000006</v>
      </c>
      <c r="AM42">
        <v>80.099999999999994</v>
      </c>
      <c r="AN42">
        <v>80.3</v>
      </c>
      <c r="AO42">
        <v>88.7</v>
      </c>
      <c r="AP42">
        <v>1.3679999999999999E-2</v>
      </c>
      <c r="AQ42">
        <v>2.0209999999999999E-2</v>
      </c>
    </row>
    <row r="43" spans="1:43" x14ac:dyDescent="0.25">
      <c r="A43" s="3">
        <v>720</v>
      </c>
      <c r="B43" s="3">
        <v>1</v>
      </c>
      <c r="C43" s="3">
        <v>3</v>
      </c>
      <c r="D43" s="3">
        <v>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L43" s="3">
        <v>720</v>
      </c>
      <c r="M43" s="3">
        <v>1</v>
      </c>
      <c r="N43" s="3">
        <v>3</v>
      </c>
      <c r="O43" s="3">
        <v>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W43" s="3">
        <v>720</v>
      </c>
      <c r="X43" s="3">
        <v>1</v>
      </c>
      <c r="Y43" s="3">
        <v>3</v>
      </c>
      <c r="Z43" s="3">
        <v>2</v>
      </c>
      <c r="AA43">
        <v>77.400000000000006</v>
      </c>
      <c r="AB43">
        <v>80.3</v>
      </c>
      <c r="AC43">
        <v>80.599999999999994</v>
      </c>
      <c r="AD43">
        <v>88.4</v>
      </c>
      <c r="AE43">
        <v>1.37E-2</v>
      </c>
      <c r="AF43">
        <v>2.0230000000000001E-2</v>
      </c>
      <c r="AH43" s="3">
        <v>720</v>
      </c>
      <c r="AI43" s="3">
        <v>1</v>
      </c>
      <c r="AJ43" s="3">
        <v>3</v>
      </c>
      <c r="AK43" s="3">
        <v>2</v>
      </c>
      <c r="AL43">
        <v>77.400000000000006</v>
      </c>
      <c r="AM43">
        <v>80.3</v>
      </c>
      <c r="AN43">
        <v>80.599999999999994</v>
      </c>
      <c r="AO43">
        <v>88.4</v>
      </c>
      <c r="AP43">
        <v>1.37E-2</v>
      </c>
      <c r="AQ43">
        <v>2.0230000000000001E-2</v>
      </c>
    </row>
    <row r="44" spans="1:43" x14ac:dyDescent="0.25">
      <c r="A44" s="3">
        <v>720</v>
      </c>
      <c r="B44" s="3">
        <v>1</v>
      </c>
      <c r="C44" s="3">
        <v>4</v>
      </c>
      <c r="D44" s="3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L44" s="3">
        <v>720</v>
      </c>
      <c r="M44" s="3">
        <v>1</v>
      </c>
      <c r="N44" s="3">
        <v>4</v>
      </c>
      <c r="O44" s="3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W44" s="3">
        <v>720</v>
      </c>
      <c r="X44" s="3">
        <v>1</v>
      </c>
      <c r="Y44" s="3">
        <v>4</v>
      </c>
      <c r="Z44" s="3">
        <v>1</v>
      </c>
      <c r="AA44">
        <v>77.5</v>
      </c>
      <c r="AB44">
        <v>80</v>
      </c>
      <c r="AC44">
        <v>79.599999999999994</v>
      </c>
      <c r="AD44">
        <v>84</v>
      </c>
      <c r="AE44">
        <v>1.222E-2</v>
      </c>
      <c r="AF44">
        <v>1.6590000000000001E-2</v>
      </c>
      <c r="AH44" s="3">
        <v>720</v>
      </c>
      <c r="AI44" s="3">
        <v>1</v>
      </c>
      <c r="AJ44" s="3">
        <v>4</v>
      </c>
      <c r="AK44" s="3">
        <v>1</v>
      </c>
      <c r="AL44">
        <v>77.5</v>
      </c>
      <c r="AM44">
        <v>80</v>
      </c>
      <c r="AN44">
        <v>79.599999999999994</v>
      </c>
      <c r="AO44">
        <v>84</v>
      </c>
      <c r="AP44">
        <v>1.222E-2</v>
      </c>
      <c r="AQ44">
        <v>1.6590000000000001E-2</v>
      </c>
    </row>
    <row r="45" spans="1:43" x14ac:dyDescent="0.25">
      <c r="A45" s="3">
        <v>720</v>
      </c>
      <c r="B45" s="3">
        <v>1</v>
      </c>
      <c r="C45" s="3">
        <v>4</v>
      </c>
      <c r="D45" s="3">
        <v>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L45" s="3">
        <v>720</v>
      </c>
      <c r="M45" s="3">
        <v>1</v>
      </c>
      <c r="N45" s="3">
        <v>4</v>
      </c>
      <c r="O45" s="3">
        <v>2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W45" s="3">
        <v>720</v>
      </c>
      <c r="X45" s="3">
        <v>1</v>
      </c>
      <c r="Y45" s="3">
        <v>4</v>
      </c>
      <c r="Z45" s="3">
        <v>2</v>
      </c>
      <c r="AA45">
        <v>77.3</v>
      </c>
      <c r="AB45">
        <v>79.900000000000006</v>
      </c>
      <c r="AC45">
        <v>79.400000000000006</v>
      </c>
      <c r="AD45">
        <v>84</v>
      </c>
      <c r="AE45">
        <v>1.218E-2</v>
      </c>
      <c r="AF45">
        <v>1.653E-2</v>
      </c>
      <c r="AH45" s="3">
        <v>720</v>
      </c>
      <c r="AI45" s="3">
        <v>1</v>
      </c>
      <c r="AJ45" s="3">
        <v>4</v>
      </c>
      <c r="AK45" s="3">
        <v>2</v>
      </c>
      <c r="AL45">
        <v>77.3</v>
      </c>
      <c r="AM45">
        <v>79.900000000000006</v>
      </c>
      <c r="AN45">
        <v>79.400000000000006</v>
      </c>
      <c r="AO45">
        <v>84</v>
      </c>
      <c r="AP45">
        <v>1.218E-2</v>
      </c>
      <c r="AQ45">
        <v>1.653E-2</v>
      </c>
    </row>
    <row r="46" spans="1:43" x14ac:dyDescent="0.25">
      <c r="A46" s="3">
        <v>720</v>
      </c>
      <c r="B46" s="3">
        <v>1</v>
      </c>
      <c r="C46" s="3">
        <v>4</v>
      </c>
      <c r="D46" s="3">
        <v>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L46" s="3">
        <v>720</v>
      </c>
      <c r="M46" s="3">
        <v>1</v>
      </c>
      <c r="N46" s="3">
        <v>4</v>
      </c>
      <c r="O46" s="3">
        <v>3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W46" s="3">
        <v>720</v>
      </c>
      <c r="X46" s="3">
        <v>1</v>
      </c>
      <c r="Y46" s="3">
        <v>4</v>
      </c>
      <c r="Z46" s="3">
        <v>3</v>
      </c>
      <c r="AA46">
        <v>77</v>
      </c>
      <c r="AB46">
        <v>79.7</v>
      </c>
      <c r="AC46">
        <v>79.2</v>
      </c>
      <c r="AD46">
        <v>84</v>
      </c>
      <c r="AE46">
        <v>1.21E-2</v>
      </c>
      <c r="AF46">
        <v>1.643E-2</v>
      </c>
      <c r="AH46" s="3">
        <v>720</v>
      </c>
      <c r="AI46" s="3">
        <v>1</v>
      </c>
      <c r="AJ46" s="3">
        <v>4</v>
      </c>
      <c r="AK46" s="3">
        <v>3</v>
      </c>
      <c r="AL46">
        <v>77</v>
      </c>
      <c r="AM46">
        <v>79.7</v>
      </c>
      <c r="AN46">
        <v>79.2</v>
      </c>
      <c r="AO46">
        <v>84</v>
      </c>
      <c r="AP46">
        <v>1.21E-2</v>
      </c>
      <c r="AQ46">
        <v>1.643E-2</v>
      </c>
    </row>
    <row r="47" spans="1:43" x14ac:dyDescent="0.25">
      <c r="A47" s="3">
        <v>720</v>
      </c>
      <c r="B47" s="3">
        <v>1</v>
      </c>
      <c r="C47" s="3">
        <v>5</v>
      </c>
      <c r="D47" s="3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L47" s="3">
        <v>720</v>
      </c>
      <c r="M47" s="3">
        <v>1</v>
      </c>
      <c r="N47" s="3">
        <v>5</v>
      </c>
      <c r="O47" s="3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W47" s="3">
        <v>720</v>
      </c>
      <c r="X47" s="3">
        <v>1</v>
      </c>
      <c r="Y47" s="3">
        <v>5</v>
      </c>
      <c r="Z47" s="3">
        <v>1</v>
      </c>
      <c r="AA47">
        <v>78</v>
      </c>
      <c r="AB47">
        <v>80.599999999999994</v>
      </c>
      <c r="AC47">
        <v>81.2</v>
      </c>
      <c r="AD47">
        <v>88.1</v>
      </c>
      <c r="AE47">
        <v>1.372E-2</v>
      </c>
      <c r="AF47">
        <v>2.0240000000000001E-2</v>
      </c>
      <c r="AH47" s="3">
        <v>720</v>
      </c>
      <c r="AI47" s="3">
        <v>1</v>
      </c>
      <c r="AJ47" s="3">
        <v>5</v>
      </c>
      <c r="AK47" s="3">
        <v>1</v>
      </c>
      <c r="AL47">
        <v>78</v>
      </c>
      <c r="AM47">
        <v>80.599999999999994</v>
      </c>
      <c r="AN47">
        <v>81.2</v>
      </c>
      <c r="AO47">
        <v>88.1</v>
      </c>
      <c r="AP47">
        <v>1.372E-2</v>
      </c>
      <c r="AQ47">
        <v>2.0240000000000001E-2</v>
      </c>
    </row>
    <row r="48" spans="1:43" x14ac:dyDescent="0.25">
      <c r="A48" s="3">
        <v>720</v>
      </c>
      <c r="B48" s="3">
        <v>1</v>
      </c>
      <c r="C48" s="3">
        <v>5</v>
      </c>
      <c r="D48" s="3">
        <v>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L48" s="3">
        <v>720</v>
      </c>
      <c r="M48" s="3">
        <v>1</v>
      </c>
      <c r="N48" s="3">
        <v>5</v>
      </c>
      <c r="O48" s="3">
        <v>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W48" s="3">
        <v>720</v>
      </c>
      <c r="X48" s="3">
        <v>1</v>
      </c>
      <c r="Y48" s="3">
        <v>5</v>
      </c>
      <c r="Z48" s="3">
        <v>2</v>
      </c>
      <c r="AA48">
        <v>78.599999999999994</v>
      </c>
      <c r="AB48">
        <v>80.900000000000006</v>
      </c>
      <c r="AC48">
        <v>81.8</v>
      </c>
      <c r="AD48">
        <v>88.1</v>
      </c>
      <c r="AE48">
        <v>1.367E-2</v>
      </c>
      <c r="AF48">
        <v>2.0150000000000001E-2</v>
      </c>
      <c r="AH48" s="3">
        <v>720</v>
      </c>
      <c r="AI48" s="3">
        <v>1</v>
      </c>
      <c r="AJ48" s="3">
        <v>5</v>
      </c>
      <c r="AK48" s="3">
        <v>2</v>
      </c>
      <c r="AL48">
        <v>78.599999999999994</v>
      </c>
      <c r="AM48">
        <v>80.900000000000006</v>
      </c>
      <c r="AN48">
        <v>81.8</v>
      </c>
      <c r="AO48">
        <v>88.1</v>
      </c>
      <c r="AP48">
        <v>1.367E-2</v>
      </c>
      <c r="AQ48">
        <v>2.0150000000000001E-2</v>
      </c>
    </row>
    <row r="49" spans="1:43" x14ac:dyDescent="0.25">
      <c r="A49" s="3">
        <v>720</v>
      </c>
      <c r="B49" s="3">
        <v>1</v>
      </c>
      <c r="C49" s="3">
        <v>5</v>
      </c>
      <c r="D49" s="3">
        <v>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L49" s="3">
        <v>720</v>
      </c>
      <c r="M49" s="3">
        <v>1</v>
      </c>
      <c r="N49" s="3">
        <v>5</v>
      </c>
      <c r="O49" s="3">
        <v>3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W49" s="3">
        <v>720</v>
      </c>
      <c r="X49" s="3">
        <v>1</v>
      </c>
      <c r="Y49" s="3">
        <v>5</v>
      </c>
      <c r="Z49" s="3">
        <v>3</v>
      </c>
      <c r="AA49">
        <v>78.8</v>
      </c>
      <c r="AB49">
        <v>80.900000000000006</v>
      </c>
      <c r="AC49">
        <v>81.900000000000006</v>
      </c>
      <c r="AD49">
        <v>87.6</v>
      </c>
      <c r="AE49">
        <v>1.329E-2</v>
      </c>
      <c r="AF49">
        <v>1.9460000000000002E-2</v>
      </c>
      <c r="AH49" s="3">
        <v>720</v>
      </c>
      <c r="AI49" s="3">
        <v>1</v>
      </c>
      <c r="AJ49" s="3">
        <v>5</v>
      </c>
      <c r="AK49" s="3">
        <v>3</v>
      </c>
      <c r="AL49">
        <v>78.8</v>
      </c>
      <c r="AM49">
        <v>80.900000000000006</v>
      </c>
      <c r="AN49">
        <v>81.900000000000006</v>
      </c>
      <c r="AO49">
        <v>87.6</v>
      </c>
      <c r="AP49">
        <v>1.329E-2</v>
      </c>
      <c r="AQ49">
        <v>1.9460000000000002E-2</v>
      </c>
    </row>
    <row r="50" spans="1:43" x14ac:dyDescent="0.25">
      <c r="A50" s="3">
        <v>720</v>
      </c>
      <c r="B50" s="3">
        <v>1</v>
      </c>
      <c r="C50" s="3">
        <v>6</v>
      </c>
      <c r="D50" s="3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L50" s="3">
        <v>720</v>
      </c>
      <c r="M50" s="3">
        <v>1</v>
      </c>
      <c r="N50" s="3">
        <v>6</v>
      </c>
      <c r="O50" s="3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W50" s="3">
        <v>720</v>
      </c>
      <c r="X50" s="3">
        <v>1</v>
      </c>
      <c r="Y50" s="3">
        <v>6</v>
      </c>
      <c r="Z50" s="3">
        <v>1</v>
      </c>
      <c r="AA50">
        <v>76.5</v>
      </c>
      <c r="AB50">
        <v>78.8</v>
      </c>
      <c r="AC50">
        <v>78.7</v>
      </c>
      <c r="AD50">
        <v>83.1</v>
      </c>
      <c r="AE50">
        <v>1.1650000000000001E-2</v>
      </c>
      <c r="AF50">
        <v>1.559E-2</v>
      </c>
      <c r="AH50" s="3">
        <v>720</v>
      </c>
      <c r="AI50" s="3">
        <v>1</v>
      </c>
      <c r="AJ50" s="3">
        <v>6</v>
      </c>
      <c r="AK50" s="3">
        <v>1</v>
      </c>
      <c r="AL50">
        <v>76.5</v>
      </c>
      <c r="AM50">
        <v>78.8</v>
      </c>
      <c r="AN50">
        <v>78.7</v>
      </c>
      <c r="AO50">
        <v>83.1</v>
      </c>
      <c r="AP50">
        <v>1.1650000000000001E-2</v>
      </c>
      <c r="AQ50">
        <v>1.559E-2</v>
      </c>
    </row>
    <row r="51" spans="1:43" x14ac:dyDescent="0.25">
      <c r="A51" s="3">
        <v>720</v>
      </c>
      <c r="B51" s="3">
        <v>1</v>
      </c>
      <c r="C51" s="3">
        <v>6</v>
      </c>
      <c r="D51" s="3">
        <v>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L51" s="3">
        <v>720</v>
      </c>
      <c r="M51" s="3">
        <v>1</v>
      </c>
      <c r="N51" s="3">
        <v>6</v>
      </c>
      <c r="O51" s="3">
        <v>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W51" s="3">
        <v>720</v>
      </c>
      <c r="X51" s="3">
        <v>1</v>
      </c>
      <c r="Y51" s="3">
        <v>6</v>
      </c>
      <c r="Z51" s="3">
        <v>2</v>
      </c>
      <c r="AA51">
        <v>76.2</v>
      </c>
      <c r="AB51">
        <v>78.599999999999994</v>
      </c>
      <c r="AC51">
        <v>78.400000000000006</v>
      </c>
      <c r="AD51">
        <v>83</v>
      </c>
      <c r="AE51">
        <v>1.158E-2</v>
      </c>
      <c r="AF51">
        <v>1.55E-2</v>
      </c>
      <c r="AH51" s="3">
        <v>720</v>
      </c>
      <c r="AI51" s="3">
        <v>1</v>
      </c>
      <c r="AJ51" s="3">
        <v>6</v>
      </c>
      <c r="AK51" s="3">
        <v>2</v>
      </c>
      <c r="AL51">
        <v>76.2</v>
      </c>
      <c r="AM51">
        <v>78.599999999999994</v>
      </c>
      <c r="AN51">
        <v>78.400000000000006</v>
      </c>
      <c r="AO51">
        <v>83</v>
      </c>
      <c r="AP51">
        <v>1.158E-2</v>
      </c>
      <c r="AQ51">
        <v>1.55E-2</v>
      </c>
    </row>
    <row r="52" spans="1:43" x14ac:dyDescent="0.25">
      <c r="A52" s="3">
        <v>720</v>
      </c>
      <c r="B52" s="3">
        <v>1</v>
      </c>
      <c r="C52" s="3">
        <v>6</v>
      </c>
      <c r="D52" s="3">
        <v>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L52" s="3">
        <v>720</v>
      </c>
      <c r="M52" s="3">
        <v>1</v>
      </c>
      <c r="N52" s="3">
        <v>6</v>
      </c>
      <c r="O52" s="3">
        <v>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W52" s="3">
        <v>720</v>
      </c>
      <c r="X52" s="3">
        <v>1</v>
      </c>
      <c r="Y52" s="3">
        <v>6</v>
      </c>
      <c r="Z52" s="3">
        <v>3</v>
      </c>
      <c r="AA52">
        <v>76.2</v>
      </c>
      <c r="AB52">
        <v>78.8</v>
      </c>
      <c r="AC52">
        <v>78.400000000000006</v>
      </c>
      <c r="AD52">
        <v>83.4</v>
      </c>
      <c r="AE52">
        <v>1.1690000000000001E-2</v>
      </c>
      <c r="AF52">
        <v>1.5650000000000001E-2</v>
      </c>
      <c r="AH52" s="3">
        <v>720</v>
      </c>
      <c r="AI52" s="3">
        <v>1</v>
      </c>
      <c r="AJ52" s="3">
        <v>6</v>
      </c>
      <c r="AK52" s="3">
        <v>3</v>
      </c>
      <c r="AL52">
        <v>76.2</v>
      </c>
      <c r="AM52">
        <v>78.8</v>
      </c>
      <c r="AN52">
        <v>78.400000000000006</v>
      </c>
      <c r="AO52">
        <v>83.4</v>
      </c>
      <c r="AP52">
        <v>1.1690000000000001E-2</v>
      </c>
      <c r="AQ52">
        <v>1.5650000000000001E-2</v>
      </c>
    </row>
    <row r="53" spans="1:43" x14ac:dyDescent="0.25">
      <c r="A53" s="3">
        <v>720</v>
      </c>
      <c r="B53" s="3">
        <v>1</v>
      </c>
      <c r="C53" s="3">
        <v>103</v>
      </c>
      <c r="D53" s="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L53" s="3">
        <v>720</v>
      </c>
      <c r="M53" s="3">
        <v>1</v>
      </c>
      <c r="N53" s="3">
        <v>103</v>
      </c>
      <c r="O53" s="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W53" s="3">
        <v>720</v>
      </c>
      <c r="X53" s="3">
        <v>1</v>
      </c>
      <c r="Y53" s="3">
        <v>103</v>
      </c>
      <c r="Z53" s="3">
        <v>1</v>
      </c>
      <c r="AA53">
        <v>76.599999999999994</v>
      </c>
      <c r="AB53">
        <v>80.099999999999994</v>
      </c>
      <c r="AC53">
        <v>79.8</v>
      </c>
      <c r="AD53">
        <v>87.9</v>
      </c>
      <c r="AE53">
        <v>1.3679999999999999E-2</v>
      </c>
      <c r="AF53">
        <v>2.0209999999999999E-2</v>
      </c>
      <c r="AH53" s="3">
        <v>720</v>
      </c>
      <c r="AI53" s="3">
        <v>1</v>
      </c>
      <c r="AJ53" s="3">
        <v>103</v>
      </c>
      <c r="AK53" s="3">
        <v>1</v>
      </c>
      <c r="AL53">
        <v>76.599999999999994</v>
      </c>
      <c r="AM53">
        <v>80.099999999999994</v>
      </c>
      <c r="AN53">
        <v>79.8</v>
      </c>
      <c r="AO53">
        <v>87.9</v>
      </c>
      <c r="AP53">
        <v>1.3679999999999999E-2</v>
      </c>
      <c r="AQ53">
        <v>2.0209999999999999E-2</v>
      </c>
    </row>
    <row r="54" spans="1:43" x14ac:dyDescent="0.25">
      <c r="A54" s="3">
        <v>720</v>
      </c>
      <c r="B54" s="3">
        <v>1</v>
      </c>
      <c r="C54" s="3">
        <v>104</v>
      </c>
      <c r="D54" s="3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L54" s="3">
        <v>720</v>
      </c>
      <c r="M54" s="3">
        <v>1</v>
      </c>
      <c r="N54" s="3">
        <v>104</v>
      </c>
      <c r="O54" s="3">
        <v>1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W54" s="3">
        <v>720</v>
      </c>
      <c r="X54" s="3">
        <v>1</v>
      </c>
      <c r="Y54" s="3">
        <v>104</v>
      </c>
      <c r="Z54" s="3">
        <v>1</v>
      </c>
      <c r="AA54">
        <v>77.2</v>
      </c>
      <c r="AB54">
        <v>83.7</v>
      </c>
      <c r="AC54">
        <v>79.400000000000006</v>
      </c>
      <c r="AD54">
        <v>87.9</v>
      </c>
      <c r="AE54">
        <v>1.319E-2</v>
      </c>
      <c r="AF54">
        <v>1.9130000000000001E-2</v>
      </c>
      <c r="AH54" s="3">
        <v>720</v>
      </c>
      <c r="AI54" s="3">
        <v>1</v>
      </c>
      <c r="AJ54" s="3">
        <v>104</v>
      </c>
      <c r="AK54" s="3">
        <v>1</v>
      </c>
      <c r="AL54">
        <v>77.2</v>
      </c>
      <c r="AM54">
        <v>83.7</v>
      </c>
      <c r="AN54">
        <v>79.400000000000006</v>
      </c>
      <c r="AO54">
        <v>87.9</v>
      </c>
      <c r="AP54">
        <v>1.319E-2</v>
      </c>
      <c r="AQ54">
        <v>1.9130000000000001E-2</v>
      </c>
    </row>
    <row r="55" spans="1:43" x14ac:dyDescent="0.25">
      <c r="A55" s="3">
        <v>720</v>
      </c>
      <c r="B55" s="3">
        <v>4</v>
      </c>
      <c r="C55" s="3">
        <v>110</v>
      </c>
      <c r="D55" s="3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L55" s="3">
        <v>720</v>
      </c>
      <c r="M55" s="3">
        <v>4</v>
      </c>
      <c r="N55" s="3">
        <v>110</v>
      </c>
      <c r="O55" s="3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W55" s="3">
        <v>720</v>
      </c>
      <c r="X55" s="3">
        <v>4</v>
      </c>
      <c r="Y55" s="3">
        <v>110</v>
      </c>
      <c r="Z55" s="3">
        <v>1</v>
      </c>
      <c r="AA55">
        <v>77.7</v>
      </c>
      <c r="AB55">
        <v>87.6</v>
      </c>
      <c r="AC55">
        <v>78.7</v>
      </c>
      <c r="AD55">
        <v>88.6</v>
      </c>
      <c r="AE55">
        <v>1.2630000000000001E-2</v>
      </c>
      <c r="AF55">
        <v>1.8540000000000001E-2</v>
      </c>
      <c r="AH55" s="3">
        <v>720</v>
      </c>
      <c r="AI55" s="3">
        <v>4</v>
      </c>
      <c r="AJ55" s="3">
        <v>110</v>
      </c>
      <c r="AK55" s="3">
        <v>1</v>
      </c>
      <c r="AL55">
        <v>77.7</v>
      </c>
      <c r="AM55">
        <v>87.6</v>
      </c>
      <c r="AN55">
        <v>78.7</v>
      </c>
      <c r="AO55">
        <v>88.6</v>
      </c>
      <c r="AP55">
        <v>1.2630000000000001E-2</v>
      </c>
      <c r="AQ55">
        <v>1.8540000000000001E-2</v>
      </c>
    </row>
    <row r="56" spans="1:43" x14ac:dyDescent="0.25">
      <c r="A56" s="3">
        <v>720</v>
      </c>
      <c r="B56" s="3">
        <v>5</v>
      </c>
      <c r="C56" s="3">
        <v>12</v>
      </c>
      <c r="D56" s="3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L56" s="3">
        <v>720</v>
      </c>
      <c r="M56" s="3">
        <v>5</v>
      </c>
      <c r="N56" s="3">
        <v>12</v>
      </c>
      <c r="O56" s="3">
        <v>1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W56" s="3">
        <v>720</v>
      </c>
      <c r="X56" s="3">
        <v>5</v>
      </c>
      <c r="Y56" s="3">
        <v>12</v>
      </c>
      <c r="Z56" s="3">
        <v>1</v>
      </c>
      <c r="AA56">
        <v>81</v>
      </c>
      <c r="AB56">
        <v>83</v>
      </c>
      <c r="AC56">
        <v>84.7</v>
      </c>
      <c r="AD56">
        <v>90.4</v>
      </c>
      <c r="AE56">
        <v>1.247E-2</v>
      </c>
      <c r="AF56">
        <v>1.821E-2</v>
      </c>
      <c r="AH56" s="3">
        <v>720</v>
      </c>
      <c r="AI56" s="3">
        <v>5</v>
      </c>
      <c r="AJ56" s="3">
        <v>12</v>
      </c>
      <c r="AK56" s="3">
        <v>1</v>
      </c>
      <c r="AL56">
        <v>81</v>
      </c>
      <c r="AM56">
        <v>83</v>
      </c>
      <c r="AN56">
        <v>84.7</v>
      </c>
      <c r="AO56">
        <v>90.4</v>
      </c>
      <c r="AP56">
        <v>1.247E-2</v>
      </c>
      <c r="AQ56">
        <v>1.821E-2</v>
      </c>
    </row>
    <row r="57" spans="1:43" x14ac:dyDescent="0.25">
      <c r="A57" s="3">
        <v>720</v>
      </c>
      <c r="B57" s="3">
        <v>5</v>
      </c>
      <c r="C57" s="3">
        <v>12</v>
      </c>
      <c r="D57" s="3">
        <v>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L57" s="3">
        <v>720</v>
      </c>
      <c r="M57" s="3">
        <v>5</v>
      </c>
      <c r="N57" s="3">
        <v>12</v>
      </c>
      <c r="O57" s="3">
        <v>2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W57" s="3">
        <v>720</v>
      </c>
      <c r="X57" s="3">
        <v>5</v>
      </c>
      <c r="Y57" s="3">
        <v>12</v>
      </c>
      <c r="Z57" s="3">
        <v>2</v>
      </c>
      <c r="AA57">
        <v>81.900000000000006</v>
      </c>
      <c r="AB57">
        <v>84</v>
      </c>
      <c r="AC57">
        <v>85.9</v>
      </c>
      <c r="AD57">
        <v>92.3</v>
      </c>
      <c r="AE57">
        <v>1.3339999999999999E-2</v>
      </c>
      <c r="AF57">
        <v>1.9619999999999999E-2</v>
      </c>
      <c r="AH57" s="3">
        <v>720</v>
      </c>
      <c r="AI57" s="3">
        <v>5</v>
      </c>
      <c r="AJ57" s="3">
        <v>12</v>
      </c>
      <c r="AK57" s="3">
        <v>2</v>
      </c>
      <c r="AL57">
        <v>81.900000000000006</v>
      </c>
      <c r="AM57">
        <v>84</v>
      </c>
      <c r="AN57">
        <v>85.9</v>
      </c>
      <c r="AO57">
        <v>92.3</v>
      </c>
      <c r="AP57">
        <v>1.3339999999999999E-2</v>
      </c>
      <c r="AQ57">
        <v>1.9619999999999999E-2</v>
      </c>
    </row>
    <row r="58" spans="1:43" x14ac:dyDescent="0.25">
      <c r="A58" s="3">
        <v>720</v>
      </c>
      <c r="B58" s="3">
        <v>5</v>
      </c>
      <c r="C58" s="3">
        <v>12</v>
      </c>
      <c r="D58" s="3">
        <v>3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L58" s="3">
        <v>720</v>
      </c>
      <c r="M58" s="3">
        <v>5</v>
      </c>
      <c r="N58" s="3">
        <v>12</v>
      </c>
      <c r="O58" s="3">
        <v>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W58" s="3">
        <v>720</v>
      </c>
      <c r="X58" s="3">
        <v>5</v>
      </c>
      <c r="Y58" s="3">
        <v>12</v>
      </c>
      <c r="Z58" s="3">
        <v>3</v>
      </c>
      <c r="AA58">
        <v>80.5</v>
      </c>
      <c r="AB58">
        <v>82.8</v>
      </c>
      <c r="AC58">
        <v>84.6</v>
      </c>
      <c r="AD58">
        <v>91.7</v>
      </c>
      <c r="AE58">
        <v>1.363E-2</v>
      </c>
      <c r="AF58">
        <v>2.01E-2</v>
      </c>
      <c r="AH58" s="3">
        <v>720</v>
      </c>
      <c r="AI58" s="3">
        <v>5</v>
      </c>
      <c r="AJ58" s="3">
        <v>12</v>
      </c>
      <c r="AK58" s="3">
        <v>3</v>
      </c>
      <c r="AL58">
        <v>80.5</v>
      </c>
      <c r="AM58">
        <v>82.8</v>
      </c>
      <c r="AN58">
        <v>84.6</v>
      </c>
      <c r="AO58">
        <v>91.7</v>
      </c>
      <c r="AP58">
        <v>1.363E-2</v>
      </c>
      <c r="AQ58">
        <v>2.01E-2</v>
      </c>
    </row>
    <row r="59" spans="1:43" x14ac:dyDescent="0.25">
      <c r="A59" s="3">
        <v>720</v>
      </c>
      <c r="B59" s="3">
        <v>5</v>
      </c>
      <c r="C59" s="3">
        <v>13</v>
      </c>
      <c r="D59" s="3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L59" s="3">
        <v>720</v>
      </c>
      <c r="M59" s="3">
        <v>5</v>
      </c>
      <c r="N59" s="3">
        <v>13</v>
      </c>
      <c r="O59" s="3">
        <v>1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W59" s="3">
        <v>720</v>
      </c>
      <c r="X59" s="3">
        <v>5</v>
      </c>
      <c r="Y59" s="3">
        <v>13</v>
      </c>
      <c r="Z59" s="3">
        <v>1</v>
      </c>
      <c r="AA59">
        <v>78.8</v>
      </c>
      <c r="AB59">
        <v>82</v>
      </c>
      <c r="AC59">
        <v>82.3</v>
      </c>
      <c r="AD59">
        <v>90.3</v>
      </c>
      <c r="AE59">
        <v>1.37E-2</v>
      </c>
      <c r="AF59">
        <v>2.0230000000000001E-2</v>
      </c>
      <c r="AH59" s="3">
        <v>720</v>
      </c>
      <c r="AI59" s="3">
        <v>5</v>
      </c>
      <c r="AJ59" s="3">
        <v>13</v>
      </c>
      <c r="AK59" s="3">
        <v>1</v>
      </c>
      <c r="AL59">
        <v>78.8</v>
      </c>
      <c r="AM59">
        <v>82</v>
      </c>
      <c r="AN59">
        <v>82.3</v>
      </c>
      <c r="AO59">
        <v>90.3</v>
      </c>
      <c r="AP59">
        <v>1.37E-2</v>
      </c>
      <c r="AQ59">
        <v>2.0230000000000001E-2</v>
      </c>
    </row>
    <row r="60" spans="1:43" x14ac:dyDescent="0.25">
      <c r="A60" s="3">
        <v>720</v>
      </c>
      <c r="B60" s="3">
        <v>5</v>
      </c>
      <c r="C60" s="3">
        <v>13</v>
      </c>
      <c r="D60" s="3">
        <v>2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L60" s="3">
        <v>720</v>
      </c>
      <c r="M60" s="3">
        <v>5</v>
      </c>
      <c r="N60" s="3">
        <v>13</v>
      </c>
      <c r="O60" s="3">
        <v>2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W60" s="3">
        <v>720</v>
      </c>
      <c r="X60" s="3">
        <v>5</v>
      </c>
      <c r="Y60" s="3">
        <v>13</v>
      </c>
      <c r="Z60" s="3">
        <v>2</v>
      </c>
      <c r="AA60">
        <v>77.900000000000006</v>
      </c>
      <c r="AB60">
        <v>81.3</v>
      </c>
      <c r="AC60">
        <v>81.5</v>
      </c>
      <c r="AD60">
        <v>90</v>
      </c>
      <c r="AE60">
        <v>1.3679999999999999E-2</v>
      </c>
      <c r="AF60">
        <v>2.0209999999999999E-2</v>
      </c>
      <c r="AH60" s="3">
        <v>720</v>
      </c>
      <c r="AI60" s="3">
        <v>5</v>
      </c>
      <c r="AJ60" s="3">
        <v>13</v>
      </c>
      <c r="AK60" s="3">
        <v>2</v>
      </c>
      <c r="AL60">
        <v>77.900000000000006</v>
      </c>
      <c r="AM60">
        <v>81.3</v>
      </c>
      <c r="AN60">
        <v>81.5</v>
      </c>
      <c r="AO60">
        <v>90</v>
      </c>
      <c r="AP60">
        <v>1.3679999999999999E-2</v>
      </c>
      <c r="AQ60">
        <v>2.0209999999999999E-2</v>
      </c>
    </row>
    <row r="61" spans="1:43" x14ac:dyDescent="0.25">
      <c r="A61" s="3">
        <v>720</v>
      </c>
      <c r="B61" s="3">
        <v>5</v>
      </c>
      <c r="C61" s="3">
        <v>14</v>
      </c>
      <c r="D61" s="3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L61" s="3">
        <v>720</v>
      </c>
      <c r="M61" s="3">
        <v>5</v>
      </c>
      <c r="N61" s="3">
        <v>14</v>
      </c>
      <c r="O61" s="3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W61" s="3">
        <v>720</v>
      </c>
      <c r="X61" s="3">
        <v>5</v>
      </c>
      <c r="Y61" s="3">
        <v>14</v>
      </c>
      <c r="Z61" s="3">
        <v>1</v>
      </c>
      <c r="AA61">
        <v>76.400000000000006</v>
      </c>
      <c r="AB61">
        <v>78.900000000000006</v>
      </c>
      <c r="AC61">
        <v>80.8</v>
      </c>
      <c r="AD61">
        <v>89.8</v>
      </c>
      <c r="AE61">
        <v>1.367E-2</v>
      </c>
      <c r="AF61">
        <v>2.019E-2</v>
      </c>
      <c r="AH61" s="3">
        <v>720</v>
      </c>
      <c r="AI61" s="3">
        <v>5</v>
      </c>
      <c r="AJ61" s="3">
        <v>14</v>
      </c>
      <c r="AK61" s="3">
        <v>1</v>
      </c>
      <c r="AL61">
        <v>76.400000000000006</v>
      </c>
      <c r="AM61">
        <v>78.900000000000006</v>
      </c>
      <c r="AN61">
        <v>80.8</v>
      </c>
      <c r="AO61">
        <v>89.8</v>
      </c>
      <c r="AP61">
        <v>1.367E-2</v>
      </c>
      <c r="AQ61">
        <v>2.019E-2</v>
      </c>
    </row>
    <row r="62" spans="1:43" x14ac:dyDescent="0.25">
      <c r="A62" s="3">
        <v>720</v>
      </c>
      <c r="B62" s="3">
        <v>5</v>
      </c>
      <c r="C62" s="3">
        <v>14</v>
      </c>
      <c r="D62" s="3">
        <v>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L62" s="3">
        <v>720</v>
      </c>
      <c r="M62" s="3">
        <v>5</v>
      </c>
      <c r="N62" s="3">
        <v>14</v>
      </c>
      <c r="O62" s="3">
        <v>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W62" s="3">
        <v>720</v>
      </c>
      <c r="X62" s="3">
        <v>5</v>
      </c>
      <c r="Y62" s="3">
        <v>14</v>
      </c>
      <c r="Z62" s="3">
        <v>2</v>
      </c>
      <c r="AA62">
        <v>76.099999999999994</v>
      </c>
      <c r="AB62">
        <v>78.7</v>
      </c>
      <c r="AC62">
        <v>80.400000000000006</v>
      </c>
      <c r="AD62">
        <v>89.9</v>
      </c>
      <c r="AE62">
        <v>1.3650000000000001E-2</v>
      </c>
      <c r="AF62">
        <v>2.018E-2</v>
      </c>
      <c r="AH62" s="3">
        <v>720</v>
      </c>
      <c r="AI62" s="3">
        <v>5</v>
      </c>
      <c r="AJ62" s="3">
        <v>14</v>
      </c>
      <c r="AK62" s="3">
        <v>2</v>
      </c>
      <c r="AL62">
        <v>76.099999999999994</v>
      </c>
      <c r="AM62">
        <v>78.7</v>
      </c>
      <c r="AN62">
        <v>80.400000000000006</v>
      </c>
      <c r="AO62">
        <v>89.9</v>
      </c>
      <c r="AP62">
        <v>1.3650000000000001E-2</v>
      </c>
      <c r="AQ62">
        <v>2.018E-2</v>
      </c>
    </row>
    <row r="63" spans="1:43" x14ac:dyDescent="0.25">
      <c r="A63" s="3">
        <v>720</v>
      </c>
      <c r="B63" s="3">
        <v>5</v>
      </c>
      <c r="C63" s="3">
        <v>114</v>
      </c>
      <c r="D63" s="3">
        <v>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L63" s="3">
        <v>720</v>
      </c>
      <c r="M63" s="3">
        <v>5</v>
      </c>
      <c r="N63" s="3">
        <v>114</v>
      </c>
      <c r="O63" s="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W63" s="3">
        <v>720</v>
      </c>
      <c r="X63" s="3">
        <v>5</v>
      </c>
      <c r="Y63" s="3">
        <v>114</v>
      </c>
      <c r="Z63" s="3">
        <v>1</v>
      </c>
      <c r="AA63">
        <v>78.8</v>
      </c>
      <c r="AB63">
        <v>81.7</v>
      </c>
      <c r="AC63">
        <v>82.6</v>
      </c>
      <c r="AD63">
        <v>90.3</v>
      </c>
      <c r="AE63">
        <v>1.3679999999999999E-2</v>
      </c>
      <c r="AF63">
        <v>2.0199999999999999E-2</v>
      </c>
      <c r="AH63" s="3">
        <v>720</v>
      </c>
      <c r="AI63" s="3">
        <v>5</v>
      </c>
      <c r="AJ63" s="3">
        <v>114</v>
      </c>
      <c r="AK63" s="3">
        <v>1</v>
      </c>
      <c r="AL63">
        <v>78.8</v>
      </c>
      <c r="AM63">
        <v>81.7</v>
      </c>
      <c r="AN63">
        <v>82.6</v>
      </c>
      <c r="AO63">
        <v>90.3</v>
      </c>
      <c r="AP63">
        <v>1.3679999999999999E-2</v>
      </c>
      <c r="AQ63">
        <v>2.0199999999999999E-2</v>
      </c>
    </row>
    <row r="64" spans="1:43" x14ac:dyDescent="0.25">
      <c r="A64" s="3">
        <v>990</v>
      </c>
      <c r="B64" s="3">
        <v>1</v>
      </c>
      <c r="C64" s="3">
        <v>1</v>
      </c>
      <c r="D64" s="3">
        <v>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L64" s="3">
        <v>990</v>
      </c>
      <c r="M64" s="3">
        <v>1</v>
      </c>
      <c r="N64" s="3">
        <v>1</v>
      </c>
      <c r="O64" s="3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W64" s="3">
        <v>990</v>
      </c>
      <c r="X64" s="3">
        <v>1</v>
      </c>
      <c r="Y64" s="3">
        <v>1</v>
      </c>
      <c r="Z64" s="3">
        <v>1</v>
      </c>
      <c r="AA64">
        <v>76.5</v>
      </c>
      <c r="AB64">
        <v>79.8</v>
      </c>
      <c r="AC64">
        <v>80.099999999999994</v>
      </c>
      <c r="AD64">
        <v>89.6</v>
      </c>
      <c r="AE64">
        <v>1.3650000000000001E-2</v>
      </c>
      <c r="AF64">
        <v>2.018E-2</v>
      </c>
      <c r="AH64" s="3">
        <v>990</v>
      </c>
      <c r="AI64" s="3">
        <v>1</v>
      </c>
      <c r="AJ64" s="3">
        <v>1</v>
      </c>
      <c r="AK64" s="3">
        <v>1</v>
      </c>
      <c r="AL64">
        <v>76.5</v>
      </c>
      <c r="AM64">
        <v>79.8</v>
      </c>
      <c r="AN64">
        <v>80.099999999999994</v>
      </c>
      <c r="AO64">
        <v>89.6</v>
      </c>
      <c r="AP64">
        <v>1.3650000000000001E-2</v>
      </c>
      <c r="AQ64">
        <v>2.018E-2</v>
      </c>
    </row>
    <row r="65" spans="1:43" x14ac:dyDescent="0.25">
      <c r="A65" s="3">
        <v>990</v>
      </c>
      <c r="B65" s="3">
        <v>1</v>
      </c>
      <c r="C65" s="3">
        <v>2</v>
      </c>
      <c r="D65" s="3">
        <v>1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L65" s="3">
        <v>990</v>
      </c>
      <c r="M65" s="3">
        <v>1</v>
      </c>
      <c r="N65" s="3">
        <v>2</v>
      </c>
      <c r="O65" s="3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W65" s="3">
        <v>990</v>
      </c>
      <c r="X65" s="3">
        <v>1</v>
      </c>
      <c r="Y65" s="3">
        <v>2</v>
      </c>
      <c r="Z65" s="3">
        <v>1</v>
      </c>
      <c r="AA65">
        <v>76.7</v>
      </c>
      <c r="AB65">
        <v>80.099999999999994</v>
      </c>
      <c r="AC65">
        <v>80.099999999999994</v>
      </c>
      <c r="AD65">
        <v>89.2</v>
      </c>
      <c r="AE65">
        <v>1.366E-2</v>
      </c>
      <c r="AF65">
        <v>2.019E-2</v>
      </c>
      <c r="AH65" s="3">
        <v>990</v>
      </c>
      <c r="AI65" s="3">
        <v>1</v>
      </c>
      <c r="AJ65" s="3">
        <v>2</v>
      </c>
      <c r="AK65" s="3">
        <v>1</v>
      </c>
      <c r="AL65">
        <v>76.7</v>
      </c>
      <c r="AM65">
        <v>80.099999999999994</v>
      </c>
      <c r="AN65">
        <v>80.099999999999994</v>
      </c>
      <c r="AO65">
        <v>89.2</v>
      </c>
      <c r="AP65">
        <v>1.366E-2</v>
      </c>
      <c r="AQ65">
        <v>2.019E-2</v>
      </c>
    </row>
    <row r="66" spans="1:43" x14ac:dyDescent="0.25">
      <c r="A66" s="3">
        <v>990</v>
      </c>
      <c r="B66" s="3">
        <v>1</v>
      </c>
      <c r="C66" s="3">
        <v>3</v>
      </c>
      <c r="D66" s="3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L66" s="3">
        <v>990</v>
      </c>
      <c r="M66" s="3">
        <v>1</v>
      </c>
      <c r="N66" s="3">
        <v>3</v>
      </c>
      <c r="O66" s="3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W66" s="3">
        <v>990</v>
      </c>
      <c r="X66" s="3">
        <v>1</v>
      </c>
      <c r="Y66" s="3">
        <v>3</v>
      </c>
      <c r="Z66" s="3">
        <v>1</v>
      </c>
      <c r="AA66">
        <v>76.900000000000006</v>
      </c>
      <c r="AB66">
        <v>80.099999999999994</v>
      </c>
      <c r="AC66">
        <v>80.3</v>
      </c>
      <c r="AD66">
        <v>88.7</v>
      </c>
      <c r="AE66">
        <v>1.3679999999999999E-2</v>
      </c>
      <c r="AF66">
        <v>2.0209999999999999E-2</v>
      </c>
      <c r="AH66" s="3">
        <v>990</v>
      </c>
      <c r="AI66" s="3">
        <v>1</v>
      </c>
      <c r="AJ66" s="3">
        <v>3</v>
      </c>
      <c r="AK66" s="3">
        <v>1</v>
      </c>
      <c r="AL66">
        <v>76.900000000000006</v>
      </c>
      <c r="AM66">
        <v>80.099999999999994</v>
      </c>
      <c r="AN66">
        <v>80.3</v>
      </c>
      <c r="AO66">
        <v>88.7</v>
      </c>
      <c r="AP66">
        <v>1.3679999999999999E-2</v>
      </c>
      <c r="AQ66">
        <v>2.0209999999999999E-2</v>
      </c>
    </row>
    <row r="67" spans="1:43" x14ac:dyDescent="0.25">
      <c r="A67" s="3">
        <v>990</v>
      </c>
      <c r="B67" s="3">
        <v>1</v>
      </c>
      <c r="C67" s="3">
        <v>3</v>
      </c>
      <c r="D67" s="3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L67" s="3">
        <v>990</v>
      </c>
      <c r="M67" s="3">
        <v>1</v>
      </c>
      <c r="N67" s="3">
        <v>3</v>
      </c>
      <c r="O67" s="3">
        <v>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W67" s="3">
        <v>990</v>
      </c>
      <c r="X67" s="3">
        <v>1</v>
      </c>
      <c r="Y67" s="3">
        <v>3</v>
      </c>
      <c r="Z67" s="3">
        <v>2</v>
      </c>
      <c r="AA67">
        <v>77.400000000000006</v>
      </c>
      <c r="AB67">
        <v>80.3</v>
      </c>
      <c r="AC67">
        <v>80.599999999999994</v>
      </c>
      <c r="AD67">
        <v>88.4</v>
      </c>
      <c r="AE67">
        <v>1.37E-2</v>
      </c>
      <c r="AF67">
        <v>2.0230000000000001E-2</v>
      </c>
      <c r="AH67" s="3">
        <v>990</v>
      </c>
      <c r="AI67" s="3">
        <v>1</v>
      </c>
      <c r="AJ67" s="3">
        <v>3</v>
      </c>
      <c r="AK67" s="3">
        <v>2</v>
      </c>
      <c r="AL67">
        <v>77.400000000000006</v>
      </c>
      <c r="AM67">
        <v>80.3</v>
      </c>
      <c r="AN67">
        <v>80.599999999999994</v>
      </c>
      <c r="AO67">
        <v>88.4</v>
      </c>
      <c r="AP67">
        <v>1.37E-2</v>
      </c>
      <c r="AQ67">
        <v>2.0230000000000001E-2</v>
      </c>
    </row>
    <row r="68" spans="1:43" x14ac:dyDescent="0.25">
      <c r="A68" s="3">
        <v>990</v>
      </c>
      <c r="B68" s="3">
        <v>1</v>
      </c>
      <c r="C68" s="3">
        <v>4</v>
      </c>
      <c r="D68" s="3">
        <v>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L68" s="3">
        <v>990</v>
      </c>
      <c r="M68" s="3">
        <v>1</v>
      </c>
      <c r="N68" s="3">
        <v>4</v>
      </c>
      <c r="O68" s="3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W68" s="3">
        <v>990</v>
      </c>
      <c r="X68" s="3">
        <v>1</v>
      </c>
      <c r="Y68" s="3">
        <v>4</v>
      </c>
      <c r="Z68" s="3">
        <v>1</v>
      </c>
      <c r="AA68">
        <v>77.400000000000006</v>
      </c>
      <c r="AB68">
        <v>79.8</v>
      </c>
      <c r="AC68">
        <v>79.5</v>
      </c>
      <c r="AD68">
        <v>83.9</v>
      </c>
      <c r="AE68">
        <v>1.2200000000000001E-2</v>
      </c>
      <c r="AF68">
        <v>1.6549999999999999E-2</v>
      </c>
      <c r="AH68" s="3">
        <v>990</v>
      </c>
      <c r="AI68" s="3">
        <v>1</v>
      </c>
      <c r="AJ68" s="3">
        <v>4</v>
      </c>
      <c r="AK68" s="3">
        <v>1</v>
      </c>
      <c r="AL68">
        <v>77.400000000000006</v>
      </c>
      <c r="AM68">
        <v>79.8</v>
      </c>
      <c r="AN68">
        <v>79.5</v>
      </c>
      <c r="AO68">
        <v>83.9</v>
      </c>
      <c r="AP68">
        <v>1.2200000000000001E-2</v>
      </c>
      <c r="AQ68">
        <v>1.6549999999999999E-2</v>
      </c>
    </row>
    <row r="69" spans="1:43" x14ac:dyDescent="0.25">
      <c r="A69" s="3">
        <v>990</v>
      </c>
      <c r="B69" s="3">
        <v>1</v>
      </c>
      <c r="C69" s="3">
        <v>4</v>
      </c>
      <c r="D69" s="3">
        <v>2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L69" s="3">
        <v>990</v>
      </c>
      <c r="M69" s="3">
        <v>1</v>
      </c>
      <c r="N69" s="3">
        <v>4</v>
      </c>
      <c r="O69" s="3">
        <v>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W69" s="3">
        <v>990</v>
      </c>
      <c r="X69" s="3">
        <v>1</v>
      </c>
      <c r="Y69" s="3">
        <v>4</v>
      </c>
      <c r="Z69" s="3">
        <v>2</v>
      </c>
      <c r="AA69">
        <v>77.099999999999994</v>
      </c>
      <c r="AB69">
        <v>79.8</v>
      </c>
      <c r="AC69">
        <v>79.3</v>
      </c>
      <c r="AD69">
        <v>83.9</v>
      </c>
      <c r="AE69">
        <v>1.2149999999999999E-2</v>
      </c>
      <c r="AF69">
        <v>1.6490000000000001E-2</v>
      </c>
      <c r="AH69" s="3">
        <v>990</v>
      </c>
      <c r="AI69" s="3">
        <v>1</v>
      </c>
      <c r="AJ69" s="3">
        <v>4</v>
      </c>
      <c r="AK69" s="3">
        <v>2</v>
      </c>
      <c r="AL69">
        <v>77.099999999999994</v>
      </c>
      <c r="AM69">
        <v>79.8</v>
      </c>
      <c r="AN69">
        <v>79.3</v>
      </c>
      <c r="AO69">
        <v>83.9</v>
      </c>
      <c r="AP69">
        <v>1.2149999999999999E-2</v>
      </c>
      <c r="AQ69">
        <v>1.6490000000000001E-2</v>
      </c>
    </row>
    <row r="70" spans="1:43" x14ac:dyDescent="0.25">
      <c r="A70" s="3">
        <v>990</v>
      </c>
      <c r="B70" s="3">
        <v>1</v>
      </c>
      <c r="C70" s="3">
        <v>4</v>
      </c>
      <c r="D70" s="3">
        <v>3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L70" s="3">
        <v>990</v>
      </c>
      <c r="M70" s="3">
        <v>1</v>
      </c>
      <c r="N70" s="3">
        <v>4</v>
      </c>
      <c r="O70" s="3">
        <v>3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W70" s="3">
        <v>990</v>
      </c>
      <c r="X70" s="3">
        <v>1</v>
      </c>
      <c r="Y70" s="3">
        <v>4</v>
      </c>
      <c r="Z70" s="3">
        <v>3</v>
      </c>
      <c r="AA70">
        <v>76.900000000000006</v>
      </c>
      <c r="AB70">
        <v>79.599999999999994</v>
      </c>
      <c r="AC70">
        <v>79.099999999999994</v>
      </c>
      <c r="AD70">
        <v>83.9</v>
      </c>
      <c r="AE70">
        <v>1.2070000000000001E-2</v>
      </c>
      <c r="AF70">
        <v>1.6379999999999999E-2</v>
      </c>
      <c r="AH70" s="3">
        <v>990</v>
      </c>
      <c r="AI70" s="3">
        <v>1</v>
      </c>
      <c r="AJ70" s="3">
        <v>4</v>
      </c>
      <c r="AK70" s="3">
        <v>3</v>
      </c>
      <c r="AL70">
        <v>76.900000000000006</v>
      </c>
      <c r="AM70">
        <v>79.599999999999994</v>
      </c>
      <c r="AN70">
        <v>79.099999999999994</v>
      </c>
      <c r="AO70">
        <v>83.9</v>
      </c>
      <c r="AP70">
        <v>1.2070000000000001E-2</v>
      </c>
      <c r="AQ70">
        <v>1.6379999999999999E-2</v>
      </c>
    </row>
    <row r="71" spans="1:43" x14ac:dyDescent="0.25">
      <c r="A71" s="3">
        <v>990</v>
      </c>
      <c r="B71" s="3">
        <v>1</v>
      </c>
      <c r="C71" s="3">
        <v>5</v>
      </c>
      <c r="D71" s="3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L71" s="3">
        <v>990</v>
      </c>
      <c r="M71" s="3">
        <v>1</v>
      </c>
      <c r="N71" s="3">
        <v>5</v>
      </c>
      <c r="O71" s="3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W71" s="3">
        <v>990</v>
      </c>
      <c r="X71" s="3">
        <v>1</v>
      </c>
      <c r="Y71" s="3">
        <v>5</v>
      </c>
      <c r="Z71" s="3">
        <v>1</v>
      </c>
      <c r="AA71">
        <v>78</v>
      </c>
      <c r="AB71">
        <v>80.599999999999994</v>
      </c>
      <c r="AC71">
        <v>81.2</v>
      </c>
      <c r="AD71">
        <v>88.1</v>
      </c>
      <c r="AE71">
        <v>1.371E-2</v>
      </c>
      <c r="AF71">
        <v>2.0230000000000001E-2</v>
      </c>
      <c r="AH71" s="3">
        <v>990</v>
      </c>
      <c r="AI71" s="3">
        <v>1</v>
      </c>
      <c r="AJ71" s="3">
        <v>5</v>
      </c>
      <c r="AK71" s="3">
        <v>1</v>
      </c>
      <c r="AL71">
        <v>78</v>
      </c>
      <c r="AM71">
        <v>80.599999999999994</v>
      </c>
      <c r="AN71">
        <v>81.2</v>
      </c>
      <c r="AO71">
        <v>88.1</v>
      </c>
      <c r="AP71">
        <v>1.371E-2</v>
      </c>
      <c r="AQ71">
        <v>2.0230000000000001E-2</v>
      </c>
    </row>
    <row r="72" spans="1:43" x14ac:dyDescent="0.25">
      <c r="A72" s="3">
        <v>990</v>
      </c>
      <c r="B72" s="3">
        <v>1</v>
      </c>
      <c r="C72" s="3">
        <v>5</v>
      </c>
      <c r="D72" s="3">
        <v>2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L72" s="3">
        <v>990</v>
      </c>
      <c r="M72" s="3">
        <v>1</v>
      </c>
      <c r="N72" s="3">
        <v>5</v>
      </c>
      <c r="O72" s="3">
        <v>2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W72" s="3">
        <v>990</v>
      </c>
      <c r="X72" s="3">
        <v>1</v>
      </c>
      <c r="Y72" s="3">
        <v>5</v>
      </c>
      <c r="Z72" s="3">
        <v>2</v>
      </c>
      <c r="AA72">
        <v>78.599999999999994</v>
      </c>
      <c r="AB72">
        <v>80.900000000000006</v>
      </c>
      <c r="AC72">
        <v>81.8</v>
      </c>
      <c r="AD72">
        <v>88.1</v>
      </c>
      <c r="AE72">
        <v>1.366E-2</v>
      </c>
      <c r="AF72">
        <v>2.0129999999999999E-2</v>
      </c>
      <c r="AH72" s="3">
        <v>990</v>
      </c>
      <c r="AI72" s="3">
        <v>1</v>
      </c>
      <c r="AJ72" s="3">
        <v>5</v>
      </c>
      <c r="AK72" s="3">
        <v>2</v>
      </c>
      <c r="AL72">
        <v>78.599999999999994</v>
      </c>
      <c r="AM72">
        <v>80.900000000000006</v>
      </c>
      <c r="AN72">
        <v>81.8</v>
      </c>
      <c r="AO72">
        <v>88.1</v>
      </c>
      <c r="AP72">
        <v>1.366E-2</v>
      </c>
      <c r="AQ72">
        <v>2.0129999999999999E-2</v>
      </c>
    </row>
    <row r="73" spans="1:43" x14ac:dyDescent="0.25">
      <c r="A73" s="3">
        <v>990</v>
      </c>
      <c r="B73" s="3">
        <v>1</v>
      </c>
      <c r="C73" s="3">
        <v>5</v>
      </c>
      <c r="D73" s="3">
        <v>3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L73" s="3">
        <v>990</v>
      </c>
      <c r="M73" s="3">
        <v>1</v>
      </c>
      <c r="N73" s="3">
        <v>5</v>
      </c>
      <c r="O73" s="3">
        <v>3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W73" s="3">
        <v>990</v>
      </c>
      <c r="X73" s="3">
        <v>1</v>
      </c>
      <c r="Y73" s="3">
        <v>5</v>
      </c>
      <c r="Z73" s="3">
        <v>3</v>
      </c>
      <c r="AA73">
        <v>78.7</v>
      </c>
      <c r="AB73">
        <v>80.7</v>
      </c>
      <c r="AC73">
        <v>81.7</v>
      </c>
      <c r="AD73">
        <v>87.4</v>
      </c>
      <c r="AE73">
        <v>1.325E-2</v>
      </c>
      <c r="AF73">
        <v>1.9400000000000001E-2</v>
      </c>
      <c r="AH73" s="3">
        <v>990</v>
      </c>
      <c r="AI73" s="3">
        <v>1</v>
      </c>
      <c r="AJ73" s="3">
        <v>5</v>
      </c>
      <c r="AK73" s="3">
        <v>3</v>
      </c>
      <c r="AL73">
        <v>78.7</v>
      </c>
      <c r="AM73">
        <v>80.7</v>
      </c>
      <c r="AN73">
        <v>81.7</v>
      </c>
      <c r="AO73">
        <v>87.4</v>
      </c>
      <c r="AP73">
        <v>1.325E-2</v>
      </c>
      <c r="AQ73">
        <v>1.9400000000000001E-2</v>
      </c>
    </row>
    <row r="74" spans="1:43" x14ac:dyDescent="0.25">
      <c r="A74" s="3">
        <v>990</v>
      </c>
      <c r="B74" s="3">
        <v>1</v>
      </c>
      <c r="C74" s="3">
        <v>6</v>
      </c>
      <c r="D74" s="3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L74" s="3">
        <v>990</v>
      </c>
      <c r="M74" s="3">
        <v>1</v>
      </c>
      <c r="N74" s="3">
        <v>6</v>
      </c>
      <c r="O74" s="3">
        <v>1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W74" s="3">
        <v>990</v>
      </c>
      <c r="X74" s="3">
        <v>1</v>
      </c>
      <c r="Y74" s="3">
        <v>6</v>
      </c>
      <c r="Z74" s="3">
        <v>1</v>
      </c>
      <c r="AA74">
        <v>76.400000000000006</v>
      </c>
      <c r="AB74">
        <v>78.599999999999994</v>
      </c>
      <c r="AC74">
        <v>78.5</v>
      </c>
      <c r="AD74">
        <v>82.9</v>
      </c>
      <c r="AE74">
        <v>1.159E-2</v>
      </c>
      <c r="AF74">
        <v>1.55E-2</v>
      </c>
      <c r="AH74" s="3">
        <v>990</v>
      </c>
      <c r="AI74" s="3">
        <v>1</v>
      </c>
      <c r="AJ74" s="3">
        <v>6</v>
      </c>
      <c r="AK74" s="3">
        <v>1</v>
      </c>
      <c r="AL74">
        <v>76.400000000000006</v>
      </c>
      <c r="AM74">
        <v>78.599999999999994</v>
      </c>
      <c r="AN74">
        <v>78.5</v>
      </c>
      <c r="AO74">
        <v>82.9</v>
      </c>
      <c r="AP74">
        <v>1.159E-2</v>
      </c>
      <c r="AQ74">
        <v>1.55E-2</v>
      </c>
    </row>
    <row r="75" spans="1:43" x14ac:dyDescent="0.25">
      <c r="A75" s="3">
        <v>990</v>
      </c>
      <c r="B75" s="3">
        <v>1</v>
      </c>
      <c r="C75" s="3">
        <v>6</v>
      </c>
      <c r="D75" s="3">
        <v>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L75" s="3">
        <v>990</v>
      </c>
      <c r="M75" s="3">
        <v>1</v>
      </c>
      <c r="N75" s="3">
        <v>6</v>
      </c>
      <c r="O75" s="3">
        <v>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W75" s="3">
        <v>990</v>
      </c>
      <c r="X75" s="3">
        <v>1</v>
      </c>
      <c r="Y75" s="3">
        <v>6</v>
      </c>
      <c r="Z75" s="3">
        <v>2</v>
      </c>
      <c r="AA75">
        <v>76</v>
      </c>
      <c r="AB75">
        <v>78.400000000000006</v>
      </c>
      <c r="AC75">
        <v>78.2</v>
      </c>
      <c r="AD75">
        <v>82.8</v>
      </c>
      <c r="AE75">
        <v>1.153E-2</v>
      </c>
      <c r="AF75">
        <v>1.542E-2</v>
      </c>
      <c r="AH75" s="3">
        <v>990</v>
      </c>
      <c r="AI75" s="3">
        <v>1</v>
      </c>
      <c r="AJ75" s="3">
        <v>6</v>
      </c>
      <c r="AK75" s="3">
        <v>2</v>
      </c>
      <c r="AL75">
        <v>76</v>
      </c>
      <c r="AM75">
        <v>78.400000000000006</v>
      </c>
      <c r="AN75">
        <v>78.2</v>
      </c>
      <c r="AO75">
        <v>82.8</v>
      </c>
      <c r="AP75">
        <v>1.153E-2</v>
      </c>
      <c r="AQ75">
        <v>1.542E-2</v>
      </c>
    </row>
    <row r="76" spans="1:43" x14ac:dyDescent="0.25">
      <c r="A76" s="3">
        <v>990</v>
      </c>
      <c r="B76" s="3">
        <v>1</v>
      </c>
      <c r="C76" s="3">
        <v>6</v>
      </c>
      <c r="D76" s="3">
        <v>3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L76" s="3">
        <v>990</v>
      </c>
      <c r="M76" s="3">
        <v>1</v>
      </c>
      <c r="N76" s="3">
        <v>6</v>
      </c>
      <c r="O76" s="3">
        <v>3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W76" s="3">
        <v>990</v>
      </c>
      <c r="X76" s="3">
        <v>1</v>
      </c>
      <c r="Y76" s="3">
        <v>6</v>
      </c>
      <c r="Z76" s="3">
        <v>3</v>
      </c>
      <c r="AA76">
        <v>76.099999999999994</v>
      </c>
      <c r="AB76">
        <v>78.7</v>
      </c>
      <c r="AC76">
        <v>78.3</v>
      </c>
      <c r="AD76">
        <v>83.3</v>
      </c>
      <c r="AE76">
        <v>1.166E-2</v>
      </c>
      <c r="AF76">
        <v>1.5610000000000001E-2</v>
      </c>
      <c r="AH76" s="3">
        <v>990</v>
      </c>
      <c r="AI76" s="3">
        <v>1</v>
      </c>
      <c r="AJ76" s="3">
        <v>6</v>
      </c>
      <c r="AK76" s="3">
        <v>3</v>
      </c>
      <c r="AL76">
        <v>76.099999999999994</v>
      </c>
      <c r="AM76">
        <v>78.7</v>
      </c>
      <c r="AN76">
        <v>78.3</v>
      </c>
      <c r="AO76">
        <v>83.3</v>
      </c>
      <c r="AP76">
        <v>1.166E-2</v>
      </c>
      <c r="AQ76">
        <v>1.5610000000000001E-2</v>
      </c>
    </row>
    <row r="77" spans="1:43" x14ac:dyDescent="0.25">
      <c r="A77" s="3">
        <v>990</v>
      </c>
      <c r="B77" s="3">
        <v>1</v>
      </c>
      <c r="C77" s="3">
        <v>103</v>
      </c>
      <c r="D77" s="3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L77" s="3">
        <v>990</v>
      </c>
      <c r="M77" s="3">
        <v>1</v>
      </c>
      <c r="N77" s="3">
        <v>103</v>
      </c>
      <c r="O77" s="3">
        <v>1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W77" s="3">
        <v>990</v>
      </c>
      <c r="X77" s="3">
        <v>1</v>
      </c>
      <c r="Y77" s="3">
        <v>103</v>
      </c>
      <c r="Z77" s="3">
        <v>1</v>
      </c>
      <c r="AA77">
        <v>76.599999999999994</v>
      </c>
      <c r="AB77">
        <v>80.099999999999994</v>
      </c>
      <c r="AC77">
        <v>79.900000000000006</v>
      </c>
      <c r="AD77">
        <v>87.9</v>
      </c>
      <c r="AE77">
        <v>1.3679999999999999E-2</v>
      </c>
      <c r="AF77">
        <v>2.0209999999999999E-2</v>
      </c>
      <c r="AH77" s="3">
        <v>990</v>
      </c>
      <c r="AI77" s="3">
        <v>1</v>
      </c>
      <c r="AJ77" s="3">
        <v>103</v>
      </c>
      <c r="AK77" s="3">
        <v>1</v>
      </c>
      <c r="AL77">
        <v>76.599999999999994</v>
      </c>
      <c r="AM77">
        <v>80.099999999999994</v>
      </c>
      <c r="AN77">
        <v>79.900000000000006</v>
      </c>
      <c r="AO77">
        <v>87.9</v>
      </c>
      <c r="AP77">
        <v>1.3679999999999999E-2</v>
      </c>
      <c r="AQ77">
        <v>2.0209999999999999E-2</v>
      </c>
    </row>
    <row r="78" spans="1:43" x14ac:dyDescent="0.25">
      <c r="A78" s="3">
        <v>990</v>
      </c>
      <c r="B78" s="3">
        <v>1</v>
      </c>
      <c r="C78" s="3">
        <v>104</v>
      </c>
      <c r="D78" s="3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L78" s="3">
        <v>990</v>
      </c>
      <c r="M78" s="3">
        <v>1</v>
      </c>
      <c r="N78" s="3">
        <v>104</v>
      </c>
      <c r="O78" s="3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W78" s="3">
        <v>990</v>
      </c>
      <c r="X78" s="3">
        <v>1</v>
      </c>
      <c r="Y78" s="3">
        <v>104</v>
      </c>
      <c r="Z78" s="3">
        <v>1</v>
      </c>
      <c r="AA78">
        <v>77.2</v>
      </c>
      <c r="AB78">
        <v>83.7</v>
      </c>
      <c r="AC78">
        <v>79.3</v>
      </c>
      <c r="AD78">
        <v>87.9</v>
      </c>
      <c r="AE78">
        <v>1.3180000000000001E-2</v>
      </c>
      <c r="AF78">
        <v>1.9130000000000001E-2</v>
      </c>
      <c r="AH78" s="3">
        <v>990</v>
      </c>
      <c r="AI78" s="3">
        <v>1</v>
      </c>
      <c r="AJ78" s="3">
        <v>104</v>
      </c>
      <c r="AK78" s="3">
        <v>1</v>
      </c>
      <c r="AL78">
        <v>77.2</v>
      </c>
      <c r="AM78">
        <v>83.7</v>
      </c>
      <c r="AN78">
        <v>79.3</v>
      </c>
      <c r="AO78">
        <v>87.9</v>
      </c>
      <c r="AP78">
        <v>1.3180000000000001E-2</v>
      </c>
      <c r="AQ78">
        <v>1.9130000000000001E-2</v>
      </c>
    </row>
    <row r="79" spans="1:43" x14ac:dyDescent="0.25">
      <c r="A79" s="3">
        <v>990</v>
      </c>
      <c r="B79" s="3">
        <v>4</v>
      </c>
      <c r="C79" s="3">
        <v>110</v>
      </c>
      <c r="D79" s="3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L79" s="3">
        <v>990</v>
      </c>
      <c r="M79" s="3">
        <v>4</v>
      </c>
      <c r="N79" s="3">
        <v>110</v>
      </c>
      <c r="O79" s="3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W79" s="3">
        <v>990</v>
      </c>
      <c r="X79" s="3">
        <v>4</v>
      </c>
      <c r="Y79" s="3">
        <v>110</v>
      </c>
      <c r="Z79" s="3">
        <v>1</v>
      </c>
      <c r="AA79">
        <v>77.400000000000006</v>
      </c>
      <c r="AB79">
        <v>87.2</v>
      </c>
      <c r="AC79">
        <v>78.400000000000006</v>
      </c>
      <c r="AD79">
        <v>88.2</v>
      </c>
      <c r="AE79">
        <v>1.247E-2</v>
      </c>
      <c r="AF79">
        <v>1.831E-2</v>
      </c>
      <c r="AH79" s="3">
        <v>990</v>
      </c>
      <c r="AI79" s="3">
        <v>4</v>
      </c>
      <c r="AJ79" s="3">
        <v>110</v>
      </c>
      <c r="AK79" s="3">
        <v>1</v>
      </c>
      <c r="AL79">
        <v>77.400000000000006</v>
      </c>
      <c r="AM79">
        <v>87.2</v>
      </c>
      <c r="AN79">
        <v>78.400000000000006</v>
      </c>
      <c r="AO79">
        <v>88.2</v>
      </c>
      <c r="AP79">
        <v>1.247E-2</v>
      </c>
      <c r="AQ79">
        <v>1.831E-2</v>
      </c>
    </row>
    <row r="80" spans="1:43" x14ac:dyDescent="0.25">
      <c r="A80" s="3">
        <v>990</v>
      </c>
      <c r="B80" s="3">
        <v>5</v>
      </c>
      <c r="C80" s="3">
        <v>12</v>
      </c>
      <c r="D80" s="3">
        <v>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L80" s="3">
        <v>990</v>
      </c>
      <c r="M80" s="3">
        <v>5</v>
      </c>
      <c r="N80" s="3">
        <v>12</v>
      </c>
      <c r="O80" s="3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W80" s="3">
        <v>990</v>
      </c>
      <c r="X80" s="3">
        <v>5</v>
      </c>
      <c r="Y80" s="3">
        <v>12</v>
      </c>
      <c r="Z80" s="3">
        <v>1</v>
      </c>
      <c r="AA80">
        <v>80.900000000000006</v>
      </c>
      <c r="AB80">
        <v>82.9</v>
      </c>
      <c r="AC80">
        <v>84.6</v>
      </c>
      <c r="AD80">
        <v>90.3</v>
      </c>
      <c r="AE80">
        <v>1.242E-2</v>
      </c>
      <c r="AF80">
        <v>1.814E-2</v>
      </c>
      <c r="AH80" s="3">
        <v>990</v>
      </c>
      <c r="AI80" s="3">
        <v>5</v>
      </c>
      <c r="AJ80" s="3">
        <v>12</v>
      </c>
      <c r="AK80" s="3">
        <v>1</v>
      </c>
      <c r="AL80">
        <v>80.900000000000006</v>
      </c>
      <c r="AM80">
        <v>82.9</v>
      </c>
      <c r="AN80">
        <v>84.6</v>
      </c>
      <c r="AO80">
        <v>90.3</v>
      </c>
      <c r="AP80">
        <v>1.242E-2</v>
      </c>
      <c r="AQ80">
        <v>1.814E-2</v>
      </c>
    </row>
    <row r="81" spans="1:43" x14ac:dyDescent="0.25">
      <c r="A81" s="3">
        <v>990</v>
      </c>
      <c r="B81" s="3">
        <v>5</v>
      </c>
      <c r="C81" s="3">
        <v>12</v>
      </c>
      <c r="D81" s="3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L81" s="3">
        <v>990</v>
      </c>
      <c r="M81" s="3">
        <v>5</v>
      </c>
      <c r="N81" s="3">
        <v>12</v>
      </c>
      <c r="O81" s="3">
        <v>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W81" s="3">
        <v>990</v>
      </c>
      <c r="X81" s="3">
        <v>5</v>
      </c>
      <c r="Y81" s="3">
        <v>12</v>
      </c>
      <c r="Z81" s="3">
        <v>2</v>
      </c>
      <c r="AA81">
        <v>81.8</v>
      </c>
      <c r="AB81">
        <v>83.9</v>
      </c>
      <c r="AC81">
        <v>85.8</v>
      </c>
      <c r="AD81">
        <v>92.2</v>
      </c>
      <c r="AE81">
        <v>1.333E-2</v>
      </c>
      <c r="AF81">
        <v>1.9599999999999999E-2</v>
      </c>
      <c r="AH81" s="3">
        <v>990</v>
      </c>
      <c r="AI81" s="3">
        <v>5</v>
      </c>
      <c r="AJ81" s="3">
        <v>12</v>
      </c>
      <c r="AK81" s="3">
        <v>2</v>
      </c>
      <c r="AL81">
        <v>81.8</v>
      </c>
      <c r="AM81">
        <v>83.9</v>
      </c>
      <c r="AN81">
        <v>85.8</v>
      </c>
      <c r="AO81">
        <v>92.2</v>
      </c>
      <c r="AP81">
        <v>1.333E-2</v>
      </c>
      <c r="AQ81">
        <v>1.9599999999999999E-2</v>
      </c>
    </row>
    <row r="82" spans="1:43" x14ac:dyDescent="0.25">
      <c r="A82" s="3">
        <v>990</v>
      </c>
      <c r="B82" s="3">
        <v>5</v>
      </c>
      <c r="C82" s="3">
        <v>12</v>
      </c>
      <c r="D82" s="3">
        <v>3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L82" s="3">
        <v>990</v>
      </c>
      <c r="M82" s="3">
        <v>5</v>
      </c>
      <c r="N82" s="3">
        <v>12</v>
      </c>
      <c r="O82" s="3">
        <v>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W82" s="3">
        <v>990</v>
      </c>
      <c r="X82" s="3">
        <v>5</v>
      </c>
      <c r="Y82" s="3">
        <v>12</v>
      </c>
      <c r="Z82" s="3">
        <v>3</v>
      </c>
      <c r="AA82">
        <v>80.5</v>
      </c>
      <c r="AB82">
        <v>82.7</v>
      </c>
      <c r="AC82">
        <v>84.5</v>
      </c>
      <c r="AD82">
        <v>91.6</v>
      </c>
      <c r="AE82">
        <v>1.363E-2</v>
      </c>
      <c r="AF82">
        <v>2.01E-2</v>
      </c>
      <c r="AH82" s="3">
        <v>990</v>
      </c>
      <c r="AI82" s="3">
        <v>5</v>
      </c>
      <c r="AJ82" s="3">
        <v>12</v>
      </c>
      <c r="AK82" s="3">
        <v>3</v>
      </c>
      <c r="AL82">
        <v>80.5</v>
      </c>
      <c r="AM82">
        <v>82.7</v>
      </c>
      <c r="AN82">
        <v>84.5</v>
      </c>
      <c r="AO82">
        <v>91.6</v>
      </c>
      <c r="AP82">
        <v>1.363E-2</v>
      </c>
      <c r="AQ82">
        <v>2.01E-2</v>
      </c>
    </row>
    <row r="83" spans="1:43" x14ac:dyDescent="0.25">
      <c r="A83" s="3">
        <v>990</v>
      </c>
      <c r="B83" s="3">
        <v>5</v>
      </c>
      <c r="C83" s="3">
        <v>13</v>
      </c>
      <c r="D83" s="3">
        <v>1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L83" s="3">
        <v>990</v>
      </c>
      <c r="M83" s="3">
        <v>5</v>
      </c>
      <c r="N83" s="3">
        <v>13</v>
      </c>
      <c r="O83" s="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W83" s="3">
        <v>990</v>
      </c>
      <c r="X83" s="3">
        <v>5</v>
      </c>
      <c r="Y83" s="3">
        <v>13</v>
      </c>
      <c r="Z83" s="3">
        <v>1</v>
      </c>
      <c r="AA83">
        <v>78.8</v>
      </c>
      <c r="AB83">
        <v>82</v>
      </c>
      <c r="AC83">
        <v>82.3</v>
      </c>
      <c r="AD83">
        <v>90.3</v>
      </c>
      <c r="AE83">
        <v>1.37E-2</v>
      </c>
      <c r="AF83">
        <v>2.0230000000000001E-2</v>
      </c>
      <c r="AH83" s="3">
        <v>990</v>
      </c>
      <c r="AI83" s="3">
        <v>5</v>
      </c>
      <c r="AJ83" s="3">
        <v>13</v>
      </c>
      <c r="AK83" s="3">
        <v>1</v>
      </c>
      <c r="AL83">
        <v>78.8</v>
      </c>
      <c r="AM83">
        <v>82</v>
      </c>
      <c r="AN83">
        <v>82.3</v>
      </c>
      <c r="AO83">
        <v>90.3</v>
      </c>
      <c r="AP83">
        <v>1.37E-2</v>
      </c>
      <c r="AQ83">
        <v>2.0230000000000001E-2</v>
      </c>
    </row>
    <row r="84" spans="1:43" x14ac:dyDescent="0.25">
      <c r="A84" s="3">
        <v>990</v>
      </c>
      <c r="B84" s="3">
        <v>5</v>
      </c>
      <c r="C84" s="3">
        <v>13</v>
      </c>
      <c r="D84" s="3">
        <v>2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L84" s="3">
        <v>990</v>
      </c>
      <c r="M84" s="3">
        <v>5</v>
      </c>
      <c r="N84" s="3">
        <v>13</v>
      </c>
      <c r="O84" s="3">
        <v>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W84" s="3">
        <v>990</v>
      </c>
      <c r="X84" s="3">
        <v>5</v>
      </c>
      <c r="Y84" s="3">
        <v>13</v>
      </c>
      <c r="Z84" s="3">
        <v>2</v>
      </c>
      <c r="AA84">
        <v>77.900000000000006</v>
      </c>
      <c r="AB84">
        <v>81.3</v>
      </c>
      <c r="AC84">
        <v>81.5</v>
      </c>
      <c r="AD84">
        <v>90</v>
      </c>
      <c r="AE84">
        <v>1.3679999999999999E-2</v>
      </c>
      <c r="AF84">
        <v>2.0209999999999999E-2</v>
      </c>
      <c r="AH84" s="3">
        <v>990</v>
      </c>
      <c r="AI84" s="3">
        <v>5</v>
      </c>
      <c r="AJ84" s="3">
        <v>13</v>
      </c>
      <c r="AK84" s="3">
        <v>2</v>
      </c>
      <c r="AL84">
        <v>77.900000000000006</v>
      </c>
      <c r="AM84">
        <v>81.3</v>
      </c>
      <c r="AN84">
        <v>81.5</v>
      </c>
      <c r="AO84">
        <v>90</v>
      </c>
      <c r="AP84">
        <v>1.3679999999999999E-2</v>
      </c>
      <c r="AQ84">
        <v>2.0209999999999999E-2</v>
      </c>
    </row>
    <row r="85" spans="1:43" x14ac:dyDescent="0.25">
      <c r="A85" s="3">
        <v>990</v>
      </c>
      <c r="B85" s="3">
        <v>5</v>
      </c>
      <c r="C85" s="3">
        <v>14</v>
      </c>
      <c r="D85" s="3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L85" s="3">
        <v>990</v>
      </c>
      <c r="M85" s="3">
        <v>5</v>
      </c>
      <c r="N85" s="3">
        <v>14</v>
      </c>
      <c r="O85" s="3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W85" s="3">
        <v>990</v>
      </c>
      <c r="X85" s="3">
        <v>5</v>
      </c>
      <c r="Y85" s="3">
        <v>14</v>
      </c>
      <c r="Z85" s="3">
        <v>1</v>
      </c>
      <c r="AA85">
        <v>76.400000000000006</v>
      </c>
      <c r="AB85">
        <v>78.900000000000006</v>
      </c>
      <c r="AC85">
        <v>80.8</v>
      </c>
      <c r="AD85">
        <v>89.8</v>
      </c>
      <c r="AE85">
        <v>1.367E-2</v>
      </c>
      <c r="AF85">
        <v>2.019E-2</v>
      </c>
      <c r="AH85" s="3">
        <v>990</v>
      </c>
      <c r="AI85" s="3">
        <v>5</v>
      </c>
      <c r="AJ85" s="3">
        <v>14</v>
      </c>
      <c r="AK85" s="3">
        <v>1</v>
      </c>
      <c r="AL85">
        <v>76.400000000000006</v>
      </c>
      <c r="AM85">
        <v>78.900000000000006</v>
      </c>
      <c r="AN85">
        <v>80.8</v>
      </c>
      <c r="AO85">
        <v>89.8</v>
      </c>
      <c r="AP85">
        <v>1.367E-2</v>
      </c>
      <c r="AQ85">
        <v>2.019E-2</v>
      </c>
    </row>
    <row r="86" spans="1:43" x14ac:dyDescent="0.25">
      <c r="A86" s="3">
        <v>990</v>
      </c>
      <c r="B86" s="3">
        <v>5</v>
      </c>
      <c r="C86" s="3">
        <v>14</v>
      </c>
      <c r="D86" s="3">
        <v>2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L86" s="3">
        <v>990</v>
      </c>
      <c r="M86" s="3">
        <v>5</v>
      </c>
      <c r="N86" s="3">
        <v>14</v>
      </c>
      <c r="O86" s="3">
        <v>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W86" s="3">
        <v>990</v>
      </c>
      <c r="X86" s="3">
        <v>5</v>
      </c>
      <c r="Y86" s="3">
        <v>14</v>
      </c>
      <c r="Z86" s="3">
        <v>2</v>
      </c>
      <c r="AA86">
        <v>76.099999999999994</v>
      </c>
      <c r="AB86">
        <v>78.7</v>
      </c>
      <c r="AC86">
        <v>80.400000000000006</v>
      </c>
      <c r="AD86">
        <v>89.9</v>
      </c>
      <c r="AE86">
        <v>1.3650000000000001E-2</v>
      </c>
      <c r="AF86">
        <v>2.018E-2</v>
      </c>
      <c r="AH86" s="3">
        <v>990</v>
      </c>
      <c r="AI86" s="3">
        <v>5</v>
      </c>
      <c r="AJ86" s="3">
        <v>14</v>
      </c>
      <c r="AK86" s="3">
        <v>2</v>
      </c>
      <c r="AL86">
        <v>76.099999999999994</v>
      </c>
      <c r="AM86">
        <v>78.7</v>
      </c>
      <c r="AN86">
        <v>80.400000000000006</v>
      </c>
      <c r="AO86">
        <v>89.9</v>
      </c>
      <c r="AP86">
        <v>1.3650000000000001E-2</v>
      </c>
      <c r="AQ86">
        <v>2.018E-2</v>
      </c>
    </row>
    <row r="87" spans="1:43" x14ac:dyDescent="0.25">
      <c r="A87" s="3">
        <v>990</v>
      </c>
      <c r="B87" s="3">
        <v>5</v>
      </c>
      <c r="C87" s="3">
        <v>114</v>
      </c>
      <c r="D87" s="3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L87" s="3">
        <v>990</v>
      </c>
      <c r="M87" s="3">
        <v>5</v>
      </c>
      <c r="N87" s="3">
        <v>114</v>
      </c>
      <c r="O87" s="3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W87" s="3">
        <v>990</v>
      </c>
      <c r="X87" s="3">
        <v>5</v>
      </c>
      <c r="Y87" s="3">
        <v>114</v>
      </c>
      <c r="Z87" s="3">
        <v>1</v>
      </c>
      <c r="AA87">
        <v>78.8</v>
      </c>
      <c r="AB87">
        <v>81.7</v>
      </c>
      <c r="AC87">
        <v>82.6</v>
      </c>
      <c r="AD87">
        <v>90.3</v>
      </c>
      <c r="AE87">
        <v>1.3679999999999999E-2</v>
      </c>
      <c r="AF87">
        <v>2.0199999999999999E-2</v>
      </c>
      <c r="AH87" s="3">
        <v>990</v>
      </c>
      <c r="AI87" s="3">
        <v>5</v>
      </c>
      <c r="AJ87" s="3">
        <v>114</v>
      </c>
      <c r="AK87" s="3">
        <v>1</v>
      </c>
      <c r="AL87">
        <v>78.8</v>
      </c>
      <c r="AM87">
        <v>81.7</v>
      </c>
      <c r="AN87">
        <v>82.6</v>
      </c>
      <c r="AO87">
        <v>90.3</v>
      </c>
      <c r="AP87">
        <v>1.3679999999999999E-2</v>
      </c>
      <c r="AQ87">
        <v>2.0199999999999999E-2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O45"/>
  <sheetViews>
    <sheetView workbookViewId="0"/>
  </sheetViews>
  <sheetFormatPr defaultRowHeight="15" x14ac:dyDescent="0.25"/>
  <cols>
    <col min="6" max="6" width="9.140625" style="36"/>
    <col min="11" max="11" width="9.140625" style="36"/>
    <col min="23" max="23" width="9.140625" style="36"/>
    <col min="28" max="28" width="9.140625" style="36"/>
    <col min="40" max="40" width="9.140625" style="36"/>
    <col min="45" max="45" width="9.140625" style="36"/>
    <col min="57" max="57" width="9.140625" style="36"/>
    <col min="62" max="62" width="9.140625" style="36"/>
  </cols>
  <sheetData>
    <row r="1" spans="1:67" x14ac:dyDescent="0.25">
      <c r="A1" s="1" t="s">
        <v>99</v>
      </c>
    </row>
    <row r="2" spans="1:67" x14ac:dyDescent="0.25">
      <c r="A2" s="2" t="s">
        <v>1</v>
      </c>
    </row>
    <row r="3" spans="1:67" x14ac:dyDescent="0.25">
      <c r="C3" t="s">
        <v>2</v>
      </c>
      <c r="R3" t="s">
        <v>3</v>
      </c>
    </row>
    <row r="4" spans="1:67" x14ac:dyDescent="0.25">
      <c r="E4" s="3" t="s">
        <v>100</v>
      </c>
      <c r="F4" s="37" t="s">
        <v>101</v>
      </c>
      <c r="G4" s="3" t="s">
        <v>102</v>
      </c>
      <c r="H4" s="3" t="s">
        <v>103</v>
      </c>
      <c r="I4" s="3" t="s">
        <v>104</v>
      </c>
      <c r="J4" s="3" t="s">
        <v>105</v>
      </c>
      <c r="K4" s="37" t="s">
        <v>106</v>
      </c>
      <c r="L4" s="3" t="s">
        <v>107</v>
      </c>
      <c r="M4" s="3" t="s">
        <v>108</v>
      </c>
      <c r="N4" s="3" t="s">
        <v>109</v>
      </c>
      <c r="O4" s="3" t="s">
        <v>110</v>
      </c>
      <c r="P4" s="3" t="s">
        <v>111</v>
      </c>
      <c r="V4" s="3" t="s">
        <v>100</v>
      </c>
      <c r="W4" s="37" t="s">
        <v>101</v>
      </c>
      <c r="X4" s="3" t="s">
        <v>102</v>
      </c>
      <c r="Y4" s="3" t="s">
        <v>103</v>
      </c>
      <c r="Z4" s="3" t="s">
        <v>104</v>
      </c>
      <c r="AA4" s="3" t="s">
        <v>105</v>
      </c>
      <c r="AB4" s="37" t="s">
        <v>106</v>
      </c>
      <c r="AC4" s="3" t="s">
        <v>107</v>
      </c>
      <c r="AD4" s="3" t="s">
        <v>108</v>
      </c>
      <c r="AE4" s="3" t="s">
        <v>109</v>
      </c>
      <c r="AF4" s="3" t="s">
        <v>110</v>
      </c>
      <c r="AG4" s="3" t="s">
        <v>111</v>
      </c>
    </row>
    <row r="5" spans="1:67" x14ac:dyDescent="0.25">
      <c r="D5" s="3" t="s">
        <v>6</v>
      </c>
      <c r="E5">
        <v>30</v>
      </c>
      <c r="F5" s="36">
        <v>19</v>
      </c>
      <c r="G5">
        <v>30</v>
      </c>
      <c r="H5">
        <v>18</v>
      </c>
      <c r="I5">
        <v>30</v>
      </c>
      <c r="J5">
        <v>30</v>
      </c>
      <c r="K5" s="36">
        <v>30</v>
      </c>
      <c r="L5">
        <v>20</v>
      </c>
      <c r="M5">
        <v>20</v>
      </c>
      <c r="N5">
        <v>30</v>
      </c>
      <c r="O5">
        <v>30</v>
      </c>
      <c r="P5">
        <v>30</v>
      </c>
      <c r="U5" s="3" t="s">
        <v>6</v>
      </c>
      <c r="V5">
        <v>30</v>
      </c>
      <c r="W5" s="36">
        <v>30</v>
      </c>
      <c r="X5">
        <v>30</v>
      </c>
      <c r="Y5">
        <v>30</v>
      </c>
      <c r="Z5">
        <v>30</v>
      </c>
      <c r="AA5">
        <v>30</v>
      </c>
      <c r="AB5" s="36">
        <v>30</v>
      </c>
      <c r="AC5">
        <v>30</v>
      </c>
      <c r="AD5">
        <v>30</v>
      </c>
      <c r="AE5">
        <v>30</v>
      </c>
      <c r="AF5">
        <v>30</v>
      </c>
      <c r="AG5">
        <v>30</v>
      </c>
    </row>
    <row r="6" spans="1:67" x14ac:dyDescent="0.25">
      <c r="D6" s="3" t="s">
        <v>7</v>
      </c>
      <c r="E6">
        <v>1.055591656710982E-4</v>
      </c>
      <c r="F6" s="36">
        <v>5.2637221152453577</v>
      </c>
      <c r="G6">
        <v>5.5096418732782371E-5</v>
      </c>
      <c r="H6">
        <v>0</v>
      </c>
      <c r="I6">
        <v>0</v>
      </c>
      <c r="J6">
        <v>6.5489110911480146E-3</v>
      </c>
      <c r="K6" s="36">
        <v>6.0351290899601659E-2</v>
      </c>
      <c r="L6">
        <v>1.882516989189931E-3</v>
      </c>
      <c r="M6">
        <v>2.530815837884092E-3</v>
      </c>
      <c r="N6">
        <v>2.2340320584664482E-3</v>
      </c>
      <c r="O6">
        <v>2.081870476162098E-3</v>
      </c>
      <c r="P6">
        <v>4.2988381195621494E-3</v>
      </c>
      <c r="U6" s="3" t="s">
        <v>7</v>
      </c>
      <c r="V6">
        <v>0.43333333333333329</v>
      </c>
      <c r="W6" s="36">
        <v>3.3333333333333333E-2</v>
      </c>
      <c r="X6">
        <v>-3.3333333333333333E-2</v>
      </c>
      <c r="Y6">
        <v>0</v>
      </c>
      <c r="Z6">
        <v>0</v>
      </c>
      <c r="AA6">
        <v>-0.2</v>
      </c>
      <c r="AB6" s="36">
        <v>-2.833333333333333</v>
      </c>
      <c r="AC6">
        <v>0</v>
      </c>
      <c r="AD6">
        <v>1.7666666666666671</v>
      </c>
      <c r="AE6">
        <v>-0.2</v>
      </c>
      <c r="AF6">
        <v>2.8</v>
      </c>
      <c r="AG6">
        <v>2.6</v>
      </c>
    </row>
    <row r="7" spans="1:67" x14ac:dyDescent="0.25">
      <c r="D7" s="3" t="s">
        <v>8</v>
      </c>
      <c r="E7">
        <v>1.236621888830891E-4</v>
      </c>
      <c r="F7" s="36">
        <v>22.941436816670571</v>
      </c>
      <c r="G7">
        <v>3.01775513776951E-4</v>
      </c>
      <c r="H7">
        <v>0</v>
      </c>
      <c r="I7">
        <v>0</v>
      </c>
      <c r="J7">
        <v>1.143368544628879E-2</v>
      </c>
      <c r="K7" s="36">
        <v>0.31429020716152362</v>
      </c>
      <c r="L7">
        <v>3.7284840102116928E-3</v>
      </c>
      <c r="M7">
        <v>3.7274599523379158E-3</v>
      </c>
      <c r="N7">
        <v>4.6333855449274073E-3</v>
      </c>
      <c r="O7">
        <v>3.1399214410055788E-3</v>
      </c>
      <c r="P7">
        <v>1.2340509614064561E-2</v>
      </c>
      <c r="U7" s="3" t="s">
        <v>8</v>
      </c>
      <c r="V7">
        <v>0.50400693299373078</v>
      </c>
      <c r="W7" s="36">
        <v>0.31984191497474601</v>
      </c>
      <c r="X7">
        <v>0.18257418583505541</v>
      </c>
      <c r="Y7">
        <v>0</v>
      </c>
      <c r="Z7">
        <v>0</v>
      </c>
      <c r="AA7">
        <v>4.9647029983745226</v>
      </c>
      <c r="AB7" s="36">
        <v>8.4162541153017312</v>
      </c>
      <c r="AC7">
        <v>4.4411865453991552</v>
      </c>
      <c r="AD7">
        <v>6.8716475629855367</v>
      </c>
      <c r="AE7">
        <v>4.8166378315169176</v>
      </c>
      <c r="AF7">
        <v>8.2478837411118118</v>
      </c>
      <c r="AG7">
        <v>10.38101715832217</v>
      </c>
    </row>
    <row r="8" spans="1:67" x14ac:dyDescent="0.25">
      <c r="D8" s="3" t="s">
        <v>9</v>
      </c>
      <c r="E8">
        <v>0</v>
      </c>
      <c r="F8" s="36">
        <v>0</v>
      </c>
      <c r="G8">
        <v>0</v>
      </c>
      <c r="H8">
        <v>0</v>
      </c>
      <c r="I8">
        <v>0</v>
      </c>
      <c r="J8">
        <v>0</v>
      </c>
      <c r="K8" s="36">
        <v>0</v>
      </c>
      <c r="L8">
        <v>0</v>
      </c>
      <c r="M8">
        <v>0</v>
      </c>
      <c r="N8">
        <v>0</v>
      </c>
      <c r="O8">
        <v>0</v>
      </c>
      <c r="P8">
        <v>0</v>
      </c>
      <c r="U8" s="3" t="s">
        <v>9</v>
      </c>
      <c r="V8">
        <v>0</v>
      </c>
      <c r="W8" s="36">
        <v>-1</v>
      </c>
      <c r="X8">
        <v>-1</v>
      </c>
      <c r="Y8">
        <v>0</v>
      </c>
      <c r="Z8">
        <v>0</v>
      </c>
      <c r="AA8">
        <v>-9</v>
      </c>
      <c r="AB8" s="36">
        <v>-30</v>
      </c>
      <c r="AC8">
        <v>-16</v>
      </c>
      <c r="AD8">
        <v>-8</v>
      </c>
      <c r="AE8">
        <v>-16</v>
      </c>
      <c r="AF8">
        <v>-8</v>
      </c>
      <c r="AG8">
        <v>-19</v>
      </c>
    </row>
    <row r="9" spans="1:67" x14ac:dyDescent="0.25">
      <c r="D9" s="3" t="s">
        <v>10</v>
      </c>
      <c r="E9">
        <v>0</v>
      </c>
      <c r="F9" s="36">
        <v>0</v>
      </c>
      <c r="G9">
        <v>0</v>
      </c>
      <c r="H9">
        <v>0</v>
      </c>
      <c r="I9">
        <v>0</v>
      </c>
      <c r="J9">
        <v>2.5477602828636507E-4</v>
      </c>
      <c r="K9" s="36">
        <v>4.689592403190056E-4</v>
      </c>
      <c r="L9">
        <v>3.735307169249756E-5</v>
      </c>
      <c r="M9">
        <v>5.8525513336165139E-4</v>
      </c>
      <c r="N9">
        <v>1.0724571831932611E-4</v>
      </c>
      <c r="O9">
        <v>5.1731800641924405E-4</v>
      </c>
      <c r="P9">
        <v>2.2455073861230869E-4</v>
      </c>
      <c r="U9" s="3" t="s">
        <v>10</v>
      </c>
      <c r="V9">
        <v>0</v>
      </c>
      <c r="W9" s="36">
        <v>0</v>
      </c>
      <c r="X9">
        <v>0</v>
      </c>
      <c r="Y9">
        <v>0</v>
      </c>
      <c r="Z9">
        <v>0</v>
      </c>
      <c r="AA9">
        <v>-1.75</v>
      </c>
      <c r="AB9" s="36">
        <v>-2.75</v>
      </c>
      <c r="AC9">
        <v>0</v>
      </c>
      <c r="AD9">
        <v>0</v>
      </c>
      <c r="AE9">
        <v>-1</v>
      </c>
      <c r="AF9">
        <v>-1</v>
      </c>
      <c r="AG9">
        <v>-3</v>
      </c>
    </row>
    <row r="10" spans="1:67" x14ac:dyDescent="0.25">
      <c r="D10" s="3" t="s">
        <v>11</v>
      </c>
      <c r="E10">
        <v>0</v>
      </c>
      <c r="F10" s="36">
        <v>0</v>
      </c>
      <c r="G10">
        <v>0</v>
      </c>
      <c r="H10">
        <v>0</v>
      </c>
      <c r="I10">
        <v>0</v>
      </c>
      <c r="J10">
        <v>1.3680440824523599E-3</v>
      </c>
      <c r="K10" s="36">
        <v>1.0222936465784859E-3</v>
      </c>
      <c r="L10">
        <v>6.4907024698042772E-4</v>
      </c>
      <c r="M10">
        <v>1.0515979344864249E-3</v>
      </c>
      <c r="N10">
        <v>5.7993320036307566E-4</v>
      </c>
      <c r="O10">
        <v>1.012798995209931E-3</v>
      </c>
      <c r="P10">
        <v>6.9529761345428064E-4</v>
      </c>
      <c r="U10" s="3" t="s">
        <v>11</v>
      </c>
      <c r="V10">
        <v>0</v>
      </c>
      <c r="W10" s="36">
        <v>0</v>
      </c>
      <c r="X10">
        <v>0</v>
      </c>
      <c r="Y10">
        <v>0</v>
      </c>
      <c r="Z10">
        <v>0</v>
      </c>
      <c r="AA10">
        <v>0</v>
      </c>
      <c r="AB10" s="36">
        <v>-1</v>
      </c>
      <c r="AC10">
        <v>0</v>
      </c>
      <c r="AD10">
        <v>0</v>
      </c>
      <c r="AE10">
        <v>0</v>
      </c>
      <c r="AF10">
        <v>1</v>
      </c>
      <c r="AG10">
        <v>0</v>
      </c>
    </row>
    <row r="11" spans="1:67" x14ac:dyDescent="0.25">
      <c r="D11" s="3" t="s">
        <v>12</v>
      </c>
      <c r="E11">
        <v>2.3051399605115869E-4</v>
      </c>
      <c r="F11" s="36">
        <v>0</v>
      </c>
      <c r="G11">
        <v>0</v>
      </c>
      <c r="H11">
        <v>0</v>
      </c>
      <c r="I11">
        <v>0</v>
      </c>
      <c r="J11">
        <v>5.7599288486336513E-3</v>
      </c>
      <c r="K11" s="36">
        <v>2.5575268015621648E-3</v>
      </c>
      <c r="L11">
        <v>1.5616953730475159E-3</v>
      </c>
      <c r="M11">
        <v>2.86707779891917E-3</v>
      </c>
      <c r="N11">
        <v>1.623959447307439E-3</v>
      </c>
      <c r="O11">
        <v>2.3633620675941359E-3</v>
      </c>
      <c r="P11">
        <v>2.1513383001324771E-3</v>
      </c>
      <c r="U11" s="3" t="s">
        <v>12</v>
      </c>
      <c r="V11">
        <v>1</v>
      </c>
      <c r="W11" s="36">
        <v>0</v>
      </c>
      <c r="X11">
        <v>0</v>
      </c>
      <c r="Y11">
        <v>0</v>
      </c>
      <c r="Z11">
        <v>0</v>
      </c>
      <c r="AA11">
        <v>1</v>
      </c>
      <c r="AB11" s="36">
        <v>1</v>
      </c>
      <c r="AC11">
        <v>0.75</v>
      </c>
      <c r="AD11">
        <v>2</v>
      </c>
      <c r="AE11">
        <v>1.75</v>
      </c>
      <c r="AF11">
        <v>2.75</v>
      </c>
      <c r="AG11">
        <v>6</v>
      </c>
    </row>
    <row r="12" spans="1:67" x14ac:dyDescent="0.25">
      <c r="D12" s="3" t="s">
        <v>13</v>
      </c>
      <c r="E12">
        <v>2.9246179717774367E-4</v>
      </c>
      <c r="F12" s="36">
        <v>100</v>
      </c>
      <c r="G12">
        <v>1.652892561983471E-3</v>
      </c>
      <c r="H12">
        <v>0</v>
      </c>
      <c r="I12">
        <v>0</v>
      </c>
      <c r="J12">
        <v>4.5489006823351018E-2</v>
      </c>
      <c r="K12" s="36">
        <v>1.7241379310344831</v>
      </c>
      <c r="L12">
        <v>1.5921031682853051E-2</v>
      </c>
      <c r="M12">
        <v>1.359619306594154E-2</v>
      </c>
      <c r="N12">
        <v>2.0345879959308241E-2</v>
      </c>
      <c r="O12">
        <v>1.359619306594154E-2</v>
      </c>
      <c r="P12">
        <v>5.7430007178750901E-2</v>
      </c>
      <c r="U12" s="3" t="s">
        <v>13</v>
      </c>
      <c r="V12">
        <v>1</v>
      </c>
      <c r="W12" s="36">
        <v>1</v>
      </c>
      <c r="X12">
        <v>0</v>
      </c>
      <c r="Y12">
        <v>0</v>
      </c>
      <c r="Z12">
        <v>0</v>
      </c>
      <c r="AA12">
        <v>16</v>
      </c>
      <c r="AB12" s="36">
        <v>8</v>
      </c>
      <c r="AC12">
        <v>8</v>
      </c>
      <c r="AD12">
        <v>29</v>
      </c>
      <c r="AE12">
        <v>8</v>
      </c>
      <c r="AF12">
        <v>30</v>
      </c>
      <c r="AG12">
        <v>36</v>
      </c>
    </row>
    <row r="13" spans="1:67" x14ac:dyDescent="0.25">
      <c r="A13" s="2" t="s">
        <v>14</v>
      </c>
    </row>
    <row r="14" spans="1:67" x14ac:dyDescent="0.25">
      <c r="A14" t="s">
        <v>2</v>
      </c>
      <c r="R14" t="s">
        <v>3</v>
      </c>
      <c r="AI14" t="s">
        <v>15</v>
      </c>
      <c r="AZ14" t="s">
        <v>16</v>
      </c>
    </row>
    <row r="15" spans="1:67" x14ac:dyDescent="0.25">
      <c r="A15" s="3" t="s">
        <v>17</v>
      </c>
      <c r="B15" s="3" t="s">
        <v>98</v>
      </c>
      <c r="C15" s="3" t="s">
        <v>18</v>
      </c>
      <c r="D15" s="3" t="s">
        <v>24</v>
      </c>
      <c r="E15" s="3" t="s">
        <v>100</v>
      </c>
      <c r="F15" s="37" t="s">
        <v>101</v>
      </c>
      <c r="G15" s="3" t="s">
        <v>102</v>
      </c>
      <c r="H15" s="3" t="s">
        <v>103</v>
      </c>
      <c r="I15" s="3" t="s">
        <v>104</v>
      </c>
      <c r="J15" s="3" t="s">
        <v>105</v>
      </c>
      <c r="K15" s="37" t="s">
        <v>106</v>
      </c>
      <c r="L15" s="3" t="s">
        <v>107</v>
      </c>
      <c r="M15" s="3" t="s">
        <v>108</v>
      </c>
      <c r="N15" s="3" t="s">
        <v>109</v>
      </c>
      <c r="O15" s="3" t="s">
        <v>110</v>
      </c>
      <c r="P15" s="3" t="s">
        <v>111</v>
      </c>
      <c r="R15" s="3" t="s">
        <v>17</v>
      </c>
      <c r="S15" s="3" t="s">
        <v>98</v>
      </c>
      <c r="T15" s="3" t="s">
        <v>18</v>
      </c>
      <c r="U15" s="3" t="s">
        <v>24</v>
      </c>
      <c r="V15" s="3" t="s">
        <v>100</v>
      </c>
      <c r="W15" s="37" t="s">
        <v>101</v>
      </c>
      <c r="X15" s="3" t="s">
        <v>102</v>
      </c>
      <c r="Y15" s="3" t="s">
        <v>103</v>
      </c>
      <c r="Z15" s="3" t="s">
        <v>104</v>
      </c>
      <c r="AA15" s="3" t="s">
        <v>105</v>
      </c>
      <c r="AB15" s="37" t="s">
        <v>106</v>
      </c>
      <c r="AC15" s="3" t="s">
        <v>107</v>
      </c>
      <c r="AD15" s="3" t="s">
        <v>108</v>
      </c>
      <c r="AE15" s="3" t="s">
        <v>109</v>
      </c>
      <c r="AF15" s="3" t="s">
        <v>110</v>
      </c>
      <c r="AG15" s="3" t="s">
        <v>111</v>
      </c>
      <c r="AI15" s="3" t="s">
        <v>17</v>
      </c>
      <c r="AJ15" s="3" t="s">
        <v>98</v>
      </c>
      <c r="AK15" s="3" t="s">
        <v>18</v>
      </c>
      <c r="AL15" s="3" t="s">
        <v>24</v>
      </c>
      <c r="AM15" s="3" t="s">
        <v>100</v>
      </c>
      <c r="AN15" s="37" t="s">
        <v>101</v>
      </c>
      <c r="AO15" s="3" t="s">
        <v>102</v>
      </c>
      <c r="AP15" s="3" t="s">
        <v>103</v>
      </c>
      <c r="AQ15" s="3" t="s">
        <v>104</v>
      </c>
      <c r="AR15" s="3" t="s">
        <v>105</v>
      </c>
      <c r="AS15" s="37" t="s">
        <v>106</v>
      </c>
      <c r="AT15" s="3" t="s">
        <v>107</v>
      </c>
      <c r="AU15" s="3" t="s">
        <v>108</v>
      </c>
      <c r="AV15" s="3" t="s">
        <v>109</v>
      </c>
      <c r="AW15" s="3" t="s">
        <v>110</v>
      </c>
      <c r="AX15" s="3" t="s">
        <v>111</v>
      </c>
      <c r="AZ15" s="3" t="s">
        <v>17</v>
      </c>
      <c r="BA15" s="3" t="s">
        <v>98</v>
      </c>
      <c r="BB15" s="3" t="s">
        <v>18</v>
      </c>
      <c r="BC15" s="3" t="s">
        <v>24</v>
      </c>
      <c r="BD15" s="3" t="s">
        <v>100</v>
      </c>
      <c r="BE15" s="37" t="s">
        <v>101</v>
      </c>
      <c r="BF15" s="3" t="s">
        <v>102</v>
      </c>
      <c r="BG15" s="3" t="s">
        <v>103</v>
      </c>
      <c r="BH15" s="3" t="s">
        <v>104</v>
      </c>
      <c r="BI15" s="3" t="s">
        <v>105</v>
      </c>
      <c r="BJ15" s="37" t="s">
        <v>106</v>
      </c>
      <c r="BK15" s="3" t="s">
        <v>107</v>
      </c>
      <c r="BL15" s="3" t="s">
        <v>108</v>
      </c>
      <c r="BM15" s="3" t="s">
        <v>109</v>
      </c>
      <c r="BN15" s="3" t="s">
        <v>110</v>
      </c>
      <c r="BO15" s="3" t="s">
        <v>111</v>
      </c>
    </row>
    <row r="16" spans="1:67" x14ac:dyDescent="0.25">
      <c r="A16" s="3">
        <v>450</v>
      </c>
      <c r="B16" s="3">
        <v>2</v>
      </c>
      <c r="C16" s="3">
        <v>7</v>
      </c>
      <c r="D16" s="3">
        <v>1</v>
      </c>
      <c r="E16">
        <v>2.9246179717774367E-4</v>
      </c>
      <c r="F16" s="36">
        <v>0</v>
      </c>
      <c r="G16">
        <v>0</v>
      </c>
      <c r="H16">
        <v>0</v>
      </c>
      <c r="I16">
        <v>0</v>
      </c>
      <c r="J16">
        <v>6.2195501192080444E-3</v>
      </c>
      <c r="K16" s="36">
        <v>1.39736735989396E-3</v>
      </c>
      <c r="N16">
        <v>1.4994779942232609E-3</v>
      </c>
      <c r="O16">
        <v>1.2475338928225809E-3</v>
      </c>
      <c r="P16">
        <v>1.370331053711496E-3</v>
      </c>
      <c r="R16" s="3">
        <v>450</v>
      </c>
      <c r="S16" s="3">
        <v>2</v>
      </c>
      <c r="T16" s="3">
        <v>7</v>
      </c>
      <c r="U16" s="3">
        <v>1</v>
      </c>
      <c r="V16">
        <v>1</v>
      </c>
      <c r="W16" s="36">
        <v>0</v>
      </c>
      <c r="X16">
        <v>0</v>
      </c>
      <c r="Y16">
        <v>0</v>
      </c>
      <c r="Z16">
        <v>0</v>
      </c>
      <c r="AA16">
        <v>-9</v>
      </c>
      <c r="AB16" s="36">
        <v>-7</v>
      </c>
      <c r="AC16">
        <v>0</v>
      </c>
      <c r="AD16">
        <v>0</v>
      </c>
      <c r="AE16">
        <v>8</v>
      </c>
      <c r="AF16">
        <v>7</v>
      </c>
      <c r="AG16">
        <v>15</v>
      </c>
      <c r="AI16" s="3">
        <v>450</v>
      </c>
      <c r="AJ16" s="3">
        <v>2</v>
      </c>
      <c r="AK16" s="3">
        <v>7</v>
      </c>
      <c r="AL16" s="3">
        <v>1</v>
      </c>
      <c r="AM16">
        <v>341926</v>
      </c>
      <c r="AN16" s="36">
        <v>24415</v>
      </c>
      <c r="AO16">
        <v>60500</v>
      </c>
      <c r="AP16">
        <v>35750</v>
      </c>
      <c r="AQ16">
        <v>-13611</v>
      </c>
      <c r="AR16">
        <v>144696</v>
      </c>
      <c r="AS16" s="36">
        <v>500935</v>
      </c>
      <c r="AT16">
        <v>0</v>
      </c>
      <c r="AU16">
        <v>0</v>
      </c>
      <c r="AV16">
        <v>-533511</v>
      </c>
      <c r="AW16">
        <v>-561100</v>
      </c>
      <c r="AX16">
        <v>-1094611</v>
      </c>
      <c r="AZ16" s="3">
        <v>450</v>
      </c>
      <c r="BA16" s="3">
        <v>2</v>
      </c>
      <c r="BB16" s="3">
        <v>7</v>
      </c>
      <c r="BC16" s="3">
        <v>1</v>
      </c>
      <c r="BD16">
        <v>341925</v>
      </c>
      <c r="BE16" s="36">
        <v>24415</v>
      </c>
      <c r="BF16">
        <v>60500</v>
      </c>
      <c r="BG16">
        <v>35750</v>
      </c>
      <c r="BH16">
        <v>-13611</v>
      </c>
      <c r="BI16">
        <v>144705</v>
      </c>
      <c r="BJ16" s="36">
        <v>500942</v>
      </c>
      <c r="BK16">
        <v>0</v>
      </c>
      <c r="BL16">
        <v>0</v>
      </c>
      <c r="BM16">
        <v>-533519</v>
      </c>
      <c r="BN16">
        <v>-561107</v>
      </c>
      <c r="BO16">
        <v>-1094626</v>
      </c>
    </row>
    <row r="17" spans="1:67" x14ac:dyDescent="0.25">
      <c r="A17" s="3">
        <v>450</v>
      </c>
      <c r="B17" s="3">
        <v>2</v>
      </c>
      <c r="C17" s="3">
        <v>9</v>
      </c>
      <c r="D17" s="3">
        <v>1</v>
      </c>
      <c r="E17">
        <v>0</v>
      </c>
      <c r="F17" s="36">
        <v>0</v>
      </c>
      <c r="G17">
        <v>0</v>
      </c>
      <c r="H17">
        <v>0</v>
      </c>
      <c r="I17">
        <v>0</v>
      </c>
      <c r="J17">
        <v>2.224694104560623E-2</v>
      </c>
      <c r="K17" s="36">
        <v>2.7659966808039831E-2</v>
      </c>
      <c r="N17">
        <v>4.2821280035113436E-3</v>
      </c>
      <c r="O17">
        <v>3.9393859810384216E-3</v>
      </c>
      <c r="P17">
        <v>4.2240995998221436E-3</v>
      </c>
      <c r="R17" s="3">
        <v>450</v>
      </c>
      <c r="S17" s="3">
        <v>2</v>
      </c>
      <c r="T17" s="3">
        <v>9</v>
      </c>
      <c r="U17" s="3">
        <v>1</v>
      </c>
      <c r="V17">
        <v>0</v>
      </c>
      <c r="W17" s="36">
        <v>0</v>
      </c>
      <c r="X17">
        <v>0</v>
      </c>
      <c r="Y17">
        <v>0</v>
      </c>
      <c r="Z17">
        <v>0</v>
      </c>
      <c r="AA17">
        <v>16</v>
      </c>
      <c r="AB17" s="36">
        <v>3</v>
      </c>
      <c r="AC17">
        <v>0</v>
      </c>
      <c r="AD17">
        <v>0</v>
      </c>
      <c r="AE17">
        <v>-16</v>
      </c>
      <c r="AF17">
        <v>-3</v>
      </c>
      <c r="AG17">
        <v>-19</v>
      </c>
      <c r="AI17" s="3">
        <v>450</v>
      </c>
      <c r="AJ17" s="3">
        <v>2</v>
      </c>
      <c r="AK17" s="3">
        <v>9</v>
      </c>
      <c r="AL17" s="3">
        <v>1</v>
      </c>
      <c r="AM17">
        <v>407508</v>
      </c>
      <c r="AN17" s="36">
        <v>28183</v>
      </c>
      <c r="AO17">
        <v>52250</v>
      </c>
      <c r="AP17">
        <v>37125</v>
      </c>
      <c r="AQ17">
        <v>-14192</v>
      </c>
      <c r="AR17">
        <v>-71904</v>
      </c>
      <c r="AS17" s="36">
        <v>10849</v>
      </c>
      <c r="AT17">
        <v>0</v>
      </c>
      <c r="AU17">
        <v>0</v>
      </c>
      <c r="AV17">
        <v>-373662</v>
      </c>
      <c r="AW17">
        <v>-76157</v>
      </c>
      <c r="AX17">
        <v>-449819</v>
      </c>
      <c r="AZ17" s="3">
        <v>450</v>
      </c>
      <c r="BA17" s="3">
        <v>2</v>
      </c>
      <c r="BB17" s="3">
        <v>9</v>
      </c>
      <c r="BC17" s="3">
        <v>1</v>
      </c>
      <c r="BD17">
        <v>407508</v>
      </c>
      <c r="BE17" s="36">
        <v>28183</v>
      </c>
      <c r="BF17">
        <v>52250</v>
      </c>
      <c r="BG17">
        <v>37125</v>
      </c>
      <c r="BH17">
        <v>-14192</v>
      </c>
      <c r="BI17">
        <v>-71920</v>
      </c>
      <c r="BJ17" s="36">
        <v>10846</v>
      </c>
      <c r="BK17">
        <v>0</v>
      </c>
      <c r="BL17">
        <v>0</v>
      </c>
      <c r="BM17">
        <v>-373646</v>
      </c>
      <c r="BN17">
        <v>-76154</v>
      </c>
      <c r="BO17">
        <v>-449800</v>
      </c>
    </row>
    <row r="18" spans="1:67" x14ac:dyDescent="0.25">
      <c r="A18" s="3">
        <v>450</v>
      </c>
      <c r="B18" s="3">
        <v>2</v>
      </c>
      <c r="C18" s="3">
        <v>9</v>
      </c>
      <c r="D18" s="3">
        <v>2</v>
      </c>
      <c r="E18">
        <v>2.356395374867158E-4</v>
      </c>
      <c r="F18" s="36">
        <v>0</v>
      </c>
      <c r="G18">
        <v>0</v>
      </c>
      <c r="H18">
        <v>0</v>
      </c>
      <c r="I18">
        <v>0</v>
      </c>
      <c r="J18">
        <v>3.6864094372081588E-2</v>
      </c>
      <c r="K18" s="36">
        <v>1.263264274886306E-2</v>
      </c>
      <c r="N18">
        <v>1.827727540655514E-3</v>
      </c>
      <c r="O18">
        <v>3.9955250119865747E-3</v>
      </c>
      <c r="P18">
        <v>2.0501970239339999E-3</v>
      </c>
      <c r="R18" s="3">
        <v>450</v>
      </c>
      <c r="S18" s="3">
        <v>2</v>
      </c>
      <c r="T18" s="3">
        <v>9</v>
      </c>
      <c r="U18" s="3">
        <v>2</v>
      </c>
      <c r="V18">
        <v>1</v>
      </c>
      <c r="W18" s="36">
        <v>0</v>
      </c>
      <c r="X18">
        <v>0</v>
      </c>
      <c r="Y18">
        <v>0</v>
      </c>
      <c r="Z18">
        <v>0</v>
      </c>
      <c r="AA18">
        <v>-9</v>
      </c>
      <c r="AB18" s="36">
        <v>-2</v>
      </c>
      <c r="AC18">
        <v>0</v>
      </c>
      <c r="AD18">
        <v>0</v>
      </c>
      <c r="AE18">
        <v>8</v>
      </c>
      <c r="AF18">
        <v>2</v>
      </c>
      <c r="AG18">
        <v>10</v>
      </c>
      <c r="AI18" s="3">
        <v>450</v>
      </c>
      <c r="AJ18" s="3">
        <v>2</v>
      </c>
      <c r="AK18" s="3">
        <v>9</v>
      </c>
      <c r="AL18" s="3">
        <v>2</v>
      </c>
      <c r="AM18">
        <v>424378</v>
      </c>
      <c r="AN18" s="36">
        <v>28763</v>
      </c>
      <c r="AO18">
        <v>52250</v>
      </c>
      <c r="AP18">
        <v>37125</v>
      </c>
      <c r="AQ18">
        <v>-14511</v>
      </c>
      <c r="AR18">
        <v>-24423</v>
      </c>
      <c r="AS18" s="36">
        <v>-15834</v>
      </c>
      <c r="AT18">
        <v>0</v>
      </c>
      <c r="AU18">
        <v>0</v>
      </c>
      <c r="AV18">
        <v>-437694</v>
      </c>
      <c r="AW18">
        <v>-50054</v>
      </c>
      <c r="AX18">
        <v>-487748</v>
      </c>
      <c r="AZ18" s="3">
        <v>450</v>
      </c>
      <c r="BA18" s="3">
        <v>2</v>
      </c>
      <c r="BB18" s="3">
        <v>9</v>
      </c>
      <c r="BC18" s="3">
        <v>2</v>
      </c>
      <c r="BD18">
        <v>424377</v>
      </c>
      <c r="BE18" s="36">
        <v>28763</v>
      </c>
      <c r="BF18">
        <v>52250</v>
      </c>
      <c r="BG18">
        <v>37125</v>
      </c>
      <c r="BH18">
        <v>-14511</v>
      </c>
      <c r="BI18">
        <v>-24414</v>
      </c>
      <c r="BJ18" s="36">
        <v>-15832</v>
      </c>
      <c r="BK18">
        <v>0</v>
      </c>
      <c r="BL18">
        <v>0</v>
      </c>
      <c r="BM18">
        <v>-437702</v>
      </c>
      <c r="BN18">
        <v>-50056</v>
      </c>
      <c r="BO18">
        <v>-487758</v>
      </c>
    </row>
    <row r="19" spans="1:67" s="36" customFormat="1" x14ac:dyDescent="0.25">
      <c r="A19" s="37">
        <v>450</v>
      </c>
      <c r="B19" s="37">
        <v>2</v>
      </c>
      <c r="C19" s="37">
        <v>9</v>
      </c>
      <c r="D19" s="37">
        <v>3</v>
      </c>
      <c r="E19" s="36">
        <v>2.3402871064222161E-4</v>
      </c>
      <c r="F19" s="36">
        <v>0</v>
      </c>
      <c r="G19" s="36">
        <v>0</v>
      </c>
      <c r="H19" s="36">
        <v>0</v>
      </c>
      <c r="I19" s="36">
        <v>0</v>
      </c>
      <c r="J19" s="36">
        <v>4.5489006823351018E-2</v>
      </c>
      <c r="K19" s="36">
        <v>1.7241379310344831</v>
      </c>
      <c r="N19" s="36">
        <v>4.366831296206534E-4</v>
      </c>
      <c r="O19" s="36">
        <v>1.205709032267788E-2</v>
      </c>
      <c r="P19" s="36">
        <v>1.144276045153133E-3</v>
      </c>
      <c r="R19" s="37">
        <v>450</v>
      </c>
      <c r="S19" s="37">
        <v>2</v>
      </c>
      <c r="T19" s="37">
        <v>9</v>
      </c>
      <c r="U19" s="37">
        <v>3</v>
      </c>
      <c r="V19" s="36">
        <v>1</v>
      </c>
      <c r="W19" s="36">
        <v>0</v>
      </c>
      <c r="X19" s="36">
        <v>0</v>
      </c>
      <c r="Y19" s="36">
        <v>0</v>
      </c>
      <c r="Z19" s="36">
        <v>0</v>
      </c>
      <c r="AA19" s="36">
        <v>-3</v>
      </c>
      <c r="AB19" s="36">
        <v>8</v>
      </c>
      <c r="AC19" s="36">
        <v>0</v>
      </c>
      <c r="AD19" s="36">
        <v>0</v>
      </c>
      <c r="AE19" s="36">
        <v>2</v>
      </c>
      <c r="AF19" s="36">
        <v>-8</v>
      </c>
      <c r="AG19" s="36">
        <v>-6</v>
      </c>
      <c r="AI19" s="37">
        <v>450</v>
      </c>
      <c r="AJ19" s="37">
        <v>2</v>
      </c>
      <c r="AK19" s="37">
        <v>9</v>
      </c>
      <c r="AL19" s="37">
        <v>3</v>
      </c>
      <c r="AM19" s="36">
        <v>427299</v>
      </c>
      <c r="AN19" s="36">
        <v>28762</v>
      </c>
      <c r="AO19" s="36">
        <v>52250</v>
      </c>
      <c r="AP19" s="36">
        <v>37125</v>
      </c>
      <c r="AQ19" s="36">
        <v>-14955</v>
      </c>
      <c r="AR19" s="36">
        <v>-6598</v>
      </c>
      <c r="AS19" s="36">
        <v>472</v>
      </c>
      <c r="AT19" s="36">
        <v>0</v>
      </c>
      <c r="AU19" s="36">
        <v>0</v>
      </c>
      <c r="AV19" s="36">
        <v>-457996</v>
      </c>
      <c r="AW19" s="36">
        <v>-66359</v>
      </c>
      <c r="AX19" s="36">
        <v>-524355</v>
      </c>
      <c r="AZ19" s="37">
        <v>450</v>
      </c>
      <c r="BA19" s="37">
        <v>2</v>
      </c>
      <c r="BB19" s="37">
        <v>9</v>
      </c>
      <c r="BC19" s="37">
        <v>3</v>
      </c>
      <c r="BD19" s="36">
        <v>427298</v>
      </c>
      <c r="BE19" s="36">
        <v>28762</v>
      </c>
      <c r="BF19" s="36">
        <v>52250</v>
      </c>
      <c r="BG19" s="36">
        <v>37125</v>
      </c>
      <c r="BH19" s="36">
        <v>-14955</v>
      </c>
      <c r="BI19" s="36">
        <v>-6595</v>
      </c>
      <c r="BJ19" s="36">
        <v>464</v>
      </c>
      <c r="BK19" s="36">
        <v>0</v>
      </c>
      <c r="BL19" s="36">
        <v>0</v>
      </c>
      <c r="BM19" s="36">
        <v>-457998</v>
      </c>
      <c r="BN19" s="36">
        <v>-66351</v>
      </c>
      <c r="BO19" s="36">
        <v>-524349</v>
      </c>
    </row>
    <row r="20" spans="1:67" x14ac:dyDescent="0.25">
      <c r="A20" s="3">
        <v>450</v>
      </c>
      <c r="B20" s="3">
        <v>2</v>
      </c>
      <c r="C20" s="3">
        <v>9</v>
      </c>
      <c r="D20" s="3">
        <v>4</v>
      </c>
      <c r="E20">
        <v>2.365766413687378E-4</v>
      </c>
      <c r="F20" s="36">
        <v>0</v>
      </c>
      <c r="G20">
        <v>0</v>
      </c>
      <c r="H20">
        <v>0</v>
      </c>
      <c r="I20">
        <v>0</v>
      </c>
      <c r="J20">
        <v>4.3810650369104729E-3</v>
      </c>
      <c r="K20" s="36">
        <v>1.8076971745693161E-3</v>
      </c>
      <c r="N20">
        <v>9.0667256608282999E-4</v>
      </c>
      <c r="O20">
        <v>1.139380404935796E-3</v>
      </c>
      <c r="P20">
        <v>4.1265417791722428E-4</v>
      </c>
      <c r="R20" s="3">
        <v>450</v>
      </c>
      <c r="S20" s="3">
        <v>2</v>
      </c>
      <c r="T20" s="3">
        <v>9</v>
      </c>
      <c r="U20" s="3">
        <v>4</v>
      </c>
      <c r="V20">
        <v>1</v>
      </c>
      <c r="W20" s="36">
        <v>0</v>
      </c>
      <c r="X20">
        <v>0</v>
      </c>
      <c r="Y20">
        <v>0</v>
      </c>
      <c r="Z20">
        <v>0</v>
      </c>
      <c r="AA20">
        <v>4</v>
      </c>
      <c r="AB20" s="36">
        <v>-2</v>
      </c>
      <c r="AC20">
        <v>0</v>
      </c>
      <c r="AD20">
        <v>0</v>
      </c>
      <c r="AE20">
        <v>-5</v>
      </c>
      <c r="AF20">
        <v>2</v>
      </c>
      <c r="AG20">
        <v>-3</v>
      </c>
      <c r="AI20" s="3">
        <v>450</v>
      </c>
      <c r="AJ20" s="3">
        <v>2</v>
      </c>
      <c r="AK20" s="3">
        <v>9</v>
      </c>
      <c r="AL20" s="3">
        <v>4</v>
      </c>
      <c r="AM20">
        <v>422697</v>
      </c>
      <c r="AN20" s="36">
        <v>27771</v>
      </c>
      <c r="AO20">
        <v>52250</v>
      </c>
      <c r="AP20">
        <v>37125</v>
      </c>
      <c r="AQ20">
        <v>-14781</v>
      </c>
      <c r="AR20">
        <v>91306</v>
      </c>
      <c r="AS20" s="36">
        <v>110636</v>
      </c>
      <c r="AT20">
        <v>0</v>
      </c>
      <c r="AU20">
        <v>0</v>
      </c>
      <c r="AV20">
        <v>-551472</v>
      </c>
      <c r="AW20">
        <v>-175532</v>
      </c>
      <c r="AX20">
        <v>-727004</v>
      </c>
      <c r="AZ20" s="3">
        <v>450</v>
      </c>
      <c r="BA20" s="3">
        <v>2</v>
      </c>
      <c r="BB20" s="3">
        <v>9</v>
      </c>
      <c r="BC20" s="3">
        <v>4</v>
      </c>
      <c r="BD20">
        <v>422696</v>
      </c>
      <c r="BE20" s="36">
        <v>27771</v>
      </c>
      <c r="BF20">
        <v>52250</v>
      </c>
      <c r="BG20">
        <v>37125</v>
      </c>
      <c r="BH20">
        <v>-14781</v>
      </c>
      <c r="BI20">
        <v>91302</v>
      </c>
      <c r="BJ20" s="36">
        <v>110638</v>
      </c>
      <c r="BK20">
        <v>0</v>
      </c>
      <c r="BL20">
        <v>0</v>
      </c>
      <c r="BM20">
        <v>-551467</v>
      </c>
      <c r="BN20">
        <v>-175534</v>
      </c>
      <c r="BO20">
        <v>-727001</v>
      </c>
    </row>
    <row r="21" spans="1:67" x14ac:dyDescent="0.25">
      <c r="A21" s="3">
        <v>450</v>
      </c>
      <c r="B21" s="3">
        <v>2</v>
      </c>
      <c r="C21" s="3">
        <v>11</v>
      </c>
      <c r="D21" s="3">
        <v>1</v>
      </c>
      <c r="E21">
        <v>2.7226961226084522E-4</v>
      </c>
      <c r="F21" s="36">
        <v>0</v>
      </c>
      <c r="G21">
        <v>0</v>
      </c>
      <c r="H21">
        <v>0</v>
      </c>
      <c r="I21">
        <v>0</v>
      </c>
      <c r="J21">
        <v>4.4081687144709468E-4</v>
      </c>
      <c r="K21" s="36">
        <v>1.0133936865573329E-3</v>
      </c>
      <c r="N21">
        <v>2.9972260672747381E-4</v>
      </c>
      <c r="O21">
        <v>9.9337189161517975E-4</v>
      </c>
      <c r="P21">
        <v>7.1686472045860228E-4</v>
      </c>
      <c r="R21" s="3">
        <v>450</v>
      </c>
      <c r="S21" s="3">
        <v>2</v>
      </c>
      <c r="T21" s="3">
        <v>11</v>
      </c>
      <c r="U21" s="3">
        <v>1</v>
      </c>
      <c r="V21">
        <v>1</v>
      </c>
      <c r="W21" s="36">
        <v>0</v>
      </c>
      <c r="X21">
        <v>0</v>
      </c>
      <c r="Y21">
        <v>0</v>
      </c>
      <c r="Z21">
        <v>0</v>
      </c>
      <c r="AA21">
        <v>-7</v>
      </c>
      <c r="AB21" s="36">
        <v>-30</v>
      </c>
      <c r="AC21">
        <v>0</v>
      </c>
      <c r="AD21">
        <v>0</v>
      </c>
      <c r="AE21">
        <v>6</v>
      </c>
      <c r="AF21">
        <v>30</v>
      </c>
      <c r="AG21">
        <v>36</v>
      </c>
      <c r="AI21" s="3">
        <v>450</v>
      </c>
      <c r="AJ21" s="3">
        <v>2</v>
      </c>
      <c r="AK21" s="3">
        <v>11</v>
      </c>
      <c r="AL21" s="3">
        <v>1</v>
      </c>
      <c r="AM21">
        <v>367284</v>
      </c>
      <c r="AN21" s="36">
        <v>23917</v>
      </c>
      <c r="AO21">
        <v>60500</v>
      </c>
      <c r="AP21">
        <v>35750</v>
      </c>
      <c r="AQ21">
        <v>-13893</v>
      </c>
      <c r="AR21">
        <v>1587954</v>
      </c>
      <c r="AS21" s="36">
        <v>2960320</v>
      </c>
      <c r="AT21">
        <v>0</v>
      </c>
      <c r="AU21">
        <v>0</v>
      </c>
      <c r="AV21">
        <v>-2001845</v>
      </c>
      <c r="AW21">
        <v>-3019987</v>
      </c>
      <c r="AX21">
        <v>-5021832</v>
      </c>
      <c r="AZ21" s="3">
        <v>450</v>
      </c>
      <c r="BA21" s="3">
        <v>2</v>
      </c>
      <c r="BB21" s="3">
        <v>11</v>
      </c>
      <c r="BC21" s="3">
        <v>1</v>
      </c>
      <c r="BD21">
        <v>367283</v>
      </c>
      <c r="BE21" s="36">
        <v>23917</v>
      </c>
      <c r="BF21">
        <v>60500</v>
      </c>
      <c r="BG21">
        <v>35750</v>
      </c>
      <c r="BH21">
        <v>-13893</v>
      </c>
      <c r="BI21">
        <v>1587961</v>
      </c>
      <c r="BJ21" s="36">
        <v>2960350</v>
      </c>
      <c r="BK21">
        <v>0</v>
      </c>
      <c r="BL21">
        <v>0</v>
      </c>
      <c r="BM21">
        <v>-2001851</v>
      </c>
      <c r="BN21">
        <v>-3020017</v>
      </c>
      <c r="BO21">
        <v>-5021868</v>
      </c>
    </row>
    <row r="22" spans="1:67" x14ac:dyDescent="0.25">
      <c r="A22" s="3">
        <v>450</v>
      </c>
      <c r="B22" s="3">
        <v>3</v>
      </c>
      <c r="C22" s="3">
        <v>8</v>
      </c>
      <c r="D22" s="3">
        <v>1</v>
      </c>
      <c r="E22">
        <v>0</v>
      </c>
      <c r="G22">
        <v>0</v>
      </c>
      <c r="I22">
        <v>0</v>
      </c>
      <c r="J22">
        <v>1.554194771688788E-3</v>
      </c>
      <c r="K22" s="36">
        <v>1.955416503715291E-3</v>
      </c>
      <c r="N22">
        <v>7.1103526734926049E-3</v>
      </c>
      <c r="O22">
        <v>1.955416503715291E-3</v>
      </c>
      <c r="P22">
        <v>0</v>
      </c>
      <c r="R22" s="3">
        <v>450</v>
      </c>
      <c r="S22" s="3">
        <v>3</v>
      </c>
      <c r="T22" s="3">
        <v>8</v>
      </c>
      <c r="U22" s="3">
        <v>1</v>
      </c>
      <c r="V22">
        <v>0</v>
      </c>
      <c r="W22" s="36">
        <v>0</v>
      </c>
      <c r="X22">
        <v>0</v>
      </c>
      <c r="Y22">
        <v>0</v>
      </c>
      <c r="Z22">
        <v>0</v>
      </c>
      <c r="AA22">
        <v>-1</v>
      </c>
      <c r="AB22" s="36">
        <v>1</v>
      </c>
      <c r="AC22">
        <v>0</v>
      </c>
      <c r="AD22">
        <v>0</v>
      </c>
      <c r="AE22">
        <v>1</v>
      </c>
      <c r="AF22">
        <v>-1</v>
      </c>
      <c r="AG22">
        <v>0</v>
      </c>
      <c r="AI22" s="3">
        <v>450</v>
      </c>
      <c r="AJ22" s="3">
        <v>3</v>
      </c>
      <c r="AK22" s="3">
        <v>8</v>
      </c>
      <c r="AL22" s="3">
        <v>1</v>
      </c>
      <c r="AM22">
        <v>2</v>
      </c>
      <c r="AN22" s="36">
        <v>0</v>
      </c>
      <c r="AO22">
        <v>82500</v>
      </c>
      <c r="AP22">
        <v>0</v>
      </c>
      <c r="AQ22">
        <v>-4096</v>
      </c>
      <c r="AR22">
        <v>-64343</v>
      </c>
      <c r="AS22" s="36">
        <v>-51139</v>
      </c>
      <c r="AT22">
        <v>0</v>
      </c>
      <c r="AU22">
        <v>0</v>
      </c>
      <c r="AV22">
        <v>-14063</v>
      </c>
      <c r="AW22">
        <v>51139</v>
      </c>
      <c r="AX22">
        <v>37076</v>
      </c>
      <c r="AZ22" s="3">
        <v>450</v>
      </c>
      <c r="BA22" s="3">
        <v>3</v>
      </c>
      <c r="BB22" s="3">
        <v>8</v>
      </c>
      <c r="BC22" s="3">
        <v>1</v>
      </c>
      <c r="BD22">
        <v>2</v>
      </c>
      <c r="BE22" s="36">
        <v>0</v>
      </c>
      <c r="BF22">
        <v>82500</v>
      </c>
      <c r="BG22">
        <v>0</v>
      </c>
      <c r="BH22">
        <v>-4096</v>
      </c>
      <c r="BI22">
        <v>-64342</v>
      </c>
      <c r="BJ22" s="36">
        <v>-51140</v>
      </c>
      <c r="BK22">
        <v>0</v>
      </c>
      <c r="BL22">
        <v>0</v>
      </c>
      <c r="BM22">
        <v>-14064</v>
      </c>
      <c r="BN22">
        <v>51140</v>
      </c>
      <c r="BO22">
        <v>37076</v>
      </c>
    </row>
    <row r="23" spans="1:67" x14ac:dyDescent="0.25">
      <c r="A23" s="3">
        <v>450</v>
      </c>
      <c r="B23" s="3">
        <v>3</v>
      </c>
      <c r="C23" s="3">
        <v>8</v>
      </c>
      <c r="D23" s="3">
        <v>2</v>
      </c>
      <c r="E23">
        <v>0</v>
      </c>
      <c r="G23">
        <v>0</v>
      </c>
      <c r="I23">
        <v>0</v>
      </c>
      <c r="J23">
        <v>1.5859422082659311E-3</v>
      </c>
      <c r="K23" s="36">
        <v>4.7887674670293358E-4</v>
      </c>
      <c r="N23">
        <v>7.0577109020460301E-4</v>
      </c>
      <c r="O23">
        <v>4.7887674670293358E-4</v>
      </c>
      <c r="P23">
        <v>1.7878437353061589E-4</v>
      </c>
      <c r="R23" s="3">
        <v>450</v>
      </c>
      <c r="S23" s="3">
        <v>3</v>
      </c>
      <c r="T23" s="3">
        <v>8</v>
      </c>
      <c r="U23" s="3">
        <v>2</v>
      </c>
      <c r="V23">
        <v>0</v>
      </c>
      <c r="W23" s="36">
        <v>0</v>
      </c>
      <c r="X23">
        <v>0</v>
      </c>
      <c r="Y23">
        <v>0</v>
      </c>
      <c r="Z23">
        <v>0</v>
      </c>
      <c r="AA23">
        <v>1</v>
      </c>
      <c r="AB23" s="36">
        <v>-2</v>
      </c>
      <c r="AC23">
        <v>0</v>
      </c>
      <c r="AD23">
        <v>0</v>
      </c>
      <c r="AE23">
        <v>-1</v>
      </c>
      <c r="AF23">
        <v>2</v>
      </c>
      <c r="AG23">
        <v>1</v>
      </c>
      <c r="AI23" s="3">
        <v>450</v>
      </c>
      <c r="AJ23" s="3">
        <v>3</v>
      </c>
      <c r="AK23" s="3">
        <v>8</v>
      </c>
      <c r="AL23" s="3">
        <v>2</v>
      </c>
      <c r="AM23">
        <v>2</v>
      </c>
      <c r="AN23" s="36">
        <v>0</v>
      </c>
      <c r="AO23">
        <v>82500</v>
      </c>
      <c r="AP23">
        <v>0</v>
      </c>
      <c r="AQ23">
        <v>-3867</v>
      </c>
      <c r="AR23">
        <v>63055</v>
      </c>
      <c r="AS23" s="36">
        <v>417642</v>
      </c>
      <c r="AT23">
        <v>0</v>
      </c>
      <c r="AU23">
        <v>0</v>
      </c>
      <c r="AV23">
        <v>-141690</v>
      </c>
      <c r="AW23">
        <v>-417642</v>
      </c>
      <c r="AX23">
        <v>-559332</v>
      </c>
      <c r="AZ23" s="3">
        <v>450</v>
      </c>
      <c r="BA23" s="3">
        <v>3</v>
      </c>
      <c r="BB23" s="3">
        <v>8</v>
      </c>
      <c r="BC23" s="3">
        <v>2</v>
      </c>
      <c r="BD23">
        <v>2</v>
      </c>
      <c r="BE23" s="36">
        <v>0</v>
      </c>
      <c r="BF23">
        <v>82500</v>
      </c>
      <c r="BG23">
        <v>0</v>
      </c>
      <c r="BH23">
        <v>-3867</v>
      </c>
      <c r="BI23">
        <v>63054</v>
      </c>
      <c r="BJ23" s="36">
        <v>417644</v>
      </c>
      <c r="BK23">
        <v>0</v>
      </c>
      <c r="BL23">
        <v>0</v>
      </c>
      <c r="BM23">
        <v>-141689</v>
      </c>
      <c r="BN23">
        <v>-417644</v>
      </c>
      <c r="BO23">
        <v>-559333</v>
      </c>
    </row>
    <row r="24" spans="1:67" x14ac:dyDescent="0.25">
      <c r="A24" s="3">
        <v>450</v>
      </c>
      <c r="B24" s="3">
        <v>3</v>
      </c>
      <c r="C24" s="3">
        <v>10</v>
      </c>
      <c r="D24" s="3">
        <v>1</v>
      </c>
      <c r="E24">
        <v>0</v>
      </c>
      <c r="G24">
        <v>0</v>
      </c>
      <c r="I24">
        <v>0</v>
      </c>
      <c r="J24">
        <v>0</v>
      </c>
      <c r="K24" s="36">
        <v>2.8983995037940052E-4</v>
      </c>
      <c r="N24">
        <v>0</v>
      </c>
      <c r="O24">
        <v>2.8983995037940052E-4</v>
      </c>
      <c r="P24">
        <v>2.1009330243561161E-4</v>
      </c>
      <c r="R24" s="3">
        <v>450</v>
      </c>
      <c r="S24" s="3">
        <v>3</v>
      </c>
      <c r="T24" s="3">
        <v>10</v>
      </c>
      <c r="U24" s="3">
        <v>1</v>
      </c>
      <c r="V24">
        <v>0</v>
      </c>
      <c r="W24" s="36">
        <v>0</v>
      </c>
      <c r="X24">
        <v>0</v>
      </c>
      <c r="Y24">
        <v>0</v>
      </c>
      <c r="Z24">
        <v>0</v>
      </c>
      <c r="AA24">
        <v>0</v>
      </c>
      <c r="AB24" s="36">
        <v>-1</v>
      </c>
      <c r="AC24">
        <v>0</v>
      </c>
      <c r="AD24">
        <v>0</v>
      </c>
      <c r="AE24">
        <v>0</v>
      </c>
      <c r="AF24">
        <v>1</v>
      </c>
      <c r="AG24">
        <v>1</v>
      </c>
      <c r="AI24" s="3">
        <v>450</v>
      </c>
      <c r="AJ24" s="3">
        <v>3</v>
      </c>
      <c r="AK24" s="3">
        <v>10</v>
      </c>
      <c r="AL24" s="3">
        <v>1</v>
      </c>
      <c r="AM24">
        <v>2</v>
      </c>
      <c r="AN24" s="36">
        <v>0</v>
      </c>
      <c r="AO24">
        <v>82500</v>
      </c>
      <c r="AP24">
        <v>0</v>
      </c>
      <c r="AQ24">
        <v>-3949</v>
      </c>
      <c r="AR24">
        <v>52408</v>
      </c>
      <c r="AS24" s="36">
        <v>345017</v>
      </c>
      <c r="AT24">
        <v>0</v>
      </c>
      <c r="AU24">
        <v>0</v>
      </c>
      <c r="AV24">
        <v>-130961</v>
      </c>
      <c r="AW24">
        <v>-345017</v>
      </c>
      <c r="AX24">
        <v>-475978</v>
      </c>
      <c r="AZ24" s="3">
        <v>450</v>
      </c>
      <c r="BA24" s="3">
        <v>3</v>
      </c>
      <c r="BB24" s="3">
        <v>10</v>
      </c>
      <c r="BC24" s="3">
        <v>1</v>
      </c>
      <c r="BD24">
        <v>2</v>
      </c>
      <c r="BE24" s="36">
        <v>0</v>
      </c>
      <c r="BF24">
        <v>82500</v>
      </c>
      <c r="BG24">
        <v>0</v>
      </c>
      <c r="BH24">
        <v>-3949</v>
      </c>
      <c r="BI24">
        <v>52408</v>
      </c>
      <c r="BJ24" s="36">
        <v>345018</v>
      </c>
      <c r="BK24">
        <v>0</v>
      </c>
      <c r="BL24">
        <v>0</v>
      </c>
      <c r="BM24">
        <v>-130961</v>
      </c>
      <c r="BN24">
        <v>-345018</v>
      </c>
      <c r="BO24">
        <v>-475979</v>
      </c>
    </row>
    <row r="25" spans="1:67" x14ac:dyDescent="0.25">
      <c r="A25" s="3">
        <v>450</v>
      </c>
      <c r="B25" s="3">
        <v>3</v>
      </c>
      <c r="C25" s="3">
        <v>10</v>
      </c>
      <c r="D25" s="3">
        <v>2</v>
      </c>
      <c r="E25">
        <v>0</v>
      </c>
      <c r="G25">
        <v>0</v>
      </c>
      <c r="I25">
        <v>0</v>
      </c>
      <c r="J25">
        <v>0</v>
      </c>
      <c r="K25" s="36">
        <v>2.7262070281617191E-3</v>
      </c>
      <c r="N25">
        <v>0</v>
      </c>
      <c r="O25">
        <v>2.7262070281617191E-3</v>
      </c>
      <c r="P25">
        <v>2.8030441058990059E-3</v>
      </c>
      <c r="R25" s="3">
        <v>450</v>
      </c>
      <c r="S25" s="3">
        <v>3</v>
      </c>
      <c r="T25" s="3">
        <v>10</v>
      </c>
      <c r="U25" s="3">
        <v>2</v>
      </c>
      <c r="V25">
        <v>0</v>
      </c>
      <c r="W25" s="36">
        <v>0</v>
      </c>
      <c r="X25">
        <v>0</v>
      </c>
      <c r="Y25">
        <v>0</v>
      </c>
      <c r="Z25">
        <v>0</v>
      </c>
      <c r="AA25">
        <v>0</v>
      </c>
      <c r="AB25" s="36">
        <v>2</v>
      </c>
      <c r="AC25">
        <v>0</v>
      </c>
      <c r="AD25">
        <v>0</v>
      </c>
      <c r="AE25">
        <v>0</v>
      </c>
      <c r="AF25">
        <v>-2</v>
      </c>
      <c r="AG25">
        <v>-2</v>
      </c>
      <c r="AI25" s="3">
        <v>450</v>
      </c>
      <c r="AJ25" s="3">
        <v>3</v>
      </c>
      <c r="AK25" s="3">
        <v>10</v>
      </c>
      <c r="AL25" s="3">
        <v>2</v>
      </c>
      <c r="AM25">
        <v>2</v>
      </c>
      <c r="AN25" s="36">
        <v>0</v>
      </c>
      <c r="AO25">
        <v>82500</v>
      </c>
      <c r="AP25">
        <v>0</v>
      </c>
      <c r="AQ25">
        <v>-4186</v>
      </c>
      <c r="AR25">
        <v>-76305</v>
      </c>
      <c r="AS25" s="36">
        <v>-73360</v>
      </c>
      <c r="AT25">
        <v>0</v>
      </c>
      <c r="AU25">
        <v>0</v>
      </c>
      <c r="AV25">
        <v>-2011</v>
      </c>
      <c r="AW25">
        <v>73360</v>
      </c>
      <c r="AX25">
        <v>71349</v>
      </c>
      <c r="AZ25" s="3">
        <v>450</v>
      </c>
      <c r="BA25" s="3">
        <v>3</v>
      </c>
      <c r="BB25" s="3">
        <v>10</v>
      </c>
      <c r="BC25" s="3">
        <v>2</v>
      </c>
      <c r="BD25">
        <v>2</v>
      </c>
      <c r="BE25" s="36">
        <v>0</v>
      </c>
      <c r="BF25">
        <v>82500</v>
      </c>
      <c r="BG25">
        <v>0</v>
      </c>
      <c r="BH25">
        <v>-4186</v>
      </c>
      <c r="BI25">
        <v>-76305</v>
      </c>
      <c r="BJ25" s="36">
        <v>-73362</v>
      </c>
      <c r="BK25">
        <v>0</v>
      </c>
      <c r="BL25">
        <v>0</v>
      </c>
      <c r="BM25">
        <v>-2011</v>
      </c>
      <c r="BN25">
        <v>73362</v>
      </c>
      <c r="BO25">
        <v>71351</v>
      </c>
    </row>
    <row r="26" spans="1:67" x14ac:dyDescent="0.25">
      <c r="A26" s="3">
        <v>720</v>
      </c>
      <c r="B26" s="3">
        <v>2</v>
      </c>
      <c r="C26" s="3">
        <v>7</v>
      </c>
      <c r="D26" s="3">
        <v>1</v>
      </c>
      <c r="E26">
        <v>0</v>
      </c>
      <c r="F26" s="36">
        <v>0</v>
      </c>
      <c r="G26">
        <v>0</v>
      </c>
      <c r="H26">
        <v>0</v>
      </c>
      <c r="I26">
        <v>0</v>
      </c>
      <c r="J26">
        <v>7.8538554576441575E-4</v>
      </c>
      <c r="K26" s="36">
        <v>1.0311936065996389E-3</v>
      </c>
      <c r="L26">
        <v>1.499480804771348E-3</v>
      </c>
      <c r="M26">
        <v>1.247536116170563E-3</v>
      </c>
      <c r="N26">
        <v>3.0570195282407471E-4</v>
      </c>
      <c r="O26">
        <v>9.6380781190326739E-4</v>
      </c>
      <c r="P26">
        <v>6.73730506449959E-4</v>
      </c>
      <c r="R26" s="3">
        <v>720</v>
      </c>
      <c r="S26" s="3">
        <v>2</v>
      </c>
      <c r="T26" s="3">
        <v>7</v>
      </c>
      <c r="U26" s="3">
        <v>1</v>
      </c>
      <c r="V26">
        <v>0</v>
      </c>
      <c r="W26" s="36">
        <v>0</v>
      </c>
      <c r="X26">
        <v>0</v>
      </c>
      <c r="Y26">
        <v>0</v>
      </c>
      <c r="Z26">
        <v>0</v>
      </c>
      <c r="AA26">
        <v>-2</v>
      </c>
      <c r="AB26" s="36">
        <v>-8</v>
      </c>
      <c r="AC26">
        <v>8</v>
      </c>
      <c r="AD26">
        <v>7</v>
      </c>
      <c r="AE26">
        <v>2</v>
      </c>
      <c r="AF26">
        <v>8</v>
      </c>
      <c r="AG26">
        <v>10</v>
      </c>
      <c r="AI26" s="3">
        <v>720</v>
      </c>
      <c r="AJ26" s="3">
        <v>2</v>
      </c>
      <c r="AK26" s="3">
        <v>7</v>
      </c>
      <c r="AL26" s="3">
        <v>1</v>
      </c>
      <c r="AM26">
        <v>352061</v>
      </c>
      <c r="AN26" s="36">
        <v>18491</v>
      </c>
      <c r="AO26">
        <v>60500</v>
      </c>
      <c r="AP26">
        <v>35750</v>
      </c>
      <c r="AQ26">
        <v>-12981</v>
      </c>
      <c r="AR26">
        <v>254650</v>
      </c>
      <c r="AS26" s="36">
        <v>775792</v>
      </c>
      <c r="AT26">
        <v>-533510</v>
      </c>
      <c r="AU26">
        <v>-561099</v>
      </c>
      <c r="AV26">
        <v>-654230</v>
      </c>
      <c r="AW26">
        <v>-830033</v>
      </c>
      <c r="AX26">
        <v>-1484263</v>
      </c>
      <c r="AZ26" s="3">
        <v>720</v>
      </c>
      <c r="BA26" s="3">
        <v>2</v>
      </c>
      <c r="BB26" s="3">
        <v>7</v>
      </c>
      <c r="BC26" s="3">
        <v>1</v>
      </c>
      <c r="BD26">
        <v>352061</v>
      </c>
      <c r="BE26" s="36">
        <v>18491</v>
      </c>
      <c r="BF26">
        <v>60500</v>
      </c>
      <c r="BG26">
        <v>35750</v>
      </c>
      <c r="BH26">
        <v>-12981</v>
      </c>
      <c r="BI26">
        <v>254652</v>
      </c>
      <c r="BJ26" s="36">
        <v>775800</v>
      </c>
      <c r="BK26">
        <v>-533518</v>
      </c>
      <c r="BL26">
        <v>-561106</v>
      </c>
      <c r="BM26">
        <v>-654232</v>
      </c>
      <c r="BN26">
        <v>-830041</v>
      </c>
      <c r="BO26">
        <v>-1484273</v>
      </c>
    </row>
    <row r="27" spans="1:67" x14ac:dyDescent="0.25">
      <c r="A27" s="3">
        <v>720</v>
      </c>
      <c r="B27" s="3">
        <v>2</v>
      </c>
      <c r="C27" s="3">
        <v>9</v>
      </c>
      <c r="D27" s="3">
        <v>1</v>
      </c>
      <c r="E27">
        <v>2.3845576049503421E-4</v>
      </c>
      <c r="F27" s="36">
        <v>0</v>
      </c>
      <c r="G27">
        <v>0</v>
      </c>
      <c r="H27">
        <v>0</v>
      </c>
      <c r="I27">
        <v>0</v>
      </c>
      <c r="J27">
        <v>1.144950767117014E-2</v>
      </c>
      <c r="K27" s="36">
        <v>5.3469073487894614E-3</v>
      </c>
      <c r="L27">
        <v>4.2821394639296663E-3</v>
      </c>
      <c r="M27">
        <v>3.9394377109240606E-3</v>
      </c>
      <c r="N27">
        <v>0</v>
      </c>
      <c r="O27">
        <v>3.2896684672118742E-3</v>
      </c>
      <c r="P27">
        <v>8.0829896715557984E-4</v>
      </c>
      <c r="R27" s="3">
        <v>720</v>
      </c>
      <c r="S27" s="3">
        <v>2</v>
      </c>
      <c r="T27" s="3">
        <v>9</v>
      </c>
      <c r="U27" s="3">
        <v>1</v>
      </c>
      <c r="V27">
        <v>1</v>
      </c>
      <c r="W27" s="36">
        <v>0</v>
      </c>
      <c r="X27">
        <v>0</v>
      </c>
      <c r="Y27">
        <v>0</v>
      </c>
      <c r="Z27">
        <v>0</v>
      </c>
      <c r="AA27">
        <v>-1</v>
      </c>
      <c r="AB27" s="36">
        <v>5</v>
      </c>
      <c r="AC27">
        <v>-16</v>
      </c>
      <c r="AD27">
        <v>-3</v>
      </c>
      <c r="AE27">
        <v>0</v>
      </c>
      <c r="AF27">
        <v>-5</v>
      </c>
      <c r="AG27">
        <v>-5</v>
      </c>
      <c r="AI27" s="3">
        <v>720</v>
      </c>
      <c r="AJ27" s="3">
        <v>2</v>
      </c>
      <c r="AK27" s="3">
        <v>9</v>
      </c>
      <c r="AL27" s="3">
        <v>1</v>
      </c>
      <c r="AM27">
        <v>419366</v>
      </c>
      <c r="AN27" s="36">
        <v>21354</v>
      </c>
      <c r="AO27">
        <v>52250</v>
      </c>
      <c r="AP27">
        <v>37125</v>
      </c>
      <c r="AQ27">
        <v>-13757</v>
      </c>
      <c r="AR27">
        <v>8733</v>
      </c>
      <c r="AS27" s="36">
        <v>93517</v>
      </c>
      <c r="AT27">
        <v>-373661</v>
      </c>
      <c r="AU27">
        <v>-76156</v>
      </c>
      <c r="AV27">
        <v>-466592</v>
      </c>
      <c r="AW27">
        <v>-151996</v>
      </c>
      <c r="AX27">
        <v>-618588</v>
      </c>
      <c r="AZ27" s="3">
        <v>720</v>
      </c>
      <c r="BA27" s="3">
        <v>2</v>
      </c>
      <c r="BB27" s="3">
        <v>9</v>
      </c>
      <c r="BC27" s="3">
        <v>1</v>
      </c>
      <c r="BD27">
        <v>419365</v>
      </c>
      <c r="BE27" s="36">
        <v>21354</v>
      </c>
      <c r="BF27">
        <v>52250</v>
      </c>
      <c r="BG27">
        <v>37125</v>
      </c>
      <c r="BH27">
        <v>-13757</v>
      </c>
      <c r="BI27">
        <v>8734</v>
      </c>
      <c r="BJ27" s="36">
        <v>93512</v>
      </c>
      <c r="BK27">
        <v>-373645</v>
      </c>
      <c r="BL27">
        <v>-76153</v>
      </c>
      <c r="BM27">
        <v>-466592</v>
      </c>
      <c r="BN27">
        <v>-151991</v>
      </c>
      <c r="BO27">
        <v>-618583</v>
      </c>
    </row>
    <row r="28" spans="1:67" x14ac:dyDescent="0.25">
      <c r="A28" s="3">
        <v>720</v>
      </c>
      <c r="B28" s="3">
        <v>2</v>
      </c>
      <c r="C28" s="3">
        <v>9</v>
      </c>
      <c r="D28" s="3">
        <v>2</v>
      </c>
      <c r="E28">
        <v>2.2900693432997149E-4</v>
      </c>
      <c r="F28" s="36">
        <v>0</v>
      </c>
      <c r="G28">
        <v>0</v>
      </c>
      <c r="H28">
        <v>0</v>
      </c>
      <c r="I28">
        <v>0</v>
      </c>
      <c r="J28">
        <v>3.4093621083495281E-3</v>
      </c>
      <c r="K28" s="36">
        <v>0</v>
      </c>
      <c r="L28">
        <v>1.8277317164000081E-3</v>
      </c>
      <c r="M28">
        <v>3.9956048346818504E-3</v>
      </c>
      <c r="N28">
        <v>1.034067348806428E-3</v>
      </c>
      <c r="O28">
        <v>0</v>
      </c>
      <c r="P28">
        <v>1.3168117354261861E-3</v>
      </c>
      <c r="R28" s="3">
        <v>720</v>
      </c>
      <c r="S28" s="3">
        <v>2</v>
      </c>
      <c r="T28" s="3">
        <v>9</v>
      </c>
      <c r="U28" s="3">
        <v>2</v>
      </c>
      <c r="V28">
        <v>1</v>
      </c>
      <c r="W28" s="36">
        <v>0</v>
      </c>
      <c r="X28">
        <v>0</v>
      </c>
      <c r="Y28">
        <v>0</v>
      </c>
      <c r="Z28">
        <v>0</v>
      </c>
      <c r="AA28">
        <v>3</v>
      </c>
      <c r="AB28" s="36">
        <v>0</v>
      </c>
      <c r="AC28">
        <v>8</v>
      </c>
      <c r="AD28">
        <v>2</v>
      </c>
      <c r="AE28">
        <v>-4</v>
      </c>
      <c r="AF28">
        <v>0</v>
      </c>
      <c r="AG28">
        <v>-4</v>
      </c>
      <c r="AI28" s="3">
        <v>720</v>
      </c>
      <c r="AJ28" s="3">
        <v>2</v>
      </c>
      <c r="AK28" s="3">
        <v>9</v>
      </c>
      <c r="AL28" s="3">
        <v>2</v>
      </c>
      <c r="AM28">
        <v>436669</v>
      </c>
      <c r="AN28" s="36">
        <v>21609</v>
      </c>
      <c r="AO28">
        <v>52250</v>
      </c>
      <c r="AP28">
        <v>37125</v>
      </c>
      <c r="AQ28">
        <v>-14103</v>
      </c>
      <c r="AR28">
        <v>-87990</v>
      </c>
      <c r="AS28" s="36">
        <v>-141792</v>
      </c>
      <c r="AT28">
        <v>-437693</v>
      </c>
      <c r="AU28">
        <v>-50053</v>
      </c>
      <c r="AV28">
        <v>-386826</v>
      </c>
      <c r="AW28">
        <v>83058</v>
      </c>
      <c r="AX28">
        <v>-303768</v>
      </c>
      <c r="AZ28" s="3">
        <v>720</v>
      </c>
      <c r="BA28" s="3">
        <v>2</v>
      </c>
      <c r="BB28" s="3">
        <v>9</v>
      </c>
      <c r="BC28" s="3">
        <v>2</v>
      </c>
      <c r="BD28">
        <v>436668</v>
      </c>
      <c r="BE28" s="36">
        <v>21609</v>
      </c>
      <c r="BF28">
        <v>52250</v>
      </c>
      <c r="BG28">
        <v>37125</v>
      </c>
      <c r="BH28">
        <v>-14103</v>
      </c>
      <c r="BI28">
        <v>-87993</v>
      </c>
      <c r="BJ28" s="36">
        <v>-141792</v>
      </c>
      <c r="BK28">
        <v>-437701</v>
      </c>
      <c r="BL28">
        <v>-50055</v>
      </c>
      <c r="BM28">
        <v>-386822</v>
      </c>
      <c r="BN28">
        <v>83058</v>
      </c>
      <c r="BO28">
        <v>-303764</v>
      </c>
    </row>
    <row r="29" spans="1:67" x14ac:dyDescent="0.25">
      <c r="A29" s="3">
        <v>720</v>
      </c>
      <c r="B29" s="3">
        <v>2</v>
      </c>
      <c r="C29" s="3">
        <v>9</v>
      </c>
      <c r="D29" s="3">
        <v>3</v>
      </c>
      <c r="E29">
        <v>2.276664868101421E-4</v>
      </c>
      <c r="F29" s="36">
        <v>0</v>
      </c>
      <c r="G29">
        <v>0</v>
      </c>
      <c r="H29">
        <v>0</v>
      </c>
      <c r="I29">
        <v>0</v>
      </c>
      <c r="J29">
        <v>1.0459293736190461E-2</v>
      </c>
      <c r="K29" s="36">
        <v>6.1407333263738359E-4</v>
      </c>
      <c r="L29">
        <v>4.3668408308351371E-4</v>
      </c>
      <c r="M29">
        <v>1.2057272042200451E-2</v>
      </c>
      <c r="N29">
        <v>1.7483347111875941E-3</v>
      </c>
      <c r="O29">
        <v>9.6301075683015382E-4</v>
      </c>
      <c r="P29">
        <v>2.697781075065759E-3</v>
      </c>
      <c r="R29" s="3">
        <v>720</v>
      </c>
      <c r="S29" s="3">
        <v>2</v>
      </c>
      <c r="T29" s="3">
        <v>9</v>
      </c>
      <c r="U29" s="3">
        <v>3</v>
      </c>
      <c r="V29">
        <v>1</v>
      </c>
      <c r="W29" s="36">
        <v>0</v>
      </c>
      <c r="X29">
        <v>0</v>
      </c>
      <c r="Y29">
        <v>0</v>
      </c>
      <c r="Z29">
        <v>0</v>
      </c>
      <c r="AA29">
        <v>-8</v>
      </c>
      <c r="AB29" s="36">
        <v>-1</v>
      </c>
      <c r="AC29">
        <v>2</v>
      </c>
      <c r="AD29">
        <v>-8</v>
      </c>
      <c r="AE29">
        <v>7</v>
      </c>
      <c r="AF29">
        <v>1</v>
      </c>
      <c r="AG29">
        <v>8</v>
      </c>
      <c r="AI29" s="3">
        <v>720</v>
      </c>
      <c r="AJ29" s="3">
        <v>2</v>
      </c>
      <c r="AK29" s="3">
        <v>9</v>
      </c>
      <c r="AL29" s="3">
        <v>3</v>
      </c>
      <c r="AM29">
        <v>439240</v>
      </c>
      <c r="AN29" s="36">
        <v>21881</v>
      </c>
      <c r="AO29">
        <v>52250</v>
      </c>
      <c r="AP29">
        <v>37125</v>
      </c>
      <c r="AQ29">
        <v>-14621</v>
      </c>
      <c r="AR29">
        <v>-76495</v>
      </c>
      <c r="AS29" s="36">
        <v>-162848</v>
      </c>
      <c r="AT29">
        <v>-457995</v>
      </c>
      <c r="AU29">
        <v>-66358</v>
      </c>
      <c r="AV29">
        <v>-400374</v>
      </c>
      <c r="AW29">
        <v>103842</v>
      </c>
      <c r="AX29">
        <v>-296532</v>
      </c>
      <c r="AZ29" s="3">
        <v>720</v>
      </c>
      <c r="BA29" s="3">
        <v>2</v>
      </c>
      <c r="BB29" s="3">
        <v>9</v>
      </c>
      <c r="BC29" s="3">
        <v>3</v>
      </c>
      <c r="BD29">
        <v>439239</v>
      </c>
      <c r="BE29" s="36">
        <v>21881</v>
      </c>
      <c r="BF29">
        <v>52250</v>
      </c>
      <c r="BG29">
        <v>37125</v>
      </c>
      <c r="BH29">
        <v>-14621</v>
      </c>
      <c r="BI29">
        <v>-76487</v>
      </c>
      <c r="BJ29" s="36">
        <v>-162847</v>
      </c>
      <c r="BK29">
        <v>-457997</v>
      </c>
      <c r="BL29">
        <v>-66350</v>
      </c>
      <c r="BM29">
        <v>-400381</v>
      </c>
      <c r="BN29">
        <v>103841</v>
      </c>
      <c r="BO29">
        <v>-296540</v>
      </c>
    </row>
    <row r="30" spans="1:67" x14ac:dyDescent="0.25">
      <c r="A30" s="3">
        <v>720</v>
      </c>
      <c r="B30" s="3">
        <v>2</v>
      </c>
      <c r="C30" s="3">
        <v>9</v>
      </c>
      <c r="D30" s="3">
        <v>4</v>
      </c>
      <c r="E30">
        <v>2.3058157284302469E-4</v>
      </c>
      <c r="F30" s="36">
        <v>0</v>
      </c>
      <c r="G30">
        <v>0</v>
      </c>
      <c r="H30">
        <v>0</v>
      </c>
      <c r="I30">
        <v>0</v>
      </c>
      <c r="J30">
        <v>2.1339782689879612E-3</v>
      </c>
      <c r="K30" s="36">
        <v>7.2211724777046299E-4</v>
      </c>
      <c r="L30">
        <v>9.0667421019609545E-4</v>
      </c>
      <c r="M30">
        <v>1.13938689591131E-3</v>
      </c>
      <c r="N30">
        <v>9.2995944048326006E-4</v>
      </c>
      <c r="O30">
        <v>6.3264178556817559E-4</v>
      </c>
      <c r="P30">
        <v>3.2601882921748138E-4</v>
      </c>
      <c r="R30" s="3">
        <v>720</v>
      </c>
      <c r="S30" s="3">
        <v>2</v>
      </c>
      <c r="T30" s="3">
        <v>9</v>
      </c>
      <c r="U30" s="3">
        <v>4</v>
      </c>
      <c r="V30">
        <v>1</v>
      </c>
      <c r="W30" s="36">
        <v>0</v>
      </c>
      <c r="X30">
        <v>0</v>
      </c>
      <c r="Y30">
        <v>0</v>
      </c>
      <c r="Z30">
        <v>0</v>
      </c>
      <c r="AA30">
        <v>6</v>
      </c>
      <c r="AB30" s="36">
        <v>-3</v>
      </c>
      <c r="AC30">
        <v>-5</v>
      </c>
      <c r="AD30">
        <v>2</v>
      </c>
      <c r="AE30">
        <v>-7</v>
      </c>
      <c r="AF30">
        <v>3</v>
      </c>
      <c r="AG30">
        <v>-4</v>
      </c>
      <c r="AI30" s="3">
        <v>720</v>
      </c>
      <c r="AJ30" s="3">
        <v>2</v>
      </c>
      <c r="AK30" s="3">
        <v>9</v>
      </c>
      <c r="AL30" s="3">
        <v>4</v>
      </c>
      <c r="AM30">
        <v>433687</v>
      </c>
      <c r="AN30" s="36">
        <v>21632</v>
      </c>
      <c r="AO30">
        <v>52250</v>
      </c>
      <c r="AP30">
        <v>37125</v>
      </c>
      <c r="AQ30">
        <v>-14380</v>
      </c>
      <c r="AR30">
        <v>281171</v>
      </c>
      <c r="AS30" s="36">
        <v>415442</v>
      </c>
      <c r="AT30">
        <v>-551471</v>
      </c>
      <c r="AU30">
        <v>-175531</v>
      </c>
      <c r="AV30">
        <v>-752728</v>
      </c>
      <c r="AW30">
        <v>-474199</v>
      </c>
      <c r="AX30">
        <v>-1226927</v>
      </c>
      <c r="AZ30" s="3">
        <v>720</v>
      </c>
      <c r="BA30" s="3">
        <v>2</v>
      </c>
      <c r="BB30" s="3">
        <v>9</v>
      </c>
      <c r="BC30" s="3">
        <v>4</v>
      </c>
      <c r="BD30">
        <v>433686</v>
      </c>
      <c r="BE30" s="36">
        <v>21632</v>
      </c>
      <c r="BF30">
        <v>52250</v>
      </c>
      <c r="BG30">
        <v>37125</v>
      </c>
      <c r="BH30">
        <v>-14380</v>
      </c>
      <c r="BI30">
        <v>281165</v>
      </c>
      <c r="BJ30" s="36">
        <v>415445</v>
      </c>
      <c r="BK30">
        <v>-551466</v>
      </c>
      <c r="BL30">
        <v>-175533</v>
      </c>
      <c r="BM30">
        <v>-752721</v>
      </c>
      <c r="BN30">
        <v>-474202</v>
      </c>
      <c r="BO30">
        <v>-1226923</v>
      </c>
    </row>
    <row r="31" spans="1:67" x14ac:dyDescent="0.25">
      <c r="A31" s="3">
        <v>720</v>
      </c>
      <c r="B31" s="3">
        <v>2</v>
      </c>
      <c r="C31" s="3">
        <v>11</v>
      </c>
      <c r="D31" s="3">
        <v>1</v>
      </c>
      <c r="E31">
        <v>0</v>
      </c>
      <c r="F31" s="36">
        <v>5.3293540822852269E-3</v>
      </c>
      <c r="G31">
        <v>0</v>
      </c>
      <c r="H31">
        <v>0</v>
      </c>
      <c r="I31">
        <v>0</v>
      </c>
      <c r="J31">
        <v>6.3117964319414779E-5</v>
      </c>
      <c r="K31" s="36">
        <v>6.9849195586728255E-4</v>
      </c>
      <c r="L31">
        <v>2.9972275645028348E-4</v>
      </c>
      <c r="M31">
        <v>9.6025981319304262E-4</v>
      </c>
      <c r="N31">
        <v>4.9804070785529727E-5</v>
      </c>
      <c r="O31">
        <v>6.5338316904558027E-4</v>
      </c>
      <c r="P31">
        <v>4.1429442010519532E-4</v>
      </c>
      <c r="R31" s="3">
        <v>720</v>
      </c>
      <c r="S31" s="3">
        <v>2</v>
      </c>
      <c r="T31" s="3">
        <v>11</v>
      </c>
      <c r="U31" s="3">
        <v>1</v>
      </c>
      <c r="V31">
        <v>0</v>
      </c>
      <c r="W31" s="36">
        <v>1</v>
      </c>
      <c r="X31">
        <v>0</v>
      </c>
      <c r="Y31">
        <v>0</v>
      </c>
      <c r="Z31">
        <v>0</v>
      </c>
      <c r="AA31">
        <v>-1</v>
      </c>
      <c r="AB31" s="36">
        <v>-21</v>
      </c>
      <c r="AC31">
        <v>6</v>
      </c>
      <c r="AD31">
        <v>29</v>
      </c>
      <c r="AE31">
        <v>1</v>
      </c>
      <c r="AF31">
        <v>20</v>
      </c>
      <c r="AG31">
        <v>21</v>
      </c>
      <c r="AI31" s="3">
        <v>720</v>
      </c>
      <c r="AJ31" s="3">
        <v>2</v>
      </c>
      <c r="AK31" s="3">
        <v>11</v>
      </c>
      <c r="AL31" s="3">
        <v>1</v>
      </c>
      <c r="AM31">
        <v>376328</v>
      </c>
      <c r="AN31" s="36">
        <v>18765</v>
      </c>
      <c r="AO31">
        <v>60500</v>
      </c>
      <c r="AP31">
        <v>35750</v>
      </c>
      <c r="AQ31">
        <v>-13295</v>
      </c>
      <c r="AR31">
        <v>1584334</v>
      </c>
      <c r="AS31" s="36">
        <v>3006456</v>
      </c>
      <c r="AT31">
        <v>-2001844</v>
      </c>
      <c r="AU31">
        <v>-3019987</v>
      </c>
      <c r="AV31">
        <v>-2007867</v>
      </c>
      <c r="AW31">
        <v>-3060971</v>
      </c>
      <c r="AX31">
        <v>-5068838</v>
      </c>
      <c r="AZ31" s="3">
        <v>720</v>
      </c>
      <c r="BA31" s="3">
        <v>2</v>
      </c>
      <c r="BB31" s="3">
        <v>11</v>
      </c>
      <c r="BC31" s="3">
        <v>1</v>
      </c>
      <c r="BD31">
        <v>376328</v>
      </c>
      <c r="BE31" s="36">
        <v>18764</v>
      </c>
      <c r="BF31">
        <v>60500</v>
      </c>
      <c r="BG31">
        <v>35750</v>
      </c>
      <c r="BH31">
        <v>-13295</v>
      </c>
      <c r="BI31">
        <v>1584335</v>
      </c>
      <c r="BJ31" s="36">
        <v>3006477</v>
      </c>
      <c r="BK31">
        <v>-2001850</v>
      </c>
      <c r="BL31">
        <v>-3020016</v>
      </c>
      <c r="BM31">
        <v>-2007868</v>
      </c>
      <c r="BN31">
        <v>-3060991</v>
      </c>
      <c r="BO31">
        <v>-5068859</v>
      </c>
    </row>
    <row r="32" spans="1:67" x14ac:dyDescent="0.25">
      <c r="A32" s="3">
        <v>720</v>
      </c>
      <c r="B32" s="3">
        <v>3</v>
      </c>
      <c r="C32" s="3">
        <v>8</v>
      </c>
      <c r="D32" s="3">
        <v>1</v>
      </c>
      <c r="E32">
        <v>0</v>
      </c>
      <c r="G32">
        <v>0</v>
      </c>
      <c r="I32">
        <v>0</v>
      </c>
      <c r="J32">
        <v>0</v>
      </c>
      <c r="K32" s="36">
        <v>1.359619306594154E-2</v>
      </c>
      <c r="L32">
        <v>7.1108582805944681E-3</v>
      </c>
      <c r="M32">
        <v>1.955416503715291E-3</v>
      </c>
      <c r="N32">
        <v>0</v>
      </c>
      <c r="O32">
        <v>1.359619306594154E-2</v>
      </c>
      <c r="P32">
        <v>5.7430007178750901E-2</v>
      </c>
      <c r="R32" s="3">
        <v>720</v>
      </c>
      <c r="S32" s="3">
        <v>3</v>
      </c>
      <c r="T32" s="3">
        <v>8</v>
      </c>
      <c r="U32" s="3">
        <v>1</v>
      </c>
      <c r="V32">
        <v>0</v>
      </c>
      <c r="W32" s="36">
        <v>0</v>
      </c>
      <c r="X32">
        <v>0</v>
      </c>
      <c r="Y32">
        <v>0</v>
      </c>
      <c r="Z32">
        <v>0</v>
      </c>
      <c r="AA32">
        <v>0</v>
      </c>
      <c r="AB32" s="36">
        <v>4</v>
      </c>
      <c r="AC32">
        <v>1</v>
      </c>
      <c r="AD32">
        <v>-1</v>
      </c>
      <c r="AE32">
        <v>0</v>
      </c>
      <c r="AF32">
        <v>-4</v>
      </c>
      <c r="AG32">
        <v>-4</v>
      </c>
      <c r="AI32" s="3">
        <v>720</v>
      </c>
      <c r="AJ32" s="3">
        <v>3</v>
      </c>
      <c r="AK32" s="3">
        <v>8</v>
      </c>
      <c r="AL32" s="3">
        <v>1</v>
      </c>
      <c r="AM32">
        <v>2</v>
      </c>
      <c r="AN32" s="36">
        <v>0</v>
      </c>
      <c r="AO32">
        <v>82500</v>
      </c>
      <c r="AP32">
        <v>0</v>
      </c>
      <c r="AQ32">
        <v>-3124</v>
      </c>
      <c r="AR32">
        <v>-56923</v>
      </c>
      <c r="AS32" s="36">
        <v>-29416</v>
      </c>
      <c r="AT32">
        <v>-14062</v>
      </c>
      <c r="AU32">
        <v>51139</v>
      </c>
      <c r="AV32">
        <v>-22455</v>
      </c>
      <c r="AW32">
        <v>29416</v>
      </c>
      <c r="AX32">
        <v>6961</v>
      </c>
      <c r="AZ32" s="3">
        <v>720</v>
      </c>
      <c r="BA32" s="3">
        <v>3</v>
      </c>
      <c r="BB32" s="3">
        <v>8</v>
      </c>
      <c r="BC32" s="3">
        <v>1</v>
      </c>
      <c r="BD32">
        <v>2</v>
      </c>
      <c r="BE32" s="36">
        <v>0</v>
      </c>
      <c r="BF32">
        <v>82500</v>
      </c>
      <c r="BG32">
        <v>0</v>
      </c>
      <c r="BH32">
        <v>-3124</v>
      </c>
      <c r="BI32">
        <v>-56923</v>
      </c>
      <c r="BJ32" s="36">
        <v>-29420</v>
      </c>
      <c r="BK32">
        <v>-14063</v>
      </c>
      <c r="BL32">
        <v>51140</v>
      </c>
      <c r="BM32">
        <v>-22455</v>
      </c>
      <c r="BN32">
        <v>29420</v>
      </c>
      <c r="BO32">
        <v>6965</v>
      </c>
    </row>
    <row r="33" spans="1:67" x14ac:dyDescent="0.25">
      <c r="A33" s="3">
        <v>720</v>
      </c>
      <c r="B33" s="3">
        <v>3</v>
      </c>
      <c r="C33" s="3">
        <v>8</v>
      </c>
      <c r="D33" s="3">
        <v>2</v>
      </c>
      <c r="E33">
        <v>0</v>
      </c>
      <c r="G33">
        <v>0</v>
      </c>
      <c r="I33">
        <v>0</v>
      </c>
      <c r="J33">
        <v>0</v>
      </c>
      <c r="K33" s="36">
        <v>3.6165188113225971E-4</v>
      </c>
      <c r="L33">
        <v>7.0577607136807635E-4</v>
      </c>
      <c r="M33">
        <v>4.7887789332037173E-4</v>
      </c>
      <c r="N33">
        <v>0</v>
      </c>
      <c r="O33">
        <v>3.6165188113225971E-4</v>
      </c>
      <c r="P33">
        <v>2.6792304714239978E-4</v>
      </c>
      <c r="R33" s="3">
        <v>720</v>
      </c>
      <c r="S33" s="3">
        <v>3</v>
      </c>
      <c r="T33" s="3">
        <v>8</v>
      </c>
      <c r="U33" s="3">
        <v>2</v>
      </c>
      <c r="V33">
        <v>0</v>
      </c>
      <c r="W33" s="36">
        <v>0</v>
      </c>
      <c r="X33">
        <v>0</v>
      </c>
      <c r="Y33">
        <v>0</v>
      </c>
      <c r="Z33">
        <v>0</v>
      </c>
      <c r="AA33">
        <v>0</v>
      </c>
      <c r="AB33" s="36">
        <v>-2</v>
      </c>
      <c r="AC33">
        <v>-1</v>
      </c>
      <c r="AD33">
        <v>2</v>
      </c>
      <c r="AE33">
        <v>0</v>
      </c>
      <c r="AF33">
        <v>2</v>
      </c>
      <c r="AG33">
        <v>2</v>
      </c>
      <c r="AI33" s="3">
        <v>720</v>
      </c>
      <c r="AJ33" s="3">
        <v>3</v>
      </c>
      <c r="AK33" s="3">
        <v>8</v>
      </c>
      <c r="AL33" s="3">
        <v>2</v>
      </c>
      <c r="AM33">
        <v>2</v>
      </c>
      <c r="AN33" s="36">
        <v>0</v>
      </c>
      <c r="AO33">
        <v>82500</v>
      </c>
      <c r="AP33">
        <v>0</v>
      </c>
      <c r="AQ33">
        <v>-3145</v>
      </c>
      <c r="AR33">
        <v>114108</v>
      </c>
      <c r="AS33" s="36">
        <v>553016</v>
      </c>
      <c r="AT33">
        <v>-141689</v>
      </c>
      <c r="AU33">
        <v>-417641</v>
      </c>
      <c r="AV33">
        <v>-193465</v>
      </c>
      <c r="AW33">
        <v>-553016</v>
      </c>
      <c r="AX33">
        <v>-746481</v>
      </c>
      <c r="AZ33" s="3">
        <v>720</v>
      </c>
      <c r="BA33" s="3">
        <v>3</v>
      </c>
      <c r="BB33" s="3">
        <v>8</v>
      </c>
      <c r="BC33" s="3">
        <v>2</v>
      </c>
      <c r="BD33">
        <v>2</v>
      </c>
      <c r="BE33" s="36">
        <v>0</v>
      </c>
      <c r="BF33">
        <v>82500</v>
      </c>
      <c r="BG33">
        <v>0</v>
      </c>
      <c r="BH33">
        <v>-3145</v>
      </c>
      <c r="BI33">
        <v>114108</v>
      </c>
      <c r="BJ33" s="36">
        <v>553018</v>
      </c>
      <c r="BK33">
        <v>-141688</v>
      </c>
      <c r="BL33">
        <v>-417643</v>
      </c>
      <c r="BM33">
        <v>-193465</v>
      </c>
      <c r="BN33">
        <v>-553018</v>
      </c>
      <c r="BO33">
        <v>-746483</v>
      </c>
    </row>
    <row r="34" spans="1:67" x14ac:dyDescent="0.25">
      <c r="A34" s="3">
        <v>720</v>
      </c>
      <c r="B34" s="3">
        <v>3</v>
      </c>
      <c r="C34" s="3">
        <v>10</v>
      </c>
      <c r="D34" s="3">
        <v>1</v>
      </c>
      <c r="E34">
        <v>0</v>
      </c>
      <c r="G34">
        <v>0</v>
      </c>
      <c r="I34">
        <v>0</v>
      </c>
      <c r="J34">
        <v>1.1185432093241761E-3</v>
      </c>
      <c r="K34" s="36">
        <v>2.257433163047625E-4</v>
      </c>
      <c r="L34">
        <v>0</v>
      </c>
      <c r="M34">
        <v>2.8984079045380368E-4</v>
      </c>
      <c r="N34">
        <v>5.9236091365747325E-4</v>
      </c>
      <c r="O34">
        <v>2.257433163047625E-4</v>
      </c>
      <c r="P34">
        <v>0</v>
      </c>
      <c r="R34" s="3">
        <v>720</v>
      </c>
      <c r="S34" s="3">
        <v>3</v>
      </c>
      <c r="T34" s="3">
        <v>10</v>
      </c>
      <c r="U34" s="3">
        <v>1</v>
      </c>
      <c r="V34">
        <v>0</v>
      </c>
      <c r="W34" s="36">
        <v>0</v>
      </c>
      <c r="X34">
        <v>0</v>
      </c>
      <c r="Y34">
        <v>0</v>
      </c>
      <c r="Z34">
        <v>0</v>
      </c>
      <c r="AA34">
        <v>1</v>
      </c>
      <c r="AB34" s="36">
        <v>-1</v>
      </c>
      <c r="AC34">
        <v>0</v>
      </c>
      <c r="AD34">
        <v>1</v>
      </c>
      <c r="AE34">
        <v>-1</v>
      </c>
      <c r="AF34">
        <v>1</v>
      </c>
      <c r="AG34">
        <v>0</v>
      </c>
      <c r="AI34" s="3">
        <v>720</v>
      </c>
      <c r="AJ34" s="3">
        <v>3</v>
      </c>
      <c r="AK34" s="3">
        <v>10</v>
      </c>
      <c r="AL34" s="3">
        <v>1</v>
      </c>
      <c r="AM34">
        <v>2</v>
      </c>
      <c r="AN34" s="36">
        <v>0</v>
      </c>
      <c r="AO34">
        <v>82500</v>
      </c>
      <c r="AP34">
        <v>0</v>
      </c>
      <c r="AQ34">
        <v>-3088</v>
      </c>
      <c r="AR34">
        <v>89403</v>
      </c>
      <c r="AS34" s="36">
        <v>442980</v>
      </c>
      <c r="AT34">
        <v>-130960</v>
      </c>
      <c r="AU34">
        <v>-345016</v>
      </c>
      <c r="AV34">
        <v>-168817</v>
      </c>
      <c r="AW34">
        <v>-442980</v>
      </c>
      <c r="AX34">
        <v>-611797</v>
      </c>
      <c r="AZ34" s="3">
        <v>720</v>
      </c>
      <c r="BA34" s="3">
        <v>3</v>
      </c>
      <c r="BB34" s="3">
        <v>10</v>
      </c>
      <c r="BC34" s="3">
        <v>1</v>
      </c>
      <c r="BD34">
        <v>2</v>
      </c>
      <c r="BE34" s="36">
        <v>0</v>
      </c>
      <c r="BF34">
        <v>82500</v>
      </c>
      <c r="BG34">
        <v>0</v>
      </c>
      <c r="BH34">
        <v>-3088</v>
      </c>
      <c r="BI34">
        <v>89402</v>
      </c>
      <c r="BJ34" s="36">
        <v>442981</v>
      </c>
      <c r="BK34">
        <v>-130960</v>
      </c>
      <c r="BL34">
        <v>-345017</v>
      </c>
      <c r="BM34">
        <v>-168816</v>
      </c>
      <c r="BN34">
        <v>-442981</v>
      </c>
      <c r="BO34">
        <v>-611797</v>
      </c>
    </row>
    <row r="35" spans="1:67" x14ac:dyDescent="0.25">
      <c r="A35" s="3">
        <v>720</v>
      </c>
      <c r="B35" s="3">
        <v>3</v>
      </c>
      <c r="C35" s="3">
        <v>10</v>
      </c>
      <c r="D35" s="3">
        <v>2</v>
      </c>
      <c r="E35">
        <v>0</v>
      </c>
      <c r="G35">
        <v>0</v>
      </c>
      <c r="I35">
        <v>0</v>
      </c>
      <c r="J35">
        <v>1.1657185489135501E-3</v>
      </c>
      <c r="K35" s="36">
        <v>1.173020527859238E-3</v>
      </c>
      <c r="L35">
        <v>0</v>
      </c>
      <c r="M35">
        <v>2.7262070281617191E-3</v>
      </c>
      <c r="N35">
        <v>1.5921031682853051E-2</v>
      </c>
      <c r="O35">
        <v>1.173020527859238E-3</v>
      </c>
      <c r="P35">
        <v>2.1850520588653031E-3</v>
      </c>
      <c r="R35" s="3">
        <v>720</v>
      </c>
      <c r="S35" s="3">
        <v>3</v>
      </c>
      <c r="T35" s="3">
        <v>10</v>
      </c>
      <c r="U35" s="3">
        <v>2</v>
      </c>
      <c r="V35">
        <v>0</v>
      </c>
      <c r="W35" s="36">
        <v>0</v>
      </c>
      <c r="X35">
        <v>0</v>
      </c>
      <c r="Y35">
        <v>0</v>
      </c>
      <c r="Z35">
        <v>0</v>
      </c>
      <c r="AA35">
        <v>1</v>
      </c>
      <c r="AB35" s="36">
        <v>1</v>
      </c>
      <c r="AC35">
        <v>0</v>
      </c>
      <c r="AD35">
        <v>-2</v>
      </c>
      <c r="AE35">
        <v>-1</v>
      </c>
      <c r="AF35">
        <v>-1</v>
      </c>
      <c r="AG35">
        <v>-2</v>
      </c>
      <c r="AI35" s="3">
        <v>720</v>
      </c>
      <c r="AJ35" s="3">
        <v>3</v>
      </c>
      <c r="AK35" s="3">
        <v>10</v>
      </c>
      <c r="AL35" s="3">
        <v>2</v>
      </c>
      <c r="AM35">
        <v>2</v>
      </c>
      <c r="AN35" s="36">
        <v>0</v>
      </c>
      <c r="AO35">
        <v>82500</v>
      </c>
      <c r="AP35">
        <v>0</v>
      </c>
      <c r="AQ35">
        <v>-2999</v>
      </c>
      <c r="AR35">
        <v>-85783</v>
      </c>
      <c r="AS35" s="36">
        <v>-85249</v>
      </c>
      <c r="AT35">
        <v>-2010</v>
      </c>
      <c r="AU35">
        <v>73360</v>
      </c>
      <c r="AV35">
        <v>6280</v>
      </c>
      <c r="AW35">
        <v>85249</v>
      </c>
      <c r="AX35">
        <v>91529</v>
      </c>
      <c r="AZ35" s="3">
        <v>720</v>
      </c>
      <c r="BA35" s="3">
        <v>3</v>
      </c>
      <c r="BB35" s="3">
        <v>10</v>
      </c>
      <c r="BC35" s="3">
        <v>2</v>
      </c>
      <c r="BD35">
        <v>2</v>
      </c>
      <c r="BE35" s="36">
        <v>0</v>
      </c>
      <c r="BF35">
        <v>82500</v>
      </c>
      <c r="BG35">
        <v>0</v>
      </c>
      <c r="BH35">
        <v>-2999</v>
      </c>
      <c r="BI35">
        <v>-85784</v>
      </c>
      <c r="BJ35" s="36">
        <v>-85250</v>
      </c>
      <c r="BK35">
        <v>-2010</v>
      </c>
      <c r="BL35">
        <v>73362</v>
      </c>
      <c r="BM35">
        <v>6281</v>
      </c>
      <c r="BN35">
        <v>85250</v>
      </c>
      <c r="BO35">
        <v>91531</v>
      </c>
    </row>
    <row r="36" spans="1:67" x14ac:dyDescent="0.25">
      <c r="A36" s="3">
        <v>990</v>
      </c>
      <c r="B36" s="3">
        <v>2</v>
      </c>
      <c r="C36" s="3">
        <v>7</v>
      </c>
      <c r="D36" s="3">
        <v>1</v>
      </c>
      <c r="E36">
        <v>2.8363966417063762E-4</v>
      </c>
      <c r="F36" s="36">
        <v>0</v>
      </c>
      <c r="G36">
        <v>0</v>
      </c>
      <c r="H36">
        <v>0</v>
      </c>
      <c r="I36">
        <v>0</v>
      </c>
      <c r="J36">
        <v>9.8448775461314544E-4</v>
      </c>
      <c r="K36" s="36">
        <v>3.3457982907431798E-4</v>
      </c>
      <c r="L36">
        <v>3.0570242009320868E-4</v>
      </c>
      <c r="M36">
        <v>9.6380897306153925E-4</v>
      </c>
      <c r="N36">
        <v>5.6750548706867808E-4</v>
      </c>
      <c r="O36">
        <v>3.1558119009874528E-4</v>
      </c>
      <c r="P36">
        <v>6.0405952160902121E-5</v>
      </c>
      <c r="R36" s="3">
        <v>990</v>
      </c>
      <c r="S36" s="3">
        <v>2</v>
      </c>
      <c r="T36" s="3">
        <v>7</v>
      </c>
      <c r="U36" s="3">
        <v>1</v>
      </c>
      <c r="V36">
        <v>1</v>
      </c>
      <c r="W36" s="36">
        <v>0</v>
      </c>
      <c r="X36">
        <v>0</v>
      </c>
      <c r="Y36">
        <v>0</v>
      </c>
      <c r="Z36">
        <v>0</v>
      </c>
      <c r="AA36">
        <v>3</v>
      </c>
      <c r="AB36" s="36">
        <v>-3</v>
      </c>
      <c r="AC36">
        <v>2</v>
      </c>
      <c r="AD36">
        <v>8</v>
      </c>
      <c r="AE36">
        <v>-4</v>
      </c>
      <c r="AF36">
        <v>3</v>
      </c>
      <c r="AG36">
        <v>-1</v>
      </c>
      <c r="AI36" s="3">
        <v>990</v>
      </c>
      <c r="AJ36" s="3">
        <v>2</v>
      </c>
      <c r="AK36" s="3">
        <v>7</v>
      </c>
      <c r="AL36" s="3">
        <v>1</v>
      </c>
      <c r="AM36">
        <v>352561</v>
      </c>
      <c r="AN36" s="36">
        <v>18230</v>
      </c>
      <c r="AO36">
        <v>60500</v>
      </c>
      <c r="AP36">
        <v>35750</v>
      </c>
      <c r="AQ36">
        <v>-12948</v>
      </c>
      <c r="AR36">
        <v>304730</v>
      </c>
      <c r="AS36" s="36">
        <v>896644</v>
      </c>
      <c r="AT36">
        <v>-654229</v>
      </c>
      <c r="AU36">
        <v>-830032</v>
      </c>
      <c r="AV36">
        <v>-704843</v>
      </c>
      <c r="AW36">
        <v>-950624</v>
      </c>
      <c r="AX36">
        <v>-1655467</v>
      </c>
      <c r="AZ36" s="3">
        <v>990</v>
      </c>
      <c r="BA36" s="3">
        <v>2</v>
      </c>
      <c r="BB36" s="3">
        <v>7</v>
      </c>
      <c r="BC36" s="3">
        <v>1</v>
      </c>
      <c r="BD36">
        <v>352560</v>
      </c>
      <c r="BE36" s="36">
        <v>18230</v>
      </c>
      <c r="BF36">
        <v>60500</v>
      </c>
      <c r="BG36">
        <v>35750</v>
      </c>
      <c r="BH36">
        <v>-12948</v>
      </c>
      <c r="BI36">
        <v>304727</v>
      </c>
      <c r="BJ36" s="36">
        <v>896647</v>
      </c>
      <c r="BK36">
        <v>-654231</v>
      </c>
      <c r="BL36">
        <v>-830040</v>
      </c>
      <c r="BM36">
        <v>-704839</v>
      </c>
      <c r="BN36">
        <v>-950627</v>
      </c>
      <c r="BO36">
        <v>-1655466</v>
      </c>
    </row>
    <row r="37" spans="1:67" x14ac:dyDescent="0.25">
      <c r="A37" s="3">
        <v>990</v>
      </c>
      <c r="B37" s="3">
        <v>2</v>
      </c>
      <c r="C37" s="3">
        <v>9</v>
      </c>
      <c r="D37" s="3">
        <v>1</v>
      </c>
      <c r="E37">
        <v>0</v>
      </c>
      <c r="F37" s="36">
        <v>0</v>
      </c>
      <c r="G37">
        <v>0</v>
      </c>
      <c r="H37">
        <v>0</v>
      </c>
      <c r="I37">
        <v>0</v>
      </c>
      <c r="J37">
        <v>2.486634340420241E-2</v>
      </c>
      <c r="K37" s="36">
        <v>2.576921094676081E-3</v>
      </c>
      <c r="L37">
        <v>0</v>
      </c>
      <c r="M37">
        <v>3.2896901111915248E-3</v>
      </c>
      <c r="N37">
        <v>4.4396102022242452E-4</v>
      </c>
      <c r="O37">
        <v>1.0322260988046819E-3</v>
      </c>
      <c r="P37">
        <v>1.8269244822496019E-4</v>
      </c>
      <c r="R37" s="3">
        <v>990</v>
      </c>
      <c r="S37" s="3">
        <v>2</v>
      </c>
      <c r="T37" s="3">
        <v>9</v>
      </c>
      <c r="U37" s="3">
        <v>1</v>
      </c>
      <c r="V37">
        <v>0</v>
      </c>
      <c r="W37" s="36">
        <v>0</v>
      </c>
      <c r="X37">
        <v>0</v>
      </c>
      <c r="Y37">
        <v>0</v>
      </c>
      <c r="Z37">
        <v>0</v>
      </c>
      <c r="AA37">
        <v>-2</v>
      </c>
      <c r="AB37" s="36">
        <v>1</v>
      </c>
      <c r="AC37">
        <v>0</v>
      </c>
      <c r="AD37">
        <v>-5</v>
      </c>
      <c r="AE37">
        <v>2</v>
      </c>
      <c r="AF37">
        <v>-1</v>
      </c>
      <c r="AG37">
        <v>1</v>
      </c>
      <c r="AI37" s="3">
        <v>990</v>
      </c>
      <c r="AJ37" s="3">
        <v>2</v>
      </c>
      <c r="AK37" s="3">
        <v>9</v>
      </c>
      <c r="AL37" s="3">
        <v>1</v>
      </c>
      <c r="AM37">
        <v>420005</v>
      </c>
      <c r="AN37" s="36">
        <v>20947</v>
      </c>
      <c r="AO37">
        <v>52250</v>
      </c>
      <c r="AP37">
        <v>37125</v>
      </c>
      <c r="AQ37">
        <v>-13722</v>
      </c>
      <c r="AR37">
        <v>-8045</v>
      </c>
      <c r="AS37" s="36">
        <v>38807</v>
      </c>
      <c r="AT37">
        <v>-466591</v>
      </c>
      <c r="AU37">
        <v>-151995</v>
      </c>
      <c r="AV37">
        <v>-450488</v>
      </c>
      <c r="AW37">
        <v>-96879</v>
      </c>
      <c r="AX37">
        <v>-547367</v>
      </c>
      <c r="AZ37" s="3">
        <v>990</v>
      </c>
      <c r="BA37" s="3">
        <v>2</v>
      </c>
      <c r="BB37" s="3">
        <v>9</v>
      </c>
      <c r="BC37" s="3">
        <v>1</v>
      </c>
      <c r="BD37">
        <v>420005</v>
      </c>
      <c r="BE37" s="36">
        <v>20947</v>
      </c>
      <c r="BF37">
        <v>52250</v>
      </c>
      <c r="BG37">
        <v>37125</v>
      </c>
      <c r="BH37">
        <v>-13722</v>
      </c>
      <c r="BI37">
        <v>-8043</v>
      </c>
      <c r="BJ37" s="36">
        <v>38806</v>
      </c>
      <c r="BK37">
        <v>-466591</v>
      </c>
      <c r="BL37">
        <v>-151990</v>
      </c>
      <c r="BM37">
        <v>-450490</v>
      </c>
      <c r="BN37">
        <v>-96878</v>
      </c>
      <c r="BO37">
        <v>-547368</v>
      </c>
    </row>
    <row r="38" spans="1:67" x14ac:dyDescent="0.25">
      <c r="A38" s="3">
        <v>990</v>
      </c>
      <c r="B38" s="3">
        <v>2</v>
      </c>
      <c r="C38" s="3">
        <v>9</v>
      </c>
      <c r="D38" s="3">
        <v>2</v>
      </c>
      <c r="E38">
        <v>2.2873350259612521E-4</v>
      </c>
      <c r="F38" s="36">
        <v>0</v>
      </c>
      <c r="G38">
        <v>0</v>
      </c>
      <c r="H38">
        <v>0</v>
      </c>
      <c r="I38">
        <v>0</v>
      </c>
      <c r="J38">
        <v>3.27316171055431E-3</v>
      </c>
      <c r="K38" s="36">
        <v>4.6565340485769631E-4</v>
      </c>
      <c r="L38">
        <v>1.0340700220515431E-3</v>
      </c>
      <c r="M38">
        <v>0</v>
      </c>
      <c r="N38">
        <v>1.41586104173392E-3</v>
      </c>
      <c r="O38">
        <v>6.3961111644120368E-4</v>
      </c>
      <c r="P38">
        <v>3.0488269638256679E-3</v>
      </c>
      <c r="R38" s="3">
        <v>990</v>
      </c>
      <c r="S38" s="3">
        <v>2</v>
      </c>
      <c r="T38" s="3">
        <v>9</v>
      </c>
      <c r="U38" s="3">
        <v>2</v>
      </c>
      <c r="V38">
        <v>1</v>
      </c>
      <c r="W38" s="36">
        <v>0</v>
      </c>
      <c r="X38">
        <v>0</v>
      </c>
      <c r="Y38">
        <v>0</v>
      </c>
      <c r="Z38">
        <v>0</v>
      </c>
      <c r="AA38">
        <v>4</v>
      </c>
      <c r="AB38" s="36">
        <v>1</v>
      </c>
      <c r="AC38">
        <v>-4</v>
      </c>
      <c r="AD38">
        <v>0</v>
      </c>
      <c r="AE38">
        <v>-5</v>
      </c>
      <c r="AF38">
        <v>-1</v>
      </c>
      <c r="AG38">
        <v>-6</v>
      </c>
      <c r="AI38" s="3">
        <v>990</v>
      </c>
      <c r="AJ38" s="3">
        <v>2</v>
      </c>
      <c r="AK38" s="3">
        <v>9</v>
      </c>
      <c r="AL38" s="3">
        <v>2</v>
      </c>
      <c r="AM38">
        <v>437191</v>
      </c>
      <c r="AN38" s="36">
        <v>21282</v>
      </c>
      <c r="AO38">
        <v>52250</v>
      </c>
      <c r="AP38">
        <v>37125</v>
      </c>
      <c r="AQ38">
        <v>-14092</v>
      </c>
      <c r="AR38">
        <v>-122202</v>
      </c>
      <c r="AS38" s="36">
        <v>-214751</v>
      </c>
      <c r="AT38">
        <v>-386825</v>
      </c>
      <c r="AU38">
        <v>83058</v>
      </c>
      <c r="AV38">
        <v>-353147</v>
      </c>
      <c r="AW38">
        <v>156344</v>
      </c>
      <c r="AX38">
        <v>-196803</v>
      </c>
      <c r="AZ38" s="3">
        <v>990</v>
      </c>
      <c r="BA38" s="3">
        <v>2</v>
      </c>
      <c r="BB38" s="3">
        <v>9</v>
      </c>
      <c r="BC38" s="3">
        <v>2</v>
      </c>
      <c r="BD38">
        <v>437190</v>
      </c>
      <c r="BE38" s="36">
        <v>21282</v>
      </c>
      <c r="BF38">
        <v>52250</v>
      </c>
      <c r="BG38">
        <v>37125</v>
      </c>
      <c r="BH38">
        <v>-14092</v>
      </c>
      <c r="BI38">
        <v>-122206</v>
      </c>
      <c r="BJ38" s="36">
        <v>-214752</v>
      </c>
      <c r="BK38">
        <v>-386821</v>
      </c>
      <c r="BL38">
        <v>83058</v>
      </c>
      <c r="BM38">
        <v>-353142</v>
      </c>
      <c r="BN38">
        <v>156345</v>
      </c>
      <c r="BO38">
        <v>-196797</v>
      </c>
    </row>
    <row r="39" spans="1:67" x14ac:dyDescent="0.25">
      <c r="A39" s="3">
        <v>990</v>
      </c>
      <c r="B39" s="3">
        <v>2</v>
      </c>
      <c r="C39" s="3">
        <v>9</v>
      </c>
      <c r="D39" s="3">
        <v>3</v>
      </c>
      <c r="E39">
        <v>2.2740348427618609E-4</v>
      </c>
      <c r="F39" s="36">
        <v>0</v>
      </c>
      <c r="G39">
        <v>0</v>
      </c>
      <c r="H39">
        <v>0</v>
      </c>
      <c r="I39">
        <v>0</v>
      </c>
      <c r="J39">
        <v>1.4016890352875211E-2</v>
      </c>
      <c r="K39" s="36">
        <v>7.1253491421079639E-4</v>
      </c>
      <c r="L39">
        <v>1.7483390778760179E-3</v>
      </c>
      <c r="M39">
        <v>9.6301075683015382E-4</v>
      </c>
      <c r="N39">
        <v>1.6654532650021651E-3</v>
      </c>
      <c r="O39">
        <v>1.2241100719776719E-3</v>
      </c>
      <c r="P39">
        <v>1.7719290992103101E-3</v>
      </c>
      <c r="R39" s="3">
        <v>990</v>
      </c>
      <c r="S39" s="3">
        <v>2</v>
      </c>
      <c r="T39" s="3">
        <v>9</v>
      </c>
      <c r="U39" s="3">
        <v>3</v>
      </c>
      <c r="V39">
        <v>1</v>
      </c>
      <c r="W39" s="36">
        <v>0</v>
      </c>
      <c r="X39">
        <v>0</v>
      </c>
      <c r="Y39">
        <v>0</v>
      </c>
      <c r="Z39">
        <v>0</v>
      </c>
      <c r="AA39">
        <v>-8</v>
      </c>
      <c r="AB39" s="36">
        <v>1</v>
      </c>
      <c r="AC39">
        <v>7</v>
      </c>
      <c r="AD39">
        <v>1</v>
      </c>
      <c r="AE39">
        <v>7</v>
      </c>
      <c r="AF39">
        <v>-1</v>
      </c>
      <c r="AG39">
        <v>6</v>
      </c>
      <c r="AI39" s="3">
        <v>990</v>
      </c>
      <c r="AJ39" s="3">
        <v>2</v>
      </c>
      <c r="AK39" s="3">
        <v>9</v>
      </c>
      <c r="AL39" s="3">
        <v>3</v>
      </c>
      <c r="AM39">
        <v>439748</v>
      </c>
      <c r="AN39" s="36">
        <v>21527</v>
      </c>
      <c r="AO39">
        <v>52250</v>
      </c>
      <c r="AP39">
        <v>37125</v>
      </c>
      <c r="AQ39">
        <v>-14617</v>
      </c>
      <c r="AR39">
        <v>-57082</v>
      </c>
      <c r="AS39" s="36">
        <v>-140343</v>
      </c>
      <c r="AT39">
        <v>-400373</v>
      </c>
      <c r="AU39">
        <v>103842</v>
      </c>
      <c r="AV39">
        <v>-420299</v>
      </c>
      <c r="AW39">
        <v>81691</v>
      </c>
      <c r="AX39">
        <v>-338608</v>
      </c>
      <c r="AZ39" s="3">
        <v>990</v>
      </c>
      <c r="BA39" s="3">
        <v>2</v>
      </c>
      <c r="BB39" s="3">
        <v>9</v>
      </c>
      <c r="BC39" s="3">
        <v>3</v>
      </c>
      <c r="BD39">
        <v>439747</v>
      </c>
      <c r="BE39" s="36">
        <v>21527</v>
      </c>
      <c r="BF39">
        <v>52250</v>
      </c>
      <c r="BG39">
        <v>37125</v>
      </c>
      <c r="BH39">
        <v>-14617</v>
      </c>
      <c r="BI39">
        <v>-57074</v>
      </c>
      <c r="BJ39" s="36">
        <v>-140344</v>
      </c>
      <c r="BK39">
        <v>-400380</v>
      </c>
      <c r="BL39">
        <v>103841</v>
      </c>
      <c r="BM39">
        <v>-420306</v>
      </c>
      <c r="BN39">
        <v>81692</v>
      </c>
      <c r="BO39">
        <v>-338614</v>
      </c>
    </row>
    <row r="40" spans="1:67" x14ac:dyDescent="0.25">
      <c r="A40" s="3">
        <v>990</v>
      </c>
      <c r="B40" s="3">
        <v>2</v>
      </c>
      <c r="C40" s="3">
        <v>9</v>
      </c>
      <c r="D40" s="3">
        <v>4</v>
      </c>
      <c r="E40">
        <v>2.3031126567556049E-4</v>
      </c>
      <c r="F40" s="36">
        <v>0</v>
      </c>
      <c r="G40">
        <v>0</v>
      </c>
      <c r="H40">
        <v>0</v>
      </c>
      <c r="I40">
        <v>0</v>
      </c>
      <c r="J40">
        <v>0</v>
      </c>
      <c r="K40" s="36">
        <v>1.366186874847524E-3</v>
      </c>
      <c r="L40">
        <v>9.2996067594855979E-4</v>
      </c>
      <c r="M40">
        <v>6.3264311968975182E-4</v>
      </c>
      <c r="N40">
        <v>1.2595838586847681E-4</v>
      </c>
      <c r="O40">
        <v>1.2265015445158741E-3</v>
      </c>
      <c r="P40">
        <v>4.3967575378744018E-4</v>
      </c>
      <c r="R40" s="3">
        <v>990</v>
      </c>
      <c r="S40" s="3">
        <v>2</v>
      </c>
      <c r="T40" s="3">
        <v>9</v>
      </c>
      <c r="U40" s="3">
        <v>4</v>
      </c>
      <c r="V40">
        <v>1</v>
      </c>
      <c r="W40" s="36">
        <v>0</v>
      </c>
      <c r="X40">
        <v>0</v>
      </c>
      <c r="Y40">
        <v>0</v>
      </c>
      <c r="Z40">
        <v>0</v>
      </c>
      <c r="AA40">
        <v>0</v>
      </c>
      <c r="AB40" s="36">
        <v>-7</v>
      </c>
      <c r="AC40">
        <v>-7</v>
      </c>
      <c r="AD40">
        <v>3</v>
      </c>
      <c r="AE40">
        <v>-1</v>
      </c>
      <c r="AF40">
        <v>7</v>
      </c>
      <c r="AG40">
        <v>6</v>
      </c>
      <c r="AI40" s="3">
        <v>990</v>
      </c>
      <c r="AJ40" s="3">
        <v>2</v>
      </c>
      <c r="AK40" s="3">
        <v>9</v>
      </c>
      <c r="AL40" s="3">
        <v>4</v>
      </c>
      <c r="AM40">
        <v>434196</v>
      </c>
      <c r="AN40" s="36">
        <v>21229</v>
      </c>
      <c r="AO40">
        <v>52250</v>
      </c>
      <c r="AP40">
        <v>37125</v>
      </c>
      <c r="AQ40">
        <v>-14373</v>
      </c>
      <c r="AR40">
        <v>321841</v>
      </c>
      <c r="AS40" s="36">
        <v>512368</v>
      </c>
      <c r="AT40">
        <v>-752727</v>
      </c>
      <c r="AU40">
        <v>-474198</v>
      </c>
      <c r="AV40">
        <v>-793914</v>
      </c>
      <c r="AW40">
        <v>-570722</v>
      </c>
      <c r="AX40">
        <v>-1364636</v>
      </c>
      <c r="AZ40" s="3">
        <v>990</v>
      </c>
      <c r="BA40" s="3">
        <v>2</v>
      </c>
      <c r="BB40" s="3">
        <v>9</v>
      </c>
      <c r="BC40" s="3">
        <v>4</v>
      </c>
      <c r="BD40">
        <v>434195</v>
      </c>
      <c r="BE40" s="36">
        <v>21229</v>
      </c>
      <c r="BF40">
        <v>52250</v>
      </c>
      <c r="BG40">
        <v>37125</v>
      </c>
      <c r="BH40">
        <v>-14373</v>
      </c>
      <c r="BI40">
        <v>321841</v>
      </c>
      <c r="BJ40" s="36">
        <v>512375</v>
      </c>
      <c r="BK40">
        <v>-752720</v>
      </c>
      <c r="BL40">
        <v>-474201</v>
      </c>
      <c r="BM40">
        <v>-793913</v>
      </c>
      <c r="BN40">
        <v>-570729</v>
      </c>
      <c r="BO40">
        <v>-1364642</v>
      </c>
    </row>
    <row r="41" spans="1:67" x14ac:dyDescent="0.25">
      <c r="A41" s="3">
        <v>990</v>
      </c>
      <c r="B41" s="3">
        <v>2</v>
      </c>
      <c r="C41" s="3">
        <v>11</v>
      </c>
      <c r="D41" s="3">
        <v>1</v>
      </c>
      <c r="E41">
        <v>0</v>
      </c>
      <c r="F41" s="36">
        <v>5.3908355795148242E-3</v>
      </c>
      <c r="G41">
        <v>1.652892561983471E-3</v>
      </c>
      <c r="H41">
        <v>0</v>
      </c>
      <c r="I41">
        <v>0</v>
      </c>
      <c r="J41">
        <v>1.927624138994552E-4</v>
      </c>
      <c r="K41" s="36">
        <v>8.4622414785228306E-4</v>
      </c>
      <c r="L41">
        <v>4.9804095589996753E-5</v>
      </c>
      <c r="M41">
        <v>6.2071421337541127E-4</v>
      </c>
      <c r="N41">
        <v>1.010081624696092E-4</v>
      </c>
      <c r="O41">
        <v>7.9771322209665619E-4</v>
      </c>
      <c r="P41">
        <v>4.410021332475918E-4</v>
      </c>
      <c r="R41" s="3">
        <v>990</v>
      </c>
      <c r="S41" s="3">
        <v>2</v>
      </c>
      <c r="T41" s="3">
        <v>11</v>
      </c>
      <c r="U41" s="3">
        <v>1</v>
      </c>
      <c r="V41">
        <v>0</v>
      </c>
      <c r="W41" s="36">
        <v>1</v>
      </c>
      <c r="X41">
        <v>-1</v>
      </c>
      <c r="Y41">
        <v>0</v>
      </c>
      <c r="Z41">
        <v>0</v>
      </c>
      <c r="AA41">
        <v>3</v>
      </c>
      <c r="AB41" s="36">
        <v>-25</v>
      </c>
      <c r="AC41">
        <v>1</v>
      </c>
      <c r="AD41">
        <v>19</v>
      </c>
      <c r="AE41">
        <v>-2</v>
      </c>
      <c r="AF41">
        <v>24</v>
      </c>
      <c r="AG41">
        <v>22</v>
      </c>
      <c r="AI41" s="3">
        <v>990</v>
      </c>
      <c r="AJ41" s="3">
        <v>2</v>
      </c>
      <c r="AK41" s="3">
        <v>11</v>
      </c>
      <c r="AL41" s="3">
        <v>1</v>
      </c>
      <c r="AM41">
        <v>376556</v>
      </c>
      <c r="AN41" s="36">
        <v>18551</v>
      </c>
      <c r="AO41">
        <v>60499</v>
      </c>
      <c r="AP41">
        <v>35750</v>
      </c>
      <c r="AQ41">
        <v>-13338</v>
      </c>
      <c r="AR41">
        <v>1556323</v>
      </c>
      <c r="AS41" s="36">
        <v>2954275</v>
      </c>
      <c r="AT41">
        <v>-2007866</v>
      </c>
      <c r="AU41">
        <v>-3060971</v>
      </c>
      <c r="AV41">
        <v>-1980040</v>
      </c>
      <c r="AW41">
        <v>-3008576</v>
      </c>
      <c r="AX41">
        <v>-4988616</v>
      </c>
      <c r="AZ41" s="3">
        <v>990</v>
      </c>
      <c r="BA41" s="3">
        <v>2</v>
      </c>
      <c r="BB41" s="3">
        <v>11</v>
      </c>
      <c r="BC41" s="3">
        <v>1</v>
      </c>
      <c r="BD41">
        <v>376556</v>
      </c>
      <c r="BE41" s="36">
        <v>18550</v>
      </c>
      <c r="BF41">
        <v>60500</v>
      </c>
      <c r="BG41">
        <v>35750</v>
      </c>
      <c r="BH41">
        <v>-13338</v>
      </c>
      <c r="BI41">
        <v>1556320</v>
      </c>
      <c r="BJ41" s="36">
        <v>2954300</v>
      </c>
      <c r="BK41">
        <v>-2007867</v>
      </c>
      <c r="BL41">
        <v>-3060990</v>
      </c>
      <c r="BM41">
        <v>-1980038</v>
      </c>
      <c r="BN41">
        <v>-3008600</v>
      </c>
      <c r="BO41">
        <v>-4988638</v>
      </c>
    </row>
    <row r="42" spans="1:67" x14ac:dyDescent="0.25">
      <c r="A42" s="3">
        <v>990</v>
      </c>
      <c r="B42" s="3">
        <v>3</v>
      </c>
      <c r="C42" s="3">
        <v>8</v>
      </c>
      <c r="D42" s="3">
        <v>1</v>
      </c>
      <c r="E42">
        <v>0</v>
      </c>
      <c r="G42">
        <v>0</v>
      </c>
      <c r="I42">
        <v>0</v>
      </c>
      <c r="J42">
        <v>1.7877254768757711E-3</v>
      </c>
      <c r="K42" s="36">
        <v>3.4828643076065761E-3</v>
      </c>
      <c r="L42">
        <v>0</v>
      </c>
      <c r="M42">
        <v>1.359619306594154E-2</v>
      </c>
      <c r="N42">
        <v>4.2178075836180346E-3</v>
      </c>
      <c r="O42">
        <v>3.4828643076065761E-3</v>
      </c>
      <c r="P42">
        <v>3.9976014391365181E-2</v>
      </c>
      <c r="R42" s="3">
        <v>990</v>
      </c>
      <c r="S42" s="3">
        <v>3</v>
      </c>
      <c r="T42" s="3">
        <v>8</v>
      </c>
      <c r="U42" s="3">
        <v>1</v>
      </c>
      <c r="V42">
        <v>0</v>
      </c>
      <c r="W42" s="36">
        <v>0</v>
      </c>
      <c r="X42">
        <v>0</v>
      </c>
      <c r="Y42">
        <v>0</v>
      </c>
      <c r="Z42">
        <v>0</v>
      </c>
      <c r="AA42">
        <v>1</v>
      </c>
      <c r="AB42" s="36">
        <v>1</v>
      </c>
      <c r="AC42">
        <v>0</v>
      </c>
      <c r="AD42">
        <v>-4</v>
      </c>
      <c r="AE42">
        <v>-1</v>
      </c>
      <c r="AF42">
        <v>-1</v>
      </c>
      <c r="AG42">
        <v>-2</v>
      </c>
      <c r="AI42" s="3">
        <v>990</v>
      </c>
      <c r="AJ42" s="3">
        <v>3</v>
      </c>
      <c r="AK42" s="3">
        <v>8</v>
      </c>
      <c r="AL42" s="3">
        <v>1</v>
      </c>
      <c r="AM42">
        <v>2</v>
      </c>
      <c r="AN42" s="36">
        <v>0</v>
      </c>
      <c r="AO42">
        <v>82500</v>
      </c>
      <c r="AP42">
        <v>0</v>
      </c>
      <c r="AQ42">
        <v>-2856</v>
      </c>
      <c r="AR42">
        <v>-55936</v>
      </c>
      <c r="AS42" s="36">
        <v>-28711</v>
      </c>
      <c r="AT42">
        <v>-22454</v>
      </c>
      <c r="AU42">
        <v>29416</v>
      </c>
      <c r="AV42">
        <v>-23710</v>
      </c>
      <c r="AW42">
        <v>28711</v>
      </c>
      <c r="AX42">
        <v>5001</v>
      </c>
      <c r="AZ42" s="3">
        <v>990</v>
      </c>
      <c r="BA42" s="3">
        <v>3</v>
      </c>
      <c r="BB42" s="3">
        <v>8</v>
      </c>
      <c r="BC42" s="3">
        <v>1</v>
      </c>
      <c r="BD42">
        <v>2</v>
      </c>
      <c r="BE42" s="36">
        <v>0</v>
      </c>
      <c r="BF42">
        <v>82500</v>
      </c>
      <c r="BG42">
        <v>0</v>
      </c>
      <c r="BH42">
        <v>-2856</v>
      </c>
      <c r="BI42">
        <v>-55937</v>
      </c>
      <c r="BJ42" s="36">
        <v>-28712</v>
      </c>
      <c r="BK42">
        <v>-22454</v>
      </c>
      <c r="BL42">
        <v>29420</v>
      </c>
      <c r="BM42">
        <v>-23709</v>
      </c>
      <c r="BN42">
        <v>28712</v>
      </c>
      <c r="BO42">
        <v>5003</v>
      </c>
    </row>
    <row r="43" spans="1:67" s="36" customFormat="1" x14ac:dyDescent="0.25">
      <c r="A43" s="37">
        <v>990</v>
      </c>
      <c r="B43" s="37">
        <v>3</v>
      </c>
      <c r="C43" s="37">
        <v>8</v>
      </c>
      <c r="D43" s="37">
        <v>2</v>
      </c>
      <c r="E43" s="36">
        <v>0</v>
      </c>
      <c r="F43" s="38">
        <v>100</v>
      </c>
      <c r="G43" s="36">
        <v>0</v>
      </c>
      <c r="I43" s="36">
        <v>0</v>
      </c>
      <c r="J43" s="36">
        <v>7.9754992662540677E-4</v>
      </c>
      <c r="K43" s="36">
        <v>1.7072770979020981E-4</v>
      </c>
      <c r="L43" s="36">
        <v>0</v>
      </c>
      <c r="M43" s="36">
        <v>3.6165253509385791E-4</v>
      </c>
      <c r="N43" s="36">
        <v>4.8773112358618939E-4</v>
      </c>
      <c r="O43" s="36">
        <v>3.4145483662239711E-4</v>
      </c>
      <c r="P43" s="36">
        <v>1.2646062016288131E-4</v>
      </c>
      <c r="R43" s="37">
        <v>990</v>
      </c>
      <c r="S43" s="37">
        <v>3</v>
      </c>
      <c r="T43" s="37">
        <v>8</v>
      </c>
      <c r="U43" s="37">
        <v>2</v>
      </c>
      <c r="V43" s="36">
        <v>0</v>
      </c>
      <c r="W43" s="38">
        <v>-1</v>
      </c>
      <c r="X43" s="36">
        <v>0</v>
      </c>
      <c r="Y43" s="36">
        <v>0</v>
      </c>
      <c r="Z43" s="36">
        <v>0</v>
      </c>
      <c r="AA43" s="36">
        <v>1</v>
      </c>
      <c r="AB43" s="36">
        <v>-1</v>
      </c>
      <c r="AC43" s="36">
        <v>0</v>
      </c>
      <c r="AD43" s="36">
        <v>2</v>
      </c>
      <c r="AE43" s="36">
        <v>-1</v>
      </c>
      <c r="AF43" s="36">
        <v>2</v>
      </c>
      <c r="AG43" s="36">
        <v>1</v>
      </c>
      <c r="AI43" s="37">
        <v>990</v>
      </c>
      <c r="AJ43" s="37">
        <v>3</v>
      </c>
      <c r="AK43" s="37">
        <v>8</v>
      </c>
      <c r="AL43" s="37">
        <v>2</v>
      </c>
      <c r="AM43" s="36">
        <v>2</v>
      </c>
      <c r="AN43" s="36">
        <v>0</v>
      </c>
      <c r="AO43" s="36">
        <v>82500</v>
      </c>
      <c r="AP43" s="36">
        <v>0</v>
      </c>
      <c r="AQ43" s="36">
        <v>-2855</v>
      </c>
      <c r="AR43" s="36">
        <v>125385</v>
      </c>
      <c r="AS43" s="36">
        <v>585727</v>
      </c>
      <c r="AT43" s="36">
        <v>-193464</v>
      </c>
      <c r="AU43" s="36">
        <v>-553015</v>
      </c>
      <c r="AV43" s="36">
        <v>-205032</v>
      </c>
      <c r="AW43" s="36">
        <v>-585727</v>
      </c>
      <c r="AX43" s="36">
        <v>-790759</v>
      </c>
      <c r="AZ43" s="37">
        <v>990</v>
      </c>
      <c r="BA43" s="37">
        <v>3</v>
      </c>
      <c r="BB43" s="37">
        <v>8</v>
      </c>
      <c r="BC43" s="37">
        <v>2</v>
      </c>
      <c r="BD43" s="36">
        <v>2</v>
      </c>
      <c r="BE43" s="36">
        <v>1</v>
      </c>
      <c r="BF43" s="36">
        <v>82500</v>
      </c>
      <c r="BG43" s="36">
        <v>0</v>
      </c>
      <c r="BH43" s="36">
        <v>-2855</v>
      </c>
      <c r="BI43" s="36">
        <v>125384</v>
      </c>
      <c r="BJ43" s="36">
        <v>585728</v>
      </c>
      <c r="BK43" s="36">
        <v>-193464</v>
      </c>
      <c r="BL43" s="36">
        <v>-553017</v>
      </c>
      <c r="BM43" s="36">
        <v>-205031</v>
      </c>
      <c r="BN43" s="36">
        <v>-585729</v>
      </c>
      <c r="BO43" s="36">
        <v>-790760</v>
      </c>
    </row>
    <row r="44" spans="1:67" x14ac:dyDescent="0.25">
      <c r="A44" s="3">
        <v>990</v>
      </c>
      <c r="B44" s="3">
        <v>3</v>
      </c>
      <c r="C44" s="3">
        <v>10</v>
      </c>
      <c r="D44" s="3">
        <v>1</v>
      </c>
      <c r="E44">
        <v>0</v>
      </c>
      <c r="G44">
        <v>0</v>
      </c>
      <c r="I44">
        <v>0</v>
      </c>
      <c r="J44">
        <v>0</v>
      </c>
      <c r="K44" s="36">
        <v>2.149594586460994E-4</v>
      </c>
      <c r="L44">
        <v>5.9236442259277908E-4</v>
      </c>
      <c r="M44">
        <v>2.2574382590636149E-4</v>
      </c>
      <c r="N44">
        <v>0</v>
      </c>
      <c r="O44">
        <v>2.149594586460994E-4</v>
      </c>
      <c r="P44">
        <v>1.5580279728342241E-4</v>
      </c>
      <c r="R44" s="3">
        <v>990</v>
      </c>
      <c r="S44" s="3">
        <v>3</v>
      </c>
      <c r="T44" s="3">
        <v>10</v>
      </c>
      <c r="U44" s="3">
        <v>1</v>
      </c>
      <c r="V44">
        <v>0</v>
      </c>
      <c r="W44" s="36">
        <v>0</v>
      </c>
      <c r="X44">
        <v>0</v>
      </c>
      <c r="Y44">
        <v>0</v>
      </c>
      <c r="Z44">
        <v>0</v>
      </c>
      <c r="AA44">
        <v>0</v>
      </c>
      <c r="AB44" s="36">
        <v>1</v>
      </c>
      <c r="AC44">
        <v>-1</v>
      </c>
      <c r="AD44">
        <v>1</v>
      </c>
      <c r="AE44">
        <v>0</v>
      </c>
      <c r="AF44">
        <v>-1</v>
      </c>
      <c r="AG44">
        <v>-1</v>
      </c>
      <c r="AI44" s="3">
        <v>990</v>
      </c>
      <c r="AJ44" s="3">
        <v>3</v>
      </c>
      <c r="AK44" s="3">
        <v>10</v>
      </c>
      <c r="AL44" s="3">
        <v>1</v>
      </c>
      <c r="AM44">
        <v>2</v>
      </c>
      <c r="AN44" s="36">
        <v>0</v>
      </c>
      <c r="AO44">
        <v>82500</v>
      </c>
      <c r="AP44">
        <v>0</v>
      </c>
      <c r="AQ44">
        <v>-2818</v>
      </c>
      <c r="AR44">
        <v>96949</v>
      </c>
      <c r="AS44" s="36">
        <v>465205</v>
      </c>
      <c r="AT44">
        <v>-168816</v>
      </c>
      <c r="AU44">
        <v>-442979</v>
      </c>
      <c r="AV44">
        <v>-176633</v>
      </c>
      <c r="AW44">
        <v>-465205</v>
      </c>
      <c r="AX44">
        <v>-641838</v>
      </c>
      <c r="AZ44" s="3">
        <v>990</v>
      </c>
      <c r="BA44" s="3">
        <v>3</v>
      </c>
      <c r="BB44" s="3">
        <v>10</v>
      </c>
      <c r="BC44" s="3">
        <v>1</v>
      </c>
      <c r="BD44">
        <v>2</v>
      </c>
      <c r="BE44" s="36">
        <v>0</v>
      </c>
      <c r="BF44">
        <v>82500</v>
      </c>
      <c r="BG44">
        <v>0</v>
      </c>
      <c r="BH44">
        <v>-2818</v>
      </c>
      <c r="BI44">
        <v>96949</v>
      </c>
      <c r="BJ44" s="36">
        <v>465204</v>
      </c>
      <c r="BK44">
        <v>-168815</v>
      </c>
      <c r="BL44">
        <v>-442980</v>
      </c>
      <c r="BM44">
        <v>-176633</v>
      </c>
      <c r="BN44">
        <v>-465204</v>
      </c>
      <c r="BO44">
        <v>-641837</v>
      </c>
    </row>
    <row r="45" spans="1:67" x14ac:dyDescent="0.25">
      <c r="A45" s="3">
        <v>990</v>
      </c>
      <c r="B45" s="3">
        <v>3</v>
      </c>
      <c r="C45" s="3">
        <v>10</v>
      </c>
      <c r="D45" s="3">
        <v>2</v>
      </c>
      <c r="E45">
        <v>0</v>
      </c>
      <c r="G45">
        <v>0</v>
      </c>
      <c r="I45">
        <v>0</v>
      </c>
      <c r="J45">
        <v>1.1818933932159321E-3</v>
      </c>
      <c r="K45" s="36">
        <v>2.499343922220417E-3</v>
      </c>
      <c r="L45">
        <v>1.5921031682853051E-2</v>
      </c>
      <c r="M45">
        <v>1.173020527859238E-3</v>
      </c>
      <c r="N45">
        <v>2.0345879959308241E-2</v>
      </c>
      <c r="O45">
        <v>2.499343922220417E-3</v>
      </c>
      <c r="P45">
        <v>3.5320712065555239E-3</v>
      </c>
      <c r="R45" s="3">
        <v>990</v>
      </c>
      <c r="S45" s="3">
        <v>3</v>
      </c>
      <c r="T45" s="3">
        <v>10</v>
      </c>
      <c r="U45" s="3">
        <v>2</v>
      </c>
      <c r="V45">
        <v>0</v>
      </c>
      <c r="W45" s="36">
        <v>0</v>
      </c>
      <c r="X45">
        <v>0</v>
      </c>
      <c r="Y45">
        <v>0</v>
      </c>
      <c r="Z45">
        <v>0</v>
      </c>
      <c r="AA45">
        <v>1</v>
      </c>
      <c r="AB45" s="36">
        <v>2</v>
      </c>
      <c r="AC45">
        <v>-1</v>
      </c>
      <c r="AD45">
        <v>-1</v>
      </c>
      <c r="AE45">
        <v>-1</v>
      </c>
      <c r="AF45">
        <v>-2</v>
      </c>
      <c r="AG45">
        <v>-3</v>
      </c>
      <c r="AI45" s="3">
        <v>990</v>
      </c>
      <c r="AJ45" s="3">
        <v>3</v>
      </c>
      <c r="AK45" s="3">
        <v>10</v>
      </c>
      <c r="AL45" s="3">
        <v>2</v>
      </c>
      <c r="AM45">
        <v>2</v>
      </c>
      <c r="AN45" s="36">
        <v>0</v>
      </c>
      <c r="AO45">
        <v>82500</v>
      </c>
      <c r="AP45">
        <v>0</v>
      </c>
      <c r="AQ45">
        <v>-2807</v>
      </c>
      <c r="AR45">
        <v>-84609</v>
      </c>
      <c r="AS45" s="36">
        <v>-80019</v>
      </c>
      <c r="AT45">
        <v>6280</v>
      </c>
      <c r="AU45">
        <v>85249</v>
      </c>
      <c r="AV45">
        <v>4914</v>
      </c>
      <c r="AW45">
        <v>80019</v>
      </c>
      <c r="AX45">
        <v>84933</v>
      </c>
      <c r="AZ45" s="3">
        <v>990</v>
      </c>
      <c r="BA45" s="3">
        <v>3</v>
      </c>
      <c r="BB45" s="3">
        <v>10</v>
      </c>
      <c r="BC45" s="3">
        <v>2</v>
      </c>
      <c r="BD45">
        <v>2</v>
      </c>
      <c r="BE45" s="36">
        <v>0</v>
      </c>
      <c r="BF45">
        <v>82500</v>
      </c>
      <c r="BG45">
        <v>0</v>
      </c>
      <c r="BH45">
        <v>-2807</v>
      </c>
      <c r="BI45">
        <v>-84610</v>
      </c>
      <c r="BJ45" s="36">
        <v>-80021</v>
      </c>
      <c r="BK45">
        <v>6281</v>
      </c>
      <c r="BL45">
        <v>85250</v>
      </c>
      <c r="BM45">
        <v>4915</v>
      </c>
      <c r="BN45">
        <v>80021</v>
      </c>
      <c r="BO45">
        <v>84936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Legend</vt:lpstr>
      <vt:lpstr>SSA</vt:lpstr>
      <vt:lpstr>SST</vt:lpstr>
      <vt:lpstr>TRA</vt:lpstr>
      <vt:lpstr>SEG</vt:lpstr>
      <vt:lpstr>SUB</vt:lpstr>
      <vt:lpstr>PER</vt:lpstr>
      <vt:lpstr>TES</vt:lpstr>
      <vt:lpstr>HSA</vt:lpstr>
      <vt:lpstr>ECS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4p2\normal4p2_to_normal</dc:title>
  <dc:creator>Next Vis Beta</dc:creator>
  <cp:lastModifiedBy>Justin Edenbaum</cp:lastModifiedBy>
  <cp:lastPrinted>2021-07-27T18:07:08Z</cp:lastPrinted>
  <dcterms:created xsi:type="dcterms:W3CDTF">2021-07-27T15:46:15Z</dcterms:created>
  <dcterms:modified xsi:type="dcterms:W3CDTF">2021-07-28T13:13:53Z</dcterms:modified>
</cp:coreProperties>
</file>