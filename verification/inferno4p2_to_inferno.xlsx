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nevergray-my.sharepoint.com/personal/justin_nevergray_biz/Documents/SES/OpenSES/2021-07-27 4p2 Comparison/"/>
    </mc:Choice>
  </mc:AlternateContent>
  <xr:revisionPtr revIDLastSave="48" documentId="11_FE519F31867DF77427FA7DDE0A9DF262965CC2B5" xr6:coauthVersionLast="47" xr6:coauthVersionMax="47" xr10:uidLastSave="{884292BC-D064-446F-B997-B134B4789924}"/>
  <bookViews>
    <workbookView xWindow="4560" yWindow="3375" windowWidth="23040" windowHeight="12315" activeTab="3" xr2:uid="{00000000-000D-0000-FFFF-FFFF00000000}"/>
  </bookViews>
  <sheets>
    <sheet name="Summary" sheetId="4" r:id="rId1"/>
    <sheet name="Legend" sheetId="5" r:id="rId2"/>
    <sheet name="SSA" sheetId="1" r:id="rId3"/>
    <sheet name="SST" sheetId="2" r:id="rId4"/>
    <sheet name="TRA" sheetId="3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2" i="4" l="1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H4" i="4"/>
  <c r="G4" i="4"/>
  <c r="F4" i="4"/>
  <c r="E4" i="4"/>
  <c r="D12" i="4"/>
  <c r="C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D5" i="4"/>
  <c r="C5" i="4"/>
  <c r="B5" i="4"/>
  <c r="A15" i="4" s="1" a="1"/>
  <c r="A15" i="4" s="1"/>
  <c r="D4" i="4"/>
  <c r="C4" i="4"/>
  <c r="L32" i="4" l="1"/>
  <c r="K32" i="4"/>
  <c r="K24" i="4"/>
  <c r="L24" i="4"/>
  <c r="L31" i="4"/>
  <c r="L23" i="4"/>
  <c r="K31" i="4"/>
  <c r="K23" i="4"/>
  <c r="K16" i="4"/>
  <c r="L30" i="4"/>
  <c r="L22" i="4"/>
  <c r="L16" i="4"/>
  <c r="K30" i="4"/>
  <c r="K22" i="4"/>
  <c r="L37" i="4"/>
  <c r="L29" i="4"/>
  <c r="L21" i="4"/>
  <c r="K37" i="4"/>
  <c r="K29" i="4"/>
  <c r="K21" i="4"/>
  <c r="L36" i="4"/>
  <c r="L28" i="4"/>
  <c r="L20" i="4"/>
  <c r="K36" i="4"/>
  <c r="K28" i="4"/>
  <c r="K20" i="4"/>
  <c r="L35" i="4"/>
  <c r="L27" i="4"/>
  <c r="L19" i="4"/>
  <c r="K35" i="4"/>
  <c r="K27" i="4"/>
  <c r="K19" i="4"/>
  <c r="L34" i="4"/>
  <c r="L26" i="4"/>
  <c r="L18" i="4"/>
  <c r="K34" i="4"/>
  <c r="K26" i="4"/>
  <c r="K18" i="4"/>
  <c r="L33" i="4"/>
  <c r="L25" i="4"/>
  <c r="L17" i="4"/>
  <c r="K33" i="4"/>
  <c r="K25" i="4"/>
  <c r="K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<sst xmlns="http://schemas.openxmlformats.org/spreadsheetml/2006/main" count="686" uniqueCount="275">
  <si>
    <t>Next-Vis Sheet: SSA</t>
  </si>
  <si>
    <t>Summary</t>
  </si>
  <si>
    <t>Percent Error = Absolute value of [(Difference) / (4p2\inferno.PRN)] x 100%</t>
  </si>
  <si>
    <t>Difference = (4p2\inferno4p2.out) - (4p2\inferno.PRN)</t>
  </si>
  <si>
    <t>Airflow</t>
  </si>
  <si>
    <t>AirVel</t>
  </si>
  <si>
    <t>count</t>
  </si>
  <si>
    <t>mean</t>
  </si>
  <si>
    <t>std</t>
  </si>
  <si>
    <t>min</t>
  </si>
  <si>
    <t>25%</t>
  </si>
  <si>
    <t>50%</t>
  </si>
  <si>
    <t>75%</t>
  </si>
  <si>
    <t>max</t>
  </si>
  <si>
    <t>Data</t>
  </si>
  <si>
    <t>4p2\inferno4p2.out</t>
  </si>
  <si>
    <t>4p2\inferno.PRN</t>
  </si>
  <si>
    <t>Time</t>
  </si>
  <si>
    <t>Segment</t>
  </si>
  <si>
    <t>Next-Vis Sheet: SST</t>
  </si>
  <si>
    <t>AirTemp</t>
  </si>
  <si>
    <t>Humidity</t>
  </si>
  <si>
    <t>Sensible</t>
  </si>
  <si>
    <t>Latent</t>
  </si>
  <si>
    <t>WallTemp</t>
  </si>
  <si>
    <t>WallConvection</t>
  </si>
  <si>
    <t>WallRadiation</t>
  </si>
  <si>
    <t>Sub</t>
  </si>
  <si>
    <t>Next-Vis Sheet: TRA</t>
  </si>
  <si>
    <t>RTE</t>
  </si>
  <si>
    <t>TYP</t>
  </si>
  <si>
    <t>Location</t>
  </si>
  <si>
    <t>Speed</t>
  </si>
  <si>
    <t>Accel</t>
  </si>
  <si>
    <t>Draf_KN</t>
  </si>
  <si>
    <t>Draf_COEFF</t>
  </si>
  <si>
    <t>Tractive</t>
  </si>
  <si>
    <t>M_Current</t>
  </si>
  <si>
    <t>L_Current</t>
  </si>
  <si>
    <t>FLY</t>
  </si>
  <si>
    <t>M_Eff</t>
  </si>
  <si>
    <t>G_Accel</t>
  </si>
  <si>
    <t>G_Decel</t>
  </si>
  <si>
    <t>H_Gen</t>
  </si>
  <si>
    <t>H_Reject</t>
  </si>
  <si>
    <t>Number</t>
  </si>
  <si>
    <t>Percent Error = Absolute value of [(Difference) / (4p2\normal.PRN)] x 100%</t>
  </si>
  <si>
    <t>Sheet</t>
  </si>
  <si>
    <t>SSA</t>
  </si>
  <si>
    <t>SST</t>
  </si>
  <si>
    <t>TRA</t>
  </si>
  <si>
    <t>SUB</t>
  </si>
  <si>
    <t>TES</t>
  </si>
  <si>
    <t>ECS</t>
  </si>
  <si>
    <t>Column</t>
  </si>
  <si>
    <t>TM_S</t>
  </si>
  <si>
    <t>TM_L</t>
  </si>
  <si>
    <t>SS_S</t>
  </si>
  <si>
    <t>SS_L</t>
  </si>
  <si>
    <t>HS_S</t>
  </si>
  <si>
    <t>A_S</t>
  </si>
  <si>
    <t>A_L</t>
  </si>
  <si>
    <t>EC_S</t>
  </si>
  <si>
    <t>EC_L</t>
  </si>
  <si>
    <t>TR_S</t>
  </si>
  <si>
    <t>TR_L</t>
  </si>
  <si>
    <t>TR_T</t>
  </si>
  <si>
    <t>Mean</t>
  </si>
  <si>
    <t>Max</t>
  </si>
  <si>
    <t>Sheet Name</t>
  </si>
  <si>
    <t>Heading</t>
  </si>
  <si>
    <t>Full description</t>
  </si>
  <si>
    <t>SI Unit</t>
  </si>
  <si>
    <t>IP Unit</t>
  </si>
  <si>
    <t>Note</t>
  </si>
  <si>
    <t>Second-by-second aerodynamic data</t>
  </si>
  <si>
    <t>Simulation Time</t>
  </si>
  <si>
    <t>Sec</t>
  </si>
  <si>
    <t>Segment numbers</t>
  </si>
  <si>
    <t>#</t>
  </si>
  <si>
    <t>ID</t>
  </si>
  <si>
    <t>Title</t>
  </si>
  <si>
    <t>Time-Segement (TTT-SSS)</t>
  </si>
  <si>
    <t>Section Air Flow Rate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</si>
  <si>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</si>
  <si>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kCFM</t>
  </si>
  <si>
    <t>CFM is divided by 1,000 to convert to kcfm</t>
  </si>
  <si>
    <t>Bulk Air Velocity</t>
  </si>
  <si>
    <t>m/s</t>
  </si>
  <si>
    <t>FPM</t>
  </si>
  <si>
    <t>Second-by-second thermodynamic data</t>
  </si>
  <si>
    <t>Sub-segment number</t>
  </si>
  <si>
    <t>Total Sensible Heat Load</t>
  </si>
  <si>
    <t>W</t>
  </si>
  <si>
    <t>BTU/sec</t>
  </si>
  <si>
    <t>Total Latent Heat Load</t>
  </si>
  <si>
    <t>Air Dry-Bulb Temperature</t>
  </si>
  <si>
    <t>°C</t>
  </si>
  <si>
    <t>°F</t>
  </si>
  <si>
    <t>1 - Humidity Ratio</t>
  </si>
  <si>
    <t>kg/kg</t>
  </si>
  <si>
    <t>Wall Surface Temperature</t>
  </si>
  <si>
    <t>Heat Transfer to Wall by Convection</t>
  </si>
  <si>
    <t>BTU/Hr</t>
  </si>
  <si>
    <t>Heat Transfer to Wall by Radiation</t>
  </si>
  <si>
    <t>FluidTemp</t>
  </si>
  <si>
    <t>Working Fluid Temperature</t>
  </si>
  <si>
    <t>FuildHeat</t>
  </si>
  <si>
    <t>Heat Absorbed by Cooling Pipe</t>
  </si>
  <si>
    <t>Secod-by-second Train data</t>
  </si>
  <si>
    <t>Train ID Number</t>
  </si>
  <si>
    <t>Train route</t>
  </si>
  <si>
    <t>Train Type</t>
  </si>
  <si>
    <t>Train Location</t>
  </si>
  <si>
    <t>m</t>
  </si>
  <si>
    <t>ft</t>
  </si>
  <si>
    <t>Train Speed</t>
  </si>
  <si>
    <t>kph</t>
  </si>
  <si>
    <t>mph</t>
  </si>
  <si>
    <t>Train Acceleration</t>
  </si>
  <si>
    <r>
      <t>m/s</t>
    </r>
    <r>
      <rPr>
        <vertAlign val="superscript"/>
        <sz val="11"/>
        <color theme="1"/>
        <rFont val="Calibri"/>
        <family val="2"/>
        <scheme val="minor"/>
      </rPr>
      <t>2</t>
    </r>
  </si>
  <si>
    <t>mph/sec</t>
  </si>
  <si>
    <t>Drag_KN</t>
  </si>
  <si>
    <t>Air Drag (KN)</t>
  </si>
  <si>
    <t>kN</t>
  </si>
  <si>
    <t>lbs</t>
  </si>
  <si>
    <t>Drag_COEFF</t>
  </si>
  <si>
    <t>Air Drag (COEFF)</t>
  </si>
  <si>
    <t>Tractive Effort</t>
  </si>
  <si>
    <t>N/motor</t>
  </si>
  <si>
    <t>lbs/motor</t>
  </si>
  <si>
    <t>Motor Current</t>
  </si>
  <si>
    <t>amps</t>
  </si>
  <si>
    <t>Line Current</t>
  </si>
  <si>
    <t>Fly Wheel</t>
  </si>
  <si>
    <t>RPM</t>
  </si>
  <si>
    <t>%</t>
  </si>
  <si>
    <t>Grid Temperature Acceleration</t>
  </si>
  <si>
    <t>Grid Temperature Deceleration</t>
  </si>
  <si>
    <t>Heat generated</t>
  </si>
  <si>
    <t>W/m</t>
  </si>
  <si>
    <t>BTU/SEC-FT</t>
  </si>
  <si>
    <t>Heat rejected</t>
  </si>
  <si>
    <t xml:space="preserve">SEG </t>
  </si>
  <si>
    <t>Summary of Aerodynamic Data</t>
  </si>
  <si>
    <t>End Time Of Summary Interval</t>
  </si>
  <si>
    <t>seconds</t>
  </si>
  <si>
    <t>A_Max</t>
  </si>
  <si>
    <t>Airflow rate maximum</t>
  </si>
  <si>
    <t>For SES41, cfm divided by 1,000 to convert to kcfm</t>
  </si>
  <si>
    <t>A_Max_T</t>
  </si>
  <si>
    <t>Time of airflow rate maximum</t>
  </si>
  <si>
    <t>A_Min</t>
  </si>
  <si>
    <t>Airflow rate minimum</t>
  </si>
  <si>
    <t>A_Min_T</t>
  </si>
  <si>
    <t>Time of airflow rate minimum</t>
  </si>
  <si>
    <t>A_P</t>
  </si>
  <si>
    <t>Airflow rate average value - positive</t>
  </si>
  <si>
    <t>A_N</t>
  </si>
  <si>
    <t>Airflow rate average value - negative</t>
  </si>
  <si>
    <t>V_Max</t>
  </si>
  <si>
    <t>Air velocity maximum</t>
  </si>
  <si>
    <t>V_Max_T</t>
  </si>
  <si>
    <t>Time of air velocity maximum</t>
  </si>
  <si>
    <t>V_Min</t>
  </si>
  <si>
    <t>Air velocity minimum</t>
  </si>
  <si>
    <t>V_Min_T</t>
  </si>
  <si>
    <t>Time of air velocity minimum</t>
  </si>
  <si>
    <t>V_P</t>
  </si>
  <si>
    <t>Velocity average value - positive</t>
  </si>
  <si>
    <t>V_N</t>
  </si>
  <si>
    <t>Velocity average value - negative</t>
  </si>
  <si>
    <t>A_P_P</t>
  </si>
  <si>
    <t>Percent Of Time Airflow Is Positive</t>
  </si>
  <si>
    <t>A_P_N</t>
  </si>
  <si>
    <t>Percent Of Time Airflow Is Negative</t>
  </si>
  <si>
    <t>V_E</t>
  </si>
  <si>
    <t>Vent shafts only</t>
  </si>
  <si>
    <t>V_EP</t>
  </si>
  <si>
    <t>Percentage Of Time Outflow Velocity Exceeds Design Max</t>
  </si>
  <si>
    <t>Summary of Thermodynamic Data</t>
  </si>
  <si>
    <t/>
  </si>
  <si>
    <t>T_Max</t>
  </si>
  <si>
    <t>Dry-bulb temperature maximum</t>
  </si>
  <si>
    <t>T_Max_T</t>
  </si>
  <si>
    <t>Time of dry-bulb temperature maximum</t>
  </si>
  <si>
    <t>T_Min</t>
  </si>
  <si>
    <t>dry-bulb temperature minimum</t>
  </si>
  <si>
    <t>T_Min_T</t>
  </si>
  <si>
    <t>Time of dry-bulb temperature minimum</t>
  </si>
  <si>
    <t>T_P</t>
  </si>
  <si>
    <t>Dry-bulb temperature Positive</t>
  </si>
  <si>
    <t>T_N</t>
  </si>
  <si>
    <t>Dry-bulb temperature Negative</t>
  </si>
  <si>
    <t>W_Max</t>
  </si>
  <si>
    <t>1- Humidity ratio maximum (kg/kg)</t>
  </si>
  <si>
    <t>lb/lb</t>
  </si>
  <si>
    <t>W_Max_T</t>
  </si>
  <si>
    <t>Time of Humidity ration maximum</t>
  </si>
  <si>
    <t>W_Min</t>
  </si>
  <si>
    <t>Humidity ratio minimum</t>
  </si>
  <si>
    <t>W_Min_T</t>
  </si>
  <si>
    <t>Time of Humidity ratio minimum</t>
  </si>
  <si>
    <t>W_A</t>
  </si>
  <si>
    <t>Average Humidity ratio</t>
  </si>
  <si>
    <t>PER</t>
  </si>
  <si>
    <t>Percentage of Time Temperature is Above</t>
  </si>
  <si>
    <t>TA_1</t>
  </si>
  <si>
    <t>Above temperature - 1</t>
  </si>
  <si>
    <t>TA_2</t>
  </si>
  <si>
    <t>Above temperature - 2</t>
  </si>
  <si>
    <t>TA_3</t>
  </si>
  <si>
    <t>Above temperature - 3</t>
  </si>
  <si>
    <t>TA_4</t>
  </si>
  <si>
    <t>Above temperature - 4</t>
  </si>
  <si>
    <t>TA_5</t>
  </si>
  <si>
    <t>Above temperature - 5</t>
  </si>
  <si>
    <t>TA_6</t>
  </si>
  <si>
    <t>TAP_1</t>
  </si>
  <si>
    <t>Percentage of Time above temperature - 1</t>
  </si>
  <si>
    <t>TAP_2</t>
  </si>
  <si>
    <t>Percentage of Time above temperature - 2</t>
  </si>
  <si>
    <t>TAP_3</t>
  </si>
  <si>
    <t>Percentage of Time above temperature - 3</t>
  </si>
  <si>
    <t>TAP_4</t>
  </si>
  <si>
    <t>Percentage of Time above temperature - 4</t>
  </si>
  <si>
    <t>TAP_5</t>
  </si>
  <si>
    <t>Percentage of Time above temperature - 5</t>
  </si>
  <si>
    <t>TAP_6</t>
  </si>
  <si>
    <t>Percentage of Time above temperature - 6</t>
  </si>
  <si>
    <t>TRAIN ENERGY SUMMARY</t>
  </si>
  <si>
    <t>ES</t>
  </si>
  <si>
    <t>Energy Sector</t>
  </si>
  <si>
    <t>ET</t>
  </si>
  <si>
    <t>Propulsion Energy From Third Rail</t>
  </si>
  <si>
    <t>KWh</t>
  </si>
  <si>
    <t>EF</t>
  </si>
  <si>
    <t>Propulsion Energy From Flywheel</t>
  </si>
  <si>
    <t>EA</t>
  </si>
  <si>
    <t>ER</t>
  </si>
  <si>
    <t>Energy Regenerated</t>
  </si>
  <si>
    <t>HSA</t>
  </si>
  <si>
    <t>Heat Sink Analysis (for uncontrolled zones)</t>
  </si>
  <si>
    <t>MWT</t>
  </si>
  <si>
    <t>Morning Wall Temperature</t>
  </si>
  <si>
    <t>EWT</t>
  </si>
  <si>
    <t>Evening Wall Temperature</t>
  </si>
  <si>
    <t>MAT</t>
  </si>
  <si>
    <t>Morning Air Temperature</t>
  </si>
  <si>
    <t>EAT</t>
  </si>
  <si>
    <t>Evening Air Temperature</t>
  </si>
  <si>
    <t>MH</t>
  </si>
  <si>
    <t>Morning Humidity Ratio</t>
  </si>
  <si>
    <t>EH</t>
  </si>
  <si>
    <t>Evening Humidity Ratio</t>
  </si>
  <si>
    <t>Environmental Control System Load Estimates</t>
  </si>
  <si>
    <t>BTU/HR</t>
  </si>
  <si>
    <t>Sensible Heat Load From Steady State Sources</t>
  </si>
  <si>
    <t>Latent Heat Load From Steady State Sources</t>
  </si>
  <si>
    <t>Sensible Heat Load From Heat Sink</t>
  </si>
  <si>
    <t>Sensible Heat Load From Airflow</t>
  </si>
  <si>
    <t>Latent Heat Load From Airflow</t>
  </si>
  <si>
    <t>Sensible Heat Load From ECS</t>
  </si>
  <si>
    <t>Latent Heat Load From ECS</t>
  </si>
  <si>
    <t>Estimated Sensible Heat Load From ECS</t>
  </si>
  <si>
    <t>Estimated Latent Heat Load From ECS</t>
  </si>
  <si>
    <t>Estimated Total Heat Load From ECS</t>
  </si>
  <si>
    <t>Description</t>
  </si>
  <si>
    <t>Unit</t>
  </si>
  <si>
    <t>Motor Efficiency</t>
  </si>
  <si>
    <t>Outflow velocity allowable before exceedance</t>
  </si>
  <si>
    <t>Above temperature - 6</t>
  </si>
  <si>
    <t>Auxiliary Energy Consumed</t>
  </si>
  <si>
    <t>Sensible Heat Load From Trains and Misc.</t>
  </si>
  <si>
    <t>Latent Heat Load From Trains and Misc.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</si>
</sst>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5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3" fillId="3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4" fillId="2" borderId="2" xfId="1" applyFont="1" applyBorder="1" applyAlignment="1">
      <alignment wrapText="1"/>
    </xf>
    <xf numFmtId="0" fontId="4" fillId="2" borderId="1" xfId="1" applyFont="1" applyBorder="1" applyAlignment="1">
      <alignment horizontal="center"/>
    </xf>
    <xf numFmtId="0" fontId="4" fillId="2" borderId="1" xfId="1" applyFont="1" applyBorder="1" applyAlignment="1">
      <alignment horizontal="center" wrapText="1"/>
    </xf>
    <xf numFmtId="0" fontId="0" fillId="3" borderId="3" xfId="2" applyFont="1" applyBorder="1" applyAlignment="1">
      <alignment horizontal="left"/>
    </xf>
    <xf numFmtId="0" fontId="0" fillId="5" borderId="4" xfId="2" applyFont="1" applyFill="1" applyBorder="1" applyAlignment="1">
      <alignment horizontal="left"/>
    </xf>
    <xf numFmtId="0" fontId="0" fillId="5" borderId="4" xfId="2" applyFont="1" applyFill="1" applyBorder="1" applyAlignment="1">
      <alignment horizontal="center" wrapText="1"/>
    </xf>
    <xf numFmtId="0" fontId="0" fillId="5" borderId="5" xfId="2" applyFont="1" applyFill="1" applyBorder="1" applyAlignment="1">
      <alignment horizontal="left" wrapText="1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3" borderId="4" xfId="2" applyFont="1" applyBorder="1" applyAlignment="1">
      <alignment horizontal="left"/>
    </xf>
    <xf numFmtId="0" fontId="0" fillId="3" borderId="4" xfId="2" applyFont="1" applyBorder="1" applyAlignment="1">
      <alignment horizontal="center" wrapText="1"/>
    </xf>
    <xf numFmtId="0" fontId="0" fillId="3" borderId="5" xfId="2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6" xfId="0" applyBorder="1"/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0" borderId="1" xfId="0" quotePrefix="1" applyBorder="1"/>
    <xf numFmtId="0" fontId="0" fillId="5" borderId="1" xfId="0" applyFill="1" applyBorder="1"/>
    <xf numFmtId="0" fontId="0" fillId="6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6" fillId="0" borderId="9" xfId="0" applyFont="1" applyBorder="1"/>
    <xf numFmtId="0" fontId="0" fillId="0" borderId="10" xfId="0" applyBorder="1"/>
    <xf numFmtId="0" fontId="0" fillId="4" borderId="7" xfId="0" applyFill="1" applyBorder="1"/>
    <xf numFmtId="0" fontId="0" fillId="4" borderId="8" xfId="0" applyFill="1" applyBorder="1"/>
    <xf numFmtId="0" fontId="6" fillId="4" borderId="11" xfId="0" applyFont="1" applyFill="1" applyBorder="1"/>
    <xf numFmtId="0" fontId="0" fillId="4" borderId="0" xfId="0" applyFill="1" applyBorder="1"/>
    <xf numFmtId="0" fontId="6" fillId="4" borderId="9" xfId="0" applyFont="1" applyFill="1" applyBorder="1"/>
    <xf numFmtId="0" fontId="0" fillId="4" borderId="10" xfId="0" applyFill="1" applyBorder="1"/>
    <xf numFmtId="0" fontId="6" fillId="0" borderId="11" xfId="0" applyFont="1" applyBorder="1"/>
    <xf numFmtId="0" fontId="0" fillId="0" borderId="0" xfId="0" applyBorder="1"/>
    <xf numFmtId="0" fontId="6" fillId="2" borderId="3" xfId="1" applyBorder="1"/>
    <xf numFmtId="0" fontId="6" fillId="2" borderId="1" xfId="1" applyBorder="1" applyAlignment="1">
      <alignment horizontal="center" vertical="top"/>
    </xf>
    <xf numFmtId="0" fontId="6" fillId="2" borderId="1" xfId="1" applyBorder="1"/>
    <xf numFmtId="0" fontId="6" fillId="2" borderId="1" xfId="1" applyBorder="1" applyAlignment="1">
      <alignment horizontal="center"/>
    </xf>
    <xf numFmtId="0" fontId="0" fillId="4" borderId="1" xfId="0" applyFill="1" applyBorder="1"/>
  </cellXfs>
  <cellStyles count="3">
    <cellStyle name="60% - Accent2" xfId="2" builtinId="36"/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rmal4p2_to_nor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gend"/>
      <sheetName val="SSA"/>
      <sheetName val="SST"/>
      <sheetName val="TRA"/>
      <sheetName val="SEG"/>
      <sheetName val="SUB"/>
      <sheetName val="PER"/>
      <sheetName val="TES"/>
      <sheetName val="HSA"/>
      <sheetName val="ECS"/>
    </sheetNames>
    <sheetDataSet>
      <sheetData sheetId="0" refreshError="1"/>
      <sheetData sheetId="1">
        <row r="2">
          <cell r="B2" t="str">
            <v>Second-by-second aerodynamic data</v>
          </cell>
        </row>
        <row r="3">
          <cell r="B3" t="str">
            <v>Time</v>
          </cell>
          <cell r="C3" t="str">
            <v>Simulation Time</v>
          </cell>
          <cell r="D3" t="str">
            <v>Sec</v>
          </cell>
          <cell r="E3" t="str">
            <v>Sec</v>
          </cell>
        </row>
        <row r="4">
          <cell r="B4" t="str">
            <v>Segment</v>
          </cell>
          <cell r="C4" t="str">
            <v>Segment numbers</v>
          </cell>
          <cell r="D4" t="str">
            <v>#</v>
          </cell>
          <cell r="E4" t="str">
            <v>#</v>
          </cell>
        </row>
        <row r="5">
          <cell r="B5" t="str">
            <v>ID</v>
          </cell>
          <cell r="C5" t="str">
            <v>Title</v>
          </cell>
        </row>
        <row r="6">
          <cell r="B6" t="str">
            <v>Title</v>
          </cell>
        </row>
        <row r="7">
          <cell r="B7" t="str">
            <v>Airflow</v>
          </cell>
          <cell r="C7" t="str">
            <v>Section Air Flow Rate</v>
          </cell>
          <cell r="D7" t="str">
            <v>m3/s</v>
          </cell>
          <cell r="E7" t="str">
            <v>kCFM</v>
          </cell>
        </row>
        <row r="8">
          <cell r="B8" t="str">
            <v>AirVel</v>
          </cell>
          <cell r="C8" t="str">
            <v>Bulk Air Velocity</v>
          </cell>
          <cell r="D8" t="str">
            <v>m/s</v>
          </cell>
          <cell r="E8" t="str">
            <v>FPM</v>
          </cell>
        </row>
        <row r="9">
          <cell r="B9" t="str">
            <v>Second-by-second thermodynamic data</v>
          </cell>
        </row>
        <row r="10">
          <cell r="B10" t="str">
            <v>Time</v>
          </cell>
          <cell r="C10" t="str">
            <v>Simulation Time</v>
          </cell>
          <cell r="D10" t="str">
            <v>Sec</v>
          </cell>
          <cell r="E10" t="str">
            <v>Sec</v>
          </cell>
        </row>
        <row r="11">
          <cell r="B11" t="str">
            <v>Segment</v>
          </cell>
          <cell r="C11" t="str">
            <v>Segment numbers</v>
          </cell>
          <cell r="D11" t="str">
            <v>#</v>
          </cell>
          <cell r="E11" t="str">
            <v>#</v>
          </cell>
        </row>
        <row r="12">
          <cell r="B12" t="str">
            <v>Sub</v>
          </cell>
          <cell r="C12" t="str">
            <v>Sub-segment number</v>
          </cell>
          <cell r="D12" t="str">
            <v>#</v>
          </cell>
          <cell r="E12" t="str">
            <v>#</v>
          </cell>
        </row>
        <row r="13">
          <cell r="B13" t="str">
            <v>ID</v>
          </cell>
        </row>
        <row r="14">
          <cell r="B14" t="str">
            <v>Sensible</v>
          </cell>
          <cell r="C14" t="str">
            <v>Total Sensible Heat Load</v>
          </cell>
          <cell r="D14" t="str">
            <v>W</v>
          </cell>
          <cell r="E14" t="str">
            <v>BTU/sec</v>
          </cell>
        </row>
        <row r="15">
          <cell r="B15" t="str">
            <v>Latent</v>
          </cell>
          <cell r="C15" t="str">
            <v>Total Latent Heat Load</v>
          </cell>
          <cell r="D15" t="str">
            <v>W</v>
          </cell>
          <cell r="E15" t="str">
            <v>BTU/sec</v>
          </cell>
        </row>
        <row r="16">
          <cell r="B16" t="str">
            <v>AirTemp</v>
          </cell>
          <cell r="C16" t="str">
            <v>Air Dry-Bulb Temperature</v>
          </cell>
          <cell r="D16" t="str">
            <v>°C</v>
          </cell>
          <cell r="E16" t="str">
            <v>°F</v>
          </cell>
        </row>
        <row r="17">
          <cell r="B17" t="str">
            <v>Humidity</v>
          </cell>
          <cell r="C17" t="str">
            <v>1 - Humidity Ratio</v>
          </cell>
          <cell r="D17" t="str">
            <v>kg/kg</v>
          </cell>
          <cell r="E17" t="str">
            <v>°F</v>
          </cell>
        </row>
        <row r="18">
          <cell r="B18" t="str">
            <v>WallTemp</v>
          </cell>
          <cell r="C18" t="str">
            <v>Wall Surface Temperature</v>
          </cell>
          <cell r="D18" t="str">
            <v>°C</v>
          </cell>
          <cell r="E18" t="str">
            <v>°F</v>
          </cell>
        </row>
        <row r="19">
          <cell r="B19" t="str">
            <v>WallConvection</v>
          </cell>
          <cell r="C19" t="str">
            <v>Heat Transfer to Wall by Convection</v>
          </cell>
          <cell r="D19" t="str">
            <v>W</v>
          </cell>
          <cell r="E19" t="str">
            <v>BTU/Hr</v>
          </cell>
        </row>
        <row r="20">
          <cell r="B20" t="str">
            <v>WallRadiation</v>
          </cell>
          <cell r="C20" t="str">
            <v>Heat Transfer to Wall by Radiation</v>
          </cell>
          <cell r="D20" t="str">
            <v>W</v>
          </cell>
          <cell r="E20" t="str">
            <v>BTU/Hr</v>
          </cell>
        </row>
        <row r="21">
          <cell r="B21" t="str">
            <v>FluidTemp</v>
          </cell>
          <cell r="C21" t="str">
            <v>Working Fluid Temperature</v>
          </cell>
          <cell r="D21" t="str">
            <v>°C</v>
          </cell>
        </row>
        <row r="22">
          <cell r="B22" t="str">
            <v>FuildHeat</v>
          </cell>
          <cell r="C22" t="str">
            <v>Heat Absorbed by Cooling Pipe</v>
          </cell>
          <cell r="D22" t="str">
            <v>W</v>
          </cell>
        </row>
        <row r="23">
          <cell r="B23" t="str">
            <v>Secod-by-second Train data</v>
          </cell>
        </row>
        <row r="24">
          <cell r="B24" t="str">
            <v>Time</v>
          </cell>
          <cell r="C24" t="str">
            <v>Time</v>
          </cell>
          <cell r="D24" t="str">
            <v>Sec</v>
          </cell>
          <cell r="E24" t="str">
            <v>Sec</v>
          </cell>
        </row>
        <row r="25">
          <cell r="B25" t="str">
            <v>Number</v>
          </cell>
          <cell r="C25" t="str">
            <v>Train ID Number</v>
          </cell>
          <cell r="D25" t="str">
            <v>#</v>
          </cell>
          <cell r="E25" t="str">
            <v>#</v>
          </cell>
        </row>
        <row r="26">
          <cell r="B26" t="str">
            <v>RTE</v>
          </cell>
          <cell r="C26" t="str">
            <v>Train route</v>
          </cell>
          <cell r="D26" t="str">
            <v>#</v>
          </cell>
          <cell r="E26" t="str">
            <v>#</v>
          </cell>
        </row>
        <row r="27">
          <cell r="B27" t="str">
            <v>TYP</v>
          </cell>
          <cell r="C27" t="str">
            <v>Train Type</v>
          </cell>
          <cell r="D27" t="str">
            <v>#</v>
          </cell>
          <cell r="E27" t="str">
            <v>#</v>
          </cell>
        </row>
        <row r="28">
          <cell r="B28" t="str">
            <v>Location</v>
          </cell>
          <cell r="C28" t="str">
            <v>Train Location</v>
          </cell>
          <cell r="D28" t="str">
            <v>m</v>
          </cell>
          <cell r="E28" t="str">
            <v>ft</v>
          </cell>
        </row>
        <row r="29">
          <cell r="B29" t="str">
            <v>Speed</v>
          </cell>
          <cell r="C29" t="str">
            <v>Train Speed</v>
          </cell>
          <cell r="D29" t="str">
            <v>kph</v>
          </cell>
          <cell r="E29" t="str">
            <v>mph</v>
          </cell>
        </row>
        <row r="30">
          <cell r="B30" t="str">
            <v>Accel</v>
          </cell>
          <cell r="C30" t="str">
            <v>Train Acceleration</v>
          </cell>
          <cell r="D30" t="str">
            <v>m/s2</v>
          </cell>
          <cell r="E30" t="str">
            <v>mph/sec</v>
          </cell>
        </row>
        <row r="31">
          <cell r="B31" t="str">
            <v>Drag_KN</v>
          </cell>
          <cell r="C31" t="str">
            <v>Air Drag (KN)</v>
          </cell>
          <cell r="D31" t="str">
            <v>kN</v>
          </cell>
          <cell r="E31" t="str">
            <v>lbs</v>
          </cell>
        </row>
        <row r="32">
          <cell r="B32" t="str">
            <v>Drag_COEFF</v>
          </cell>
          <cell r="C32" t="str">
            <v>Air Drag (COEFF)</v>
          </cell>
          <cell r="D32" t="str">
            <v>#</v>
          </cell>
          <cell r="E32" t="str">
            <v>#</v>
          </cell>
        </row>
        <row r="33">
          <cell r="B33" t="str">
            <v>Tractive</v>
          </cell>
          <cell r="C33" t="str">
            <v>Tractive Effort</v>
          </cell>
          <cell r="D33" t="str">
            <v>N/motor</v>
          </cell>
          <cell r="E33" t="str">
            <v>lbs/motor</v>
          </cell>
        </row>
        <row r="34">
          <cell r="B34" t="str">
            <v>M_Current</v>
          </cell>
          <cell r="C34" t="str">
            <v>Motor Current</v>
          </cell>
          <cell r="D34" t="str">
            <v>amps</v>
          </cell>
          <cell r="E34" t="str">
            <v>amps</v>
          </cell>
        </row>
        <row r="35">
          <cell r="B35" t="str">
            <v>L_Current</v>
          </cell>
          <cell r="C35" t="str">
            <v>Line Current</v>
          </cell>
          <cell r="D35" t="str">
            <v>amps</v>
          </cell>
          <cell r="E35" t="str">
            <v>amps</v>
          </cell>
        </row>
        <row r="36">
          <cell r="B36" t="str">
            <v>FLY</v>
          </cell>
          <cell r="C36" t="str">
            <v>Fly Wheel</v>
          </cell>
          <cell r="D36" t="str">
            <v>RPM</v>
          </cell>
          <cell r="E36" t="str">
            <v>RPM</v>
          </cell>
        </row>
        <row r="37">
          <cell r="B37" t="str">
            <v>M_Eff</v>
          </cell>
          <cell r="C37" t="str">
            <v>Motor Efficiency</v>
          </cell>
          <cell r="D37" t="str">
            <v>%</v>
          </cell>
        </row>
        <row r="38">
          <cell r="B38" t="str">
            <v>G_Accel</v>
          </cell>
          <cell r="C38" t="str">
            <v>Grid Temperature Acceleration</v>
          </cell>
          <cell r="D38" t="str">
            <v>°C</v>
          </cell>
          <cell r="E38" t="str">
            <v>°F</v>
          </cell>
        </row>
        <row r="39">
          <cell r="B39" t="str">
            <v>G_Decel</v>
          </cell>
          <cell r="C39" t="str">
            <v>Grid Temperature Deceleration</v>
          </cell>
          <cell r="D39" t="str">
            <v>°C</v>
          </cell>
          <cell r="E39" t="str">
            <v>°F</v>
          </cell>
        </row>
        <row r="40">
          <cell r="B40" t="str">
            <v>H_Gen</v>
          </cell>
          <cell r="C40" t="str">
            <v>Heat generated</v>
          </cell>
          <cell r="D40" t="str">
            <v>W/m</v>
          </cell>
          <cell r="E40" t="str">
            <v>BTU/SEC-FT</v>
          </cell>
        </row>
        <row r="41">
          <cell r="B41" t="str">
            <v>H_Reject</v>
          </cell>
          <cell r="C41" t="str">
            <v>Heat rejected</v>
          </cell>
          <cell r="D41" t="str">
            <v>W/m</v>
          </cell>
          <cell r="E41" t="str">
            <v>BTU/SEC-FT</v>
          </cell>
        </row>
        <row r="42">
          <cell r="B42" t="str">
            <v>Summary of Aerodynamic Data</v>
          </cell>
        </row>
        <row r="43">
          <cell r="B43" t="str">
            <v>Time</v>
          </cell>
          <cell r="C43" t="str">
            <v>End Time Of Summary Interval</v>
          </cell>
          <cell r="D43" t="str">
            <v>seconds</v>
          </cell>
          <cell r="E43" t="str">
            <v>seconds</v>
          </cell>
        </row>
        <row r="44">
          <cell r="B44" t="str">
            <v>A_Max</v>
          </cell>
          <cell r="C44" t="str">
            <v>Airflow rate maximum</v>
          </cell>
          <cell r="D44" t="str">
            <v>m3/s</v>
          </cell>
          <cell r="E44" t="str">
            <v>kCFM</v>
          </cell>
        </row>
        <row r="45">
          <cell r="B45" t="str">
            <v>A_Max_T</v>
          </cell>
          <cell r="C45" t="str">
            <v>Time of airflow rate maximum</v>
          </cell>
          <cell r="D45" t="str">
            <v>seconds</v>
          </cell>
          <cell r="E45" t="str">
            <v>seconds</v>
          </cell>
        </row>
        <row r="46">
          <cell r="B46" t="str">
            <v>A_Min</v>
          </cell>
          <cell r="C46" t="str">
            <v>Airflow rate minimum</v>
          </cell>
          <cell r="D46" t="str">
            <v>m3/s</v>
          </cell>
          <cell r="E46" t="str">
            <v>kCFM</v>
          </cell>
        </row>
        <row r="47">
          <cell r="B47" t="str">
            <v>A_Min_T</v>
          </cell>
          <cell r="C47" t="str">
            <v>Time of airflow rate minimum</v>
          </cell>
          <cell r="D47" t="str">
            <v>seconds</v>
          </cell>
          <cell r="E47" t="str">
            <v>seconds</v>
          </cell>
        </row>
        <row r="48">
          <cell r="B48" t="str">
            <v>A_P</v>
          </cell>
          <cell r="C48" t="str">
            <v>Airflow rate average value - positive</v>
          </cell>
          <cell r="D48" t="str">
            <v>m3/s</v>
          </cell>
          <cell r="E48" t="str">
            <v>kCFM</v>
          </cell>
        </row>
        <row r="49">
          <cell r="B49" t="str">
            <v>A_N</v>
          </cell>
          <cell r="C49" t="str">
            <v>Airflow rate average value - negative</v>
          </cell>
          <cell r="D49" t="str">
            <v>m3/s</v>
          </cell>
          <cell r="E49" t="str">
            <v>kCFM</v>
          </cell>
        </row>
        <row r="50">
          <cell r="B50" t="str">
            <v>V_Max</v>
          </cell>
          <cell r="C50" t="str">
            <v>Air velocity maximum</v>
          </cell>
          <cell r="D50" t="str">
            <v>m/s</v>
          </cell>
          <cell r="E50" t="str">
            <v>FPM</v>
          </cell>
        </row>
        <row r="51">
          <cell r="B51" t="str">
            <v>V_Max_T</v>
          </cell>
          <cell r="C51" t="str">
            <v>Time of air velocity maximum</v>
          </cell>
          <cell r="D51" t="str">
            <v>seconds</v>
          </cell>
          <cell r="E51" t="str">
            <v>seconds</v>
          </cell>
        </row>
        <row r="52">
          <cell r="B52" t="str">
            <v>V_Min</v>
          </cell>
          <cell r="C52" t="str">
            <v>Air velocity minimum</v>
          </cell>
          <cell r="D52" t="str">
            <v>m/s</v>
          </cell>
          <cell r="E52" t="str">
            <v>FPM</v>
          </cell>
        </row>
        <row r="53">
          <cell r="B53" t="str">
            <v>V_Min_T</v>
          </cell>
          <cell r="C53" t="str">
            <v>Time of air velocity minimum</v>
          </cell>
          <cell r="D53" t="str">
            <v>seconds</v>
          </cell>
          <cell r="E53" t="str">
            <v>seconds</v>
          </cell>
        </row>
        <row r="54">
          <cell r="B54" t="str">
            <v>V_P</v>
          </cell>
          <cell r="C54" t="str">
            <v>Velocity average value - positive</v>
          </cell>
          <cell r="D54" t="str">
            <v>m/s</v>
          </cell>
          <cell r="E54" t="str">
            <v>FPM</v>
          </cell>
        </row>
        <row r="55">
          <cell r="B55" t="str">
            <v>V_N</v>
          </cell>
          <cell r="C55" t="str">
            <v>Velocity average value - negative</v>
          </cell>
          <cell r="D55" t="str">
            <v>m/s</v>
          </cell>
          <cell r="E55" t="str">
            <v>FPM</v>
          </cell>
        </row>
        <row r="56">
          <cell r="B56" t="str">
            <v>A_P_P</v>
          </cell>
          <cell r="C56" t="str">
            <v>Percent Of Time Airflow Is Positive</v>
          </cell>
          <cell r="D56" t="str">
            <v>%</v>
          </cell>
          <cell r="E56" t="str">
            <v>%</v>
          </cell>
        </row>
        <row r="57">
          <cell r="B57" t="str">
            <v>A_P_N</v>
          </cell>
          <cell r="C57" t="str">
            <v>Percent Of Time Airflow Is Negative</v>
          </cell>
          <cell r="D57" t="str">
            <v>%</v>
          </cell>
          <cell r="E57" t="str">
            <v>%</v>
          </cell>
        </row>
        <row r="58">
          <cell r="B58" t="str">
            <v>V_E</v>
          </cell>
          <cell r="C58" t="str">
            <v>Outflow velocity allowable before exceedance</v>
          </cell>
          <cell r="D58" t="str">
            <v>m/s</v>
          </cell>
          <cell r="E58" t="str">
            <v>FPM</v>
          </cell>
        </row>
        <row r="59">
          <cell r="B59" t="str">
            <v>V_EP</v>
          </cell>
          <cell r="C59" t="str">
            <v>Percentage Of Time Outflow Velocity Exceeds Design Max</v>
          </cell>
          <cell r="D59" t="str">
            <v>%</v>
          </cell>
          <cell r="E59" t="str">
            <v>%</v>
          </cell>
        </row>
        <row r="60">
          <cell r="B60" t="str">
            <v>Summary of Thermodynamic Data</v>
          </cell>
        </row>
        <row r="61">
          <cell r="B61" t="str">
            <v>T_Max</v>
          </cell>
          <cell r="C61" t="str">
            <v>Dry-bulb temperature maximum</v>
          </cell>
          <cell r="D61" t="str">
            <v>°C</v>
          </cell>
          <cell r="E61" t="str">
            <v>°F</v>
          </cell>
        </row>
        <row r="62">
          <cell r="B62" t="str">
            <v>T_Max_T</v>
          </cell>
          <cell r="C62" t="str">
            <v>Time of dry-bulb temperature maximum</v>
          </cell>
          <cell r="D62" t="str">
            <v>seconds</v>
          </cell>
          <cell r="E62" t="str">
            <v>seconds</v>
          </cell>
        </row>
        <row r="63">
          <cell r="B63" t="str">
            <v>T_Min</v>
          </cell>
          <cell r="C63" t="str">
            <v>dry-bulb temperature minimum</v>
          </cell>
          <cell r="D63" t="str">
            <v>°C</v>
          </cell>
          <cell r="E63" t="str">
            <v>°F</v>
          </cell>
        </row>
        <row r="64">
          <cell r="B64" t="str">
            <v>T_Min_T</v>
          </cell>
          <cell r="C64" t="str">
            <v>Time of dry-bulb temperature minimum</v>
          </cell>
          <cell r="D64" t="str">
            <v>seconds</v>
          </cell>
          <cell r="E64" t="str">
            <v>seconds</v>
          </cell>
        </row>
        <row r="65">
          <cell r="B65" t="str">
            <v>T_P</v>
          </cell>
          <cell r="C65" t="str">
            <v>Dry-bulb temperature Positive</v>
          </cell>
          <cell r="D65" t="str">
            <v>°C</v>
          </cell>
          <cell r="E65" t="str">
            <v>°F</v>
          </cell>
        </row>
        <row r="66">
          <cell r="B66" t="str">
            <v>T_N</v>
          </cell>
          <cell r="C66" t="str">
            <v>Dry-bulb temperature Negative</v>
          </cell>
          <cell r="D66" t="str">
            <v>°C</v>
          </cell>
          <cell r="E66" t="str">
            <v>°F</v>
          </cell>
        </row>
        <row r="67">
          <cell r="B67" t="str">
            <v>W_Max</v>
          </cell>
          <cell r="C67" t="str">
            <v>1- Humidity ratio maximum (kg/kg)</v>
          </cell>
          <cell r="D67" t="str">
            <v>kg/kg</v>
          </cell>
          <cell r="E67" t="str">
            <v>lb/lb</v>
          </cell>
        </row>
        <row r="68">
          <cell r="B68" t="str">
            <v>W_Max_T</v>
          </cell>
          <cell r="C68" t="str">
            <v>Time of Humidity ration maximum</v>
          </cell>
          <cell r="D68" t="str">
            <v>seconds</v>
          </cell>
          <cell r="E68" t="str">
            <v>seconds</v>
          </cell>
        </row>
        <row r="69">
          <cell r="B69" t="str">
            <v>W_Min</v>
          </cell>
          <cell r="C69" t="str">
            <v>Humidity ratio minimum</v>
          </cell>
          <cell r="D69" t="str">
            <v>kg/kg</v>
          </cell>
          <cell r="E69" t="str">
            <v>lb/lb</v>
          </cell>
        </row>
        <row r="70">
          <cell r="B70" t="str">
            <v>W_Min_T</v>
          </cell>
          <cell r="C70" t="str">
            <v>Time of Humidity ratio minimum</v>
          </cell>
          <cell r="D70" t="str">
            <v>seconds</v>
          </cell>
          <cell r="E70" t="str">
            <v>seconds</v>
          </cell>
        </row>
        <row r="71">
          <cell r="B71" t="str">
            <v>W_A</v>
          </cell>
          <cell r="C71" t="str">
            <v>Average Humidity ratio</v>
          </cell>
          <cell r="D71" t="str">
            <v>kg/kg</v>
          </cell>
          <cell r="E71" t="str">
            <v>lb/lb</v>
          </cell>
        </row>
        <row r="72">
          <cell r="B72" t="str">
            <v>Percentage of Time Temperature is Above</v>
          </cell>
        </row>
        <row r="73">
          <cell r="B73" t="str">
            <v>TA_1</v>
          </cell>
          <cell r="C73" t="str">
            <v>Above temperature - 1</v>
          </cell>
          <cell r="D73" t="str">
            <v>°C</v>
          </cell>
          <cell r="E73" t="str">
            <v>°F</v>
          </cell>
        </row>
        <row r="74">
          <cell r="B74" t="str">
            <v>TA_2</v>
          </cell>
          <cell r="C74" t="str">
            <v>Above temperature - 2</v>
          </cell>
          <cell r="D74" t="str">
            <v>°C</v>
          </cell>
          <cell r="E74" t="str">
            <v>°F</v>
          </cell>
        </row>
        <row r="75">
          <cell r="B75" t="str">
            <v>TA_3</v>
          </cell>
          <cell r="C75" t="str">
            <v>Above temperature - 3</v>
          </cell>
          <cell r="D75" t="str">
            <v>°C</v>
          </cell>
          <cell r="E75" t="str">
            <v>°F</v>
          </cell>
        </row>
        <row r="76">
          <cell r="B76" t="str">
            <v>TA_4</v>
          </cell>
          <cell r="C76" t="str">
            <v>Above temperature - 4</v>
          </cell>
          <cell r="D76" t="str">
            <v>°C</v>
          </cell>
          <cell r="E76" t="str">
            <v>°F</v>
          </cell>
        </row>
        <row r="77">
          <cell r="B77" t="str">
            <v>TA_5</v>
          </cell>
          <cell r="C77" t="str">
            <v>Above temperature - 5</v>
          </cell>
          <cell r="D77" t="str">
            <v>°C</v>
          </cell>
          <cell r="E77" t="str">
            <v>°F</v>
          </cell>
        </row>
        <row r="78">
          <cell r="B78" t="str">
            <v>TA_6</v>
          </cell>
          <cell r="C78" t="str">
            <v>Above temperature - 6</v>
          </cell>
          <cell r="D78" t="str">
            <v>°C</v>
          </cell>
          <cell r="E78" t="str">
            <v>°F</v>
          </cell>
        </row>
        <row r="79">
          <cell r="B79" t="str">
            <v>TAP_1</v>
          </cell>
          <cell r="C79" t="str">
            <v>Percentage of Time above temperature - 1</v>
          </cell>
          <cell r="D79" t="str">
            <v>%</v>
          </cell>
          <cell r="E79" t="str">
            <v>%</v>
          </cell>
        </row>
        <row r="80">
          <cell r="B80" t="str">
            <v>TAP_2</v>
          </cell>
          <cell r="C80" t="str">
            <v>Percentage of Time above temperature - 2</v>
          </cell>
          <cell r="D80" t="str">
            <v>%</v>
          </cell>
          <cell r="E80" t="str">
            <v>%</v>
          </cell>
        </row>
        <row r="81">
          <cell r="B81" t="str">
            <v>TAP_3</v>
          </cell>
          <cell r="C81" t="str">
            <v>Percentage of Time above temperature - 3</v>
          </cell>
          <cell r="D81" t="str">
            <v>%</v>
          </cell>
          <cell r="E81" t="str">
            <v>%</v>
          </cell>
        </row>
        <row r="82">
          <cell r="B82" t="str">
            <v>TAP_4</v>
          </cell>
          <cell r="C82" t="str">
            <v>Percentage of Time above temperature - 4</v>
          </cell>
          <cell r="D82" t="str">
            <v>%</v>
          </cell>
          <cell r="E82" t="str">
            <v>%</v>
          </cell>
        </row>
        <row r="83">
          <cell r="B83" t="str">
            <v>TAP_5</v>
          </cell>
          <cell r="C83" t="str">
            <v>Percentage of Time above temperature - 5</v>
          </cell>
          <cell r="D83" t="str">
            <v>%</v>
          </cell>
          <cell r="E83" t="str">
            <v>%</v>
          </cell>
        </row>
        <row r="84">
          <cell r="B84" t="str">
            <v>TAP_6</v>
          </cell>
          <cell r="C84" t="str">
            <v>Percentage of Time above temperature - 6</v>
          </cell>
          <cell r="D84" t="str">
            <v>%</v>
          </cell>
          <cell r="E84" t="str">
            <v>%</v>
          </cell>
        </row>
        <row r="85">
          <cell r="B85" t="str">
            <v>TRAIN ENERGY SUMMARY</v>
          </cell>
        </row>
        <row r="86">
          <cell r="B86" t="str">
            <v>ES</v>
          </cell>
          <cell r="C86" t="str">
            <v>Energy Sector</v>
          </cell>
          <cell r="D86" t="str">
            <v>#</v>
          </cell>
          <cell r="E86" t="str">
            <v>#</v>
          </cell>
        </row>
        <row r="87">
          <cell r="B87" t="str">
            <v>ET</v>
          </cell>
          <cell r="C87" t="str">
            <v>Propulsion Energy From Third Rail</v>
          </cell>
          <cell r="D87" t="str">
            <v>KWh</v>
          </cell>
          <cell r="E87" t="str">
            <v>KWh</v>
          </cell>
        </row>
        <row r="88">
          <cell r="B88" t="str">
            <v>EF</v>
          </cell>
          <cell r="C88" t="str">
            <v>Propulsion Energy From Flywheel</v>
          </cell>
          <cell r="D88" t="str">
            <v>KWh</v>
          </cell>
          <cell r="E88" t="str">
            <v>KWh</v>
          </cell>
        </row>
        <row r="89">
          <cell r="B89" t="str">
            <v>EA</v>
          </cell>
          <cell r="C89" t="str">
            <v>Auxiliary Energy Consumed</v>
          </cell>
          <cell r="D89" t="str">
            <v>KWh</v>
          </cell>
          <cell r="E89" t="str">
            <v>KWh</v>
          </cell>
        </row>
        <row r="90">
          <cell r="B90" t="str">
            <v>ER</v>
          </cell>
          <cell r="C90" t="str">
            <v>Energy Regenerated</v>
          </cell>
          <cell r="D90" t="str">
            <v>KWh</v>
          </cell>
          <cell r="E90" t="str">
            <v>KWh</v>
          </cell>
        </row>
        <row r="91">
          <cell r="B91" t="str">
            <v>Heat Sink Analysis (for uncontrolled zones)</v>
          </cell>
        </row>
        <row r="92">
          <cell r="B92" t="str">
            <v>MWT</v>
          </cell>
          <cell r="C92" t="str">
            <v>Morning Wall Temperature</v>
          </cell>
          <cell r="D92" t="str">
            <v>°C</v>
          </cell>
          <cell r="E92" t="str">
            <v>°F</v>
          </cell>
        </row>
        <row r="93">
          <cell r="B93" t="str">
            <v>EWT</v>
          </cell>
          <cell r="C93" t="str">
            <v>Evening Wall Temperature</v>
          </cell>
          <cell r="D93" t="str">
            <v>°C</v>
          </cell>
          <cell r="E93" t="str">
            <v>°F</v>
          </cell>
        </row>
        <row r="94">
          <cell r="B94" t="str">
            <v>MAT</v>
          </cell>
          <cell r="C94" t="str">
            <v>Morning Air Temperature</v>
          </cell>
          <cell r="D94" t="str">
            <v>°C</v>
          </cell>
          <cell r="E94" t="str">
            <v>°F</v>
          </cell>
        </row>
        <row r="95">
          <cell r="B95" t="str">
            <v>EAT</v>
          </cell>
          <cell r="C95" t="str">
            <v>Evening Air Temperature</v>
          </cell>
          <cell r="D95" t="str">
            <v>°C</v>
          </cell>
          <cell r="E95" t="str">
            <v>°F</v>
          </cell>
        </row>
        <row r="96">
          <cell r="B96" t="str">
            <v>MH</v>
          </cell>
          <cell r="C96" t="str">
            <v>Morning Humidity Ratio</v>
          </cell>
          <cell r="D96" t="str">
            <v>kg/kg</v>
          </cell>
          <cell r="E96" t="str">
            <v>lb/lb</v>
          </cell>
        </row>
        <row r="97">
          <cell r="B97" t="str">
            <v>EH</v>
          </cell>
          <cell r="C97" t="str">
            <v>Evening Humidity Ratio</v>
          </cell>
          <cell r="D97" t="str">
            <v>kg/kg</v>
          </cell>
          <cell r="E97" t="str">
            <v>lb/lb</v>
          </cell>
        </row>
        <row r="98">
          <cell r="B98" t="str">
            <v>Environmental Control System Load Estimates</v>
          </cell>
        </row>
        <row r="99">
          <cell r="B99" t="str">
            <v>TM_S</v>
          </cell>
          <cell r="C99" t="str">
            <v>Sensible Heat Load From Trains and Misc.</v>
          </cell>
          <cell r="D99" t="str">
            <v>W</v>
          </cell>
          <cell r="E99" t="str">
            <v>BTU/HR</v>
          </cell>
        </row>
        <row r="100">
          <cell r="B100" t="str">
            <v>TM_L</v>
          </cell>
          <cell r="C100" t="str">
            <v>Latent Heat Load From Trains and Misc.</v>
          </cell>
          <cell r="D100" t="str">
            <v>W</v>
          </cell>
          <cell r="E100" t="str">
            <v>BTU/HR</v>
          </cell>
        </row>
        <row r="101">
          <cell r="B101" t="str">
            <v>SS_S</v>
          </cell>
          <cell r="C101" t="str">
            <v>Sensible Heat Load From Steady State Sources</v>
          </cell>
          <cell r="D101" t="str">
            <v>W</v>
          </cell>
          <cell r="E101" t="str">
            <v>BTU/HR</v>
          </cell>
        </row>
        <row r="102">
          <cell r="B102" t="str">
            <v>SS_L</v>
          </cell>
          <cell r="C102" t="str">
            <v>Latent Heat Load From Steady State Sources</v>
          </cell>
          <cell r="D102" t="str">
            <v>W</v>
          </cell>
          <cell r="E102" t="str">
            <v>BTU/HR</v>
          </cell>
        </row>
        <row r="103">
          <cell r="B103" t="str">
            <v>HS_S</v>
          </cell>
          <cell r="C103" t="str">
            <v>Sensible Heat Load From Heat Sink</v>
          </cell>
          <cell r="D103" t="str">
            <v>W</v>
          </cell>
          <cell r="E103" t="str">
            <v>BTU/HR</v>
          </cell>
        </row>
        <row r="104">
          <cell r="B104" t="str">
            <v>A_S</v>
          </cell>
          <cell r="C104" t="str">
            <v>Sensible Heat Load From Airflow</v>
          </cell>
          <cell r="D104" t="str">
            <v>W</v>
          </cell>
          <cell r="E104" t="str">
            <v>BTU/HR</v>
          </cell>
        </row>
        <row r="105">
          <cell r="B105" t="str">
            <v>A_L</v>
          </cell>
          <cell r="C105" t="str">
            <v>Latent Heat Load From Airflow</v>
          </cell>
          <cell r="D105" t="str">
            <v>W</v>
          </cell>
          <cell r="E105" t="str">
            <v>BTU/HR</v>
          </cell>
        </row>
        <row r="106">
          <cell r="B106" t="str">
            <v>EC_S</v>
          </cell>
          <cell r="C106" t="str">
            <v>Sensible Heat Load From ECS</v>
          </cell>
          <cell r="D106" t="str">
            <v>W</v>
          </cell>
          <cell r="E106" t="str">
            <v>BTU/HR</v>
          </cell>
        </row>
        <row r="107">
          <cell r="B107" t="str">
            <v>EC_L</v>
          </cell>
          <cell r="C107" t="str">
            <v>Latent Heat Load From ECS</v>
          </cell>
          <cell r="D107" t="str">
            <v>W</v>
          </cell>
          <cell r="E107" t="str">
            <v>BTU/HR</v>
          </cell>
        </row>
        <row r="108">
          <cell r="B108" t="str">
            <v>TR_S</v>
          </cell>
          <cell r="C108" t="str">
            <v>Estimated Sensible Heat Load From ECS</v>
          </cell>
          <cell r="D108" t="str">
            <v>W</v>
          </cell>
          <cell r="E108" t="str">
            <v>BTU/HR</v>
          </cell>
        </row>
        <row r="109">
          <cell r="B109" t="str">
            <v>TR_L</v>
          </cell>
          <cell r="C109" t="str">
            <v>Estimated Latent Heat Load From ECS</v>
          </cell>
          <cell r="D109" t="str">
            <v>W</v>
          </cell>
          <cell r="E109" t="str">
            <v>BTU/HR</v>
          </cell>
        </row>
        <row r="110">
          <cell r="B110" t="str">
            <v>TR_T</v>
          </cell>
          <cell r="C110" t="str">
            <v>Estimated Total Heat Load From ECS</v>
          </cell>
          <cell r="D110" t="str">
            <v>W</v>
          </cell>
          <cell r="E110" t="str">
            <v>BTU/HR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F09415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1892-B30A-492B-A0F1-1DEB95A1660F}">
  <dimension ref="A1:X37"/>
  <sheetViews>
    <sheetView topLeftCell="A14" workbookViewId="0">
      <selection activeCell="J24" sqref="J24"/>
    </sheetView>
  </sheetViews>
  <sheetFormatPr defaultRowHeight="15" x14ac:dyDescent="0.25"/>
  <cols>
    <col min="2" max="2" width="14.42578125" customWidth="1"/>
    <col min="3" max="3" width="24.42578125" hidden="1" customWidth="1"/>
    <col min="4" max="9" width="0" hidden="1" customWidth="1"/>
    <col min="11" max="11" width="31.140625" customWidth="1"/>
    <col min="12" max="12" width="11.7109375" customWidth="1"/>
  </cols>
  <sheetData>
    <row r="1" spans="1:24" hidden="1" x14ac:dyDescent="0.25">
      <c r="A1" t="s">
        <v>46</v>
      </c>
    </row>
    <row r="2" spans="1:24" hidden="1" x14ac:dyDescent="0.25"/>
    <row r="3" spans="1:24" hidden="1" x14ac:dyDescent="0.25">
      <c r="B3" t="s">
        <v>47</v>
      </c>
      <c r="C3" t="s">
        <v>48</v>
      </c>
      <c r="E3" t="s">
        <v>49</v>
      </c>
      <c r="I3" t="s">
        <v>50</v>
      </c>
    </row>
    <row r="4" spans="1:24" hidden="1" x14ac:dyDescent="0.25">
      <c r="B4" t="s">
        <v>54</v>
      </c>
      <c r="C4" s="3" t="str">
        <f>SSA!C4</f>
        <v>Airflow</v>
      </c>
      <c r="D4" s="3" t="str">
        <f>SSA!D4</f>
        <v>AirVel</v>
      </c>
      <c r="E4" s="3" t="str">
        <f>SST!D4</f>
        <v>AirTemp</v>
      </c>
      <c r="F4" s="3" t="str">
        <f>SST!E4</f>
        <v>Humidity</v>
      </c>
      <c r="G4" s="3" t="str">
        <f>SST!F4</f>
        <v>Sensible</v>
      </c>
      <c r="H4" s="3" t="str">
        <f>SST!G4</f>
        <v>Latent</v>
      </c>
      <c r="I4" s="3" t="str">
        <f>TRA!C4</f>
        <v>RTE</v>
      </c>
      <c r="J4" s="3" t="str">
        <f>TRA!D4</f>
        <v>TYP</v>
      </c>
      <c r="K4" s="3" t="str">
        <f>TRA!E4</f>
        <v>Location</v>
      </c>
      <c r="L4" s="3" t="str">
        <f>TRA!F4</f>
        <v>Speed</v>
      </c>
      <c r="M4" s="3" t="str">
        <f>TRA!G4</f>
        <v>Accel</v>
      </c>
      <c r="N4" s="3" t="str">
        <f>TRA!H4</f>
        <v>Drag_KN</v>
      </c>
      <c r="O4" s="3" t="str">
        <f>TRA!I4</f>
        <v>Drag_COEFF</v>
      </c>
      <c r="P4" s="3" t="str">
        <f>TRA!J4</f>
        <v>Tractive</v>
      </c>
      <c r="Q4" s="3" t="str">
        <f>TRA!K4</f>
        <v>M_Current</v>
      </c>
      <c r="R4" s="3" t="str">
        <f>TRA!L4</f>
        <v>L_Current</v>
      </c>
      <c r="S4" s="3" t="str">
        <f>TRA!M4</f>
        <v>FLY</v>
      </c>
      <c r="T4" s="3" t="str">
        <f>TRA!N4</f>
        <v>M_Eff</v>
      </c>
      <c r="U4" s="3" t="str">
        <f>TRA!O4</f>
        <v>G_Accel</v>
      </c>
      <c r="V4" s="3" t="str">
        <f>TRA!P4</f>
        <v>G_Decel</v>
      </c>
      <c r="W4" s="3" t="str">
        <f>TRA!Q4</f>
        <v>H_Gen</v>
      </c>
      <c r="X4" s="3" t="str">
        <f>TRA!R4</f>
        <v>H_Reject</v>
      </c>
    </row>
    <row r="5" spans="1:24" hidden="1" x14ac:dyDescent="0.25">
      <c r="B5" s="3" t="str">
        <f>SSA!B5</f>
        <v>count</v>
      </c>
      <c r="C5">
        <f>SSA!C5</f>
        <v>120</v>
      </c>
      <c r="D5">
        <f>SSA!D5</f>
        <v>120</v>
      </c>
      <c r="E5">
        <f>SST!D5</f>
        <v>150</v>
      </c>
      <c r="F5">
        <f>SST!E5</f>
        <v>150</v>
      </c>
      <c r="G5">
        <f>SST!F5</f>
        <v>6</v>
      </c>
      <c r="H5">
        <f>SST!G5</f>
        <v>6</v>
      </c>
      <c r="I5">
        <f>TRA!C5</f>
        <v>25</v>
      </c>
      <c r="J5">
        <f>TRA!D5</f>
        <v>25</v>
      </c>
      <c r="K5">
        <f>TRA!E5</f>
        <v>25</v>
      </c>
      <c r="L5">
        <f>TRA!F5</f>
        <v>0</v>
      </c>
      <c r="M5">
        <f>TRA!G5</f>
        <v>0</v>
      </c>
      <c r="N5">
        <f>TRA!H5</f>
        <v>24</v>
      </c>
      <c r="O5">
        <f>TRA!I5</f>
        <v>0</v>
      </c>
      <c r="P5">
        <f>TRA!J5</f>
        <v>0</v>
      </c>
      <c r="Q5">
        <f>TRA!K5</f>
        <v>0</v>
      </c>
      <c r="R5">
        <f>TRA!L5</f>
        <v>0</v>
      </c>
      <c r="S5">
        <f>TRA!M5</f>
        <v>0</v>
      </c>
      <c r="T5">
        <f>TRA!N5</f>
        <v>0</v>
      </c>
      <c r="U5">
        <f>TRA!O5</f>
        <v>25</v>
      </c>
      <c r="V5">
        <f>TRA!P5</f>
        <v>25</v>
      </c>
      <c r="W5">
        <f>TRA!Q5</f>
        <v>25</v>
      </c>
      <c r="X5">
        <f>TRA!R5</f>
        <v>25</v>
      </c>
    </row>
    <row r="6" spans="1:24" hidden="1" x14ac:dyDescent="0.25">
      <c r="B6" s="3" t="s">
        <v>67</v>
      </c>
      <c r="C6">
        <f>SSA!C6</f>
        <v>5.8339705300296849E-5</v>
      </c>
      <c r="D6">
        <f>SSA!D6</f>
        <v>0</v>
      </c>
      <c r="E6">
        <f>SST!D6</f>
        <v>1.1091739784377819E-2</v>
      </c>
      <c r="F6">
        <f>SST!E6</f>
        <v>9.2889756195472836E-2</v>
      </c>
      <c r="G6">
        <f>SST!F6</f>
        <v>0</v>
      </c>
      <c r="H6">
        <f>SST!G6</f>
        <v>0</v>
      </c>
      <c r="I6">
        <f>TRA!C6</f>
        <v>0</v>
      </c>
      <c r="J6">
        <f>TRA!D6</f>
        <v>0</v>
      </c>
      <c r="K6">
        <f>TRA!E6</f>
        <v>0</v>
      </c>
      <c r="L6">
        <f>TRA!F6</f>
        <v>0</v>
      </c>
      <c r="M6">
        <f>TRA!G6</f>
        <v>0</v>
      </c>
      <c r="N6">
        <f>TRA!H6</f>
        <v>0</v>
      </c>
      <c r="O6">
        <f>TRA!I6</f>
        <v>0</v>
      </c>
      <c r="P6">
        <f>TRA!J6</f>
        <v>0</v>
      </c>
      <c r="Q6">
        <f>TRA!K6</f>
        <v>0</v>
      </c>
      <c r="R6">
        <f>TRA!L6</f>
        <v>0</v>
      </c>
      <c r="S6">
        <f>TRA!M6</f>
        <v>0</v>
      </c>
      <c r="T6">
        <f>TRA!N6</f>
        <v>0</v>
      </c>
      <c r="U6">
        <f>TRA!O6</f>
        <v>0</v>
      </c>
      <c r="V6">
        <f>TRA!P6</f>
        <v>0</v>
      </c>
      <c r="W6">
        <f>TRA!Q6</f>
        <v>0</v>
      </c>
      <c r="X6">
        <f>TRA!R6</f>
        <v>0</v>
      </c>
    </row>
    <row r="7" spans="1:24" hidden="1" x14ac:dyDescent="0.25">
      <c r="B7" s="3" t="str">
        <f>SSA!B7</f>
        <v>std</v>
      </c>
      <c r="C7">
        <f>SSA!C7</f>
        <v>9.3281477450058185E-5</v>
      </c>
      <c r="D7">
        <f>SSA!D7</f>
        <v>0</v>
      </c>
      <c r="E7">
        <f>SST!D7</f>
        <v>1.386221993274662E-2</v>
      </c>
      <c r="F7">
        <f>SST!E7</f>
        <v>8.9911094554621249E-2</v>
      </c>
      <c r="G7">
        <f>SST!F7</f>
        <v>0</v>
      </c>
      <c r="H7">
        <f>SST!G7</f>
        <v>0</v>
      </c>
      <c r="I7">
        <f>TRA!C7</f>
        <v>0</v>
      </c>
      <c r="J7">
        <f>TRA!D7</f>
        <v>0</v>
      </c>
      <c r="K7">
        <f>TRA!E7</f>
        <v>0</v>
      </c>
      <c r="L7">
        <f>TRA!F7</f>
        <v>0</v>
      </c>
      <c r="M7">
        <f>TRA!G7</f>
        <v>0</v>
      </c>
      <c r="N7">
        <f>TRA!H7</f>
        <v>0</v>
      </c>
      <c r="O7">
        <f>TRA!I7</f>
        <v>0</v>
      </c>
      <c r="P7">
        <f>TRA!J7</f>
        <v>0</v>
      </c>
      <c r="Q7">
        <f>TRA!K7</f>
        <v>0</v>
      </c>
      <c r="R7">
        <f>TRA!L7</f>
        <v>0</v>
      </c>
      <c r="S7">
        <f>TRA!M7</f>
        <v>0</v>
      </c>
      <c r="T7">
        <f>TRA!N7</f>
        <v>0</v>
      </c>
      <c r="U7">
        <f>TRA!O7</f>
        <v>0</v>
      </c>
      <c r="V7">
        <f>TRA!P7</f>
        <v>0</v>
      </c>
      <c r="W7">
        <f>TRA!Q7</f>
        <v>0</v>
      </c>
      <c r="X7">
        <f>TRA!R7</f>
        <v>0</v>
      </c>
    </row>
    <row r="8" spans="1:24" hidden="1" x14ac:dyDescent="0.25">
      <c r="B8" s="3" t="str">
        <f>SSA!B8</f>
        <v>min</v>
      </c>
      <c r="C8">
        <f>SSA!C8</f>
        <v>0</v>
      </c>
      <c r="D8">
        <f>SSA!D8</f>
        <v>0</v>
      </c>
      <c r="E8">
        <f>SST!D8</f>
        <v>0</v>
      </c>
      <c r="F8">
        <f>SST!E8</f>
        <v>0</v>
      </c>
      <c r="G8">
        <f>SST!F8</f>
        <v>0</v>
      </c>
      <c r="H8">
        <f>SST!G8</f>
        <v>0</v>
      </c>
      <c r="I8">
        <f>TRA!C8</f>
        <v>0</v>
      </c>
      <c r="J8">
        <f>TRA!D8</f>
        <v>0</v>
      </c>
      <c r="K8">
        <f>TRA!E8</f>
        <v>0</v>
      </c>
      <c r="L8">
        <f>TRA!F8</f>
        <v>0</v>
      </c>
      <c r="M8">
        <f>TRA!G8</f>
        <v>0</v>
      </c>
      <c r="N8">
        <f>TRA!H8</f>
        <v>0</v>
      </c>
      <c r="O8">
        <f>TRA!I8</f>
        <v>0</v>
      </c>
      <c r="P8">
        <f>TRA!J8</f>
        <v>0</v>
      </c>
      <c r="Q8">
        <f>TRA!K8</f>
        <v>0</v>
      </c>
      <c r="R8">
        <f>TRA!L8</f>
        <v>0</v>
      </c>
      <c r="S8">
        <f>TRA!M8</f>
        <v>0</v>
      </c>
      <c r="T8">
        <f>TRA!N8</f>
        <v>0</v>
      </c>
      <c r="U8">
        <f>TRA!O8</f>
        <v>0</v>
      </c>
      <c r="V8">
        <f>TRA!P8</f>
        <v>0</v>
      </c>
      <c r="W8">
        <f>TRA!Q8</f>
        <v>0</v>
      </c>
      <c r="X8">
        <f>TRA!R8</f>
        <v>0</v>
      </c>
    </row>
    <row r="9" spans="1:24" hidden="1" x14ac:dyDescent="0.25">
      <c r="B9" s="3" t="str">
        <f>SSA!B9</f>
        <v>25%</v>
      </c>
      <c r="C9">
        <f>SSA!C9</f>
        <v>0</v>
      </c>
      <c r="D9">
        <f>SSA!D9</f>
        <v>0</v>
      </c>
      <c r="E9">
        <f>SST!D9</f>
        <v>0</v>
      </c>
      <c r="F9">
        <f>SST!E9</f>
        <v>6.4102564102561488E-2</v>
      </c>
      <c r="G9">
        <f>SST!F9</f>
        <v>0</v>
      </c>
      <c r="H9">
        <f>SST!G9</f>
        <v>0</v>
      </c>
      <c r="I9">
        <f>TRA!C9</f>
        <v>0</v>
      </c>
      <c r="J9">
        <f>TRA!D9</f>
        <v>0</v>
      </c>
      <c r="K9">
        <f>TRA!E9</f>
        <v>0</v>
      </c>
      <c r="L9">
        <f>TRA!F9</f>
        <v>0</v>
      </c>
      <c r="M9">
        <f>TRA!G9</f>
        <v>0</v>
      </c>
      <c r="N9">
        <f>TRA!H9</f>
        <v>0</v>
      </c>
      <c r="O9">
        <f>TRA!I9</f>
        <v>0</v>
      </c>
      <c r="P9">
        <f>TRA!J9</f>
        <v>0</v>
      </c>
      <c r="Q9">
        <f>TRA!K9</f>
        <v>0</v>
      </c>
      <c r="R9">
        <f>TRA!L9</f>
        <v>0</v>
      </c>
      <c r="S9">
        <f>TRA!M9</f>
        <v>0</v>
      </c>
      <c r="T9">
        <f>TRA!N9</f>
        <v>0</v>
      </c>
      <c r="U9">
        <f>TRA!O9</f>
        <v>0</v>
      </c>
      <c r="V9">
        <f>TRA!P9</f>
        <v>0</v>
      </c>
      <c r="W9">
        <f>TRA!Q9</f>
        <v>0</v>
      </c>
      <c r="X9">
        <f>TRA!R9</f>
        <v>0</v>
      </c>
    </row>
    <row r="10" spans="1:24" hidden="1" x14ac:dyDescent="0.25">
      <c r="B10" s="3" t="str">
        <f>SSA!B10</f>
        <v>50%</v>
      </c>
      <c r="C10">
        <f>SSA!C10</f>
        <v>0</v>
      </c>
      <c r="D10">
        <f>SSA!D10</f>
        <v>0</v>
      </c>
      <c r="E10">
        <f>SST!D10</f>
        <v>9.5606576196936299E-3</v>
      </c>
      <c r="F10">
        <f>SST!E10</f>
        <v>6.451612903225544E-2</v>
      </c>
      <c r="G10">
        <f>SST!F10</f>
        <v>0</v>
      </c>
      <c r="H10">
        <f>SST!G10</f>
        <v>0</v>
      </c>
      <c r="I10">
        <f>TRA!C10</f>
        <v>0</v>
      </c>
      <c r="J10">
        <f>TRA!D10</f>
        <v>0</v>
      </c>
      <c r="K10">
        <f>TRA!E10</f>
        <v>0</v>
      </c>
      <c r="L10">
        <f>TRA!F10</f>
        <v>0</v>
      </c>
      <c r="M10">
        <f>TRA!G10</f>
        <v>0</v>
      </c>
      <c r="N10">
        <f>TRA!H10</f>
        <v>0</v>
      </c>
      <c r="O10">
        <f>TRA!I10</f>
        <v>0</v>
      </c>
      <c r="P10">
        <f>TRA!J10</f>
        <v>0</v>
      </c>
      <c r="Q10">
        <f>TRA!K10</f>
        <v>0</v>
      </c>
      <c r="R10">
        <f>TRA!L10</f>
        <v>0</v>
      </c>
      <c r="S10">
        <f>TRA!M10</f>
        <v>0</v>
      </c>
      <c r="T10">
        <f>TRA!N10</f>
        <v>0</v>
      </c>
      <c r="U10">
        <f>TRA!O10</f>
        <v>0</v>
      </c>
      <c r="V10">
        <f>TRA!P10</f>
        <v>0</v>
      </c>
      <c r="W10">
        <f>TRA!Q10</f>
        <v>0</v>
      </c>
      <c r="X10">
        <f>TRA!R10</f>
        <v>0</v>
      </c>
    </row>
    <row r="11" spans="1:24" hidden="1" x14ac:dyDescent="0.25">
      <c r="B11" s="3" t="str">
        <f>SSA!B11</f>
        <v>75%</v>
      </c>
      <c r="C11">
        <f>SSA!C11</f>
        <v>1.2783880220249751E-4</v>
      </c>
      <c r="D11">
        <f>SSA!D11</f>
        <v>0</v>
      </c>
      <c r="E11">
        <f>SST!D11</f>
        <v>1.1764705882358961E-2</v>
      </c>
      <c r="F11">
        <f>SST!E11</f>
        <v>0.128205128205123</v>
      </c>
      <c r="G11">
        <f>SST!F11</f>
        <v>0</v>
      </c>
      <c r="H11">
        <f>SST!G11</f>
        <v>0</v>
      </c>
      <c r="I11">
        <f>TRA!C11</f>
        <v>0</v>
      </c>
      <c r="J11">
        <f>TRA!D11</f>
        <v>0</v>
      </c>
      <c r="K11">
        <f>TRA!E11</f>
        <v>0</v>
      </c>
      <c r="L11">
        <f>TRA!F11</f>
        <v>0</v>
      </c>
      <c r="M11">
        <f>TRA!G11</f>
        <v>0</v>
      </c>
      <c r="N11">
        <f>TRA!H11</f>
        <v>0</v>
      </c>
      <c r="O11">
        <f>TRA!I11</f>
        <v>0</v>
      </c>
      <c r="P11">
        <f>TRA!J11</f>
        <v>0</v>
      </c>
      <c r="Q11">
        <f>TRA!K11</f>
        <v>0</v>
      </c>
      <c r="R11">
        <f>TRA!L11</f>
        <v>0</v>
      </c>
      <c r="S11">
        <f>TRA!M11</f>
        <v>0</v>
      </c>
      <c r="T11">
        <f>TRA!N11</f>
        <v>0</v>
      </c>
      <c r="U11">
        <f>TRA!O11</f>
        <v>0</v>
      </c>
      <c r="V11">
        <f>TRA!P11</f>
        <v>0</v>
      </c>
      <c r="W11">
        <f>TRA!Q11</f>
        <v>0</v>
      </c>
      <c r="X11">
        <f>TRA!R11</f>
        <v>0</v>
      </c>
    </row>
    <row r="12" spans="1:24" hidden="1" x14ac:dyDescent="0.25">
      <c r="B12" s="3" t="s">
        <v>68</v>
      </c>
      <c r="C12">
        <f>SSA!C12</f>
        <v>4.3737516585260307E-4</v>
      </c>
      <c r="D12">
        <f>SSA!D12</f>
        <v>0</v>
      </c>
      <c r="E12">
        <f>SST!D12</f>
        <v>5.8823529411761361E-2</v>
      </c>
      <c r="F12">
        <f>SST!E12</f>
        <v>0.3205128205128297</v>
      </c>
      <c r="G12">
        <f>SST!F12</f>
        <v>0</v>
      </c>
      <c r="H12">
        <f>SST!G12</f>
        <v>0</v>
      </c>
      <c r="I12">
        <f>TRA!C12</f>
        <v>0</v>
      </c>
      <c r="J12">
        <f>TRA!D12</f>
        <v>0</v>
      </c>
      <c r="K12">
        <f>TRA!E12</f>
        <v>0</v>
      </c>
      <c r="L12">
        <f>TRA!F12</f>
        <v>0</v>
      </c>
      <c r="M12">
        <f>TRA!G12</f>
        <v>0</v>
      </c>
      <c r="N12">
        <f>TRA!H12</f>
        <v>0</v>
      </c>
      <c r="O12">
        <f>TRA!I12</f>
        <v>0</v>
      </c>
      <c r="P12">
        <f>TRA!J12</f>
        <v>0</v>
      </c>
      <c r="Q12">
        <f>TRA!K12</f>
        <v>0</v>
      </c>
      <c r="R12">
        <f>TRA!L12</f>
        <v>0</v>
      </c>
      <c r="S12">
        <f>TRA!M12</f>
        <v>0</v>
      </c>
      <c r="T12">
        <f>TRA!N12</f>
        <v>0</v>
      </c>
      <c r="U12">
        <f>TRA!O12</f>
        <v>0</v>
      </c>
      <c r="V12">
        <f>TRA!P12</f>
        <v>0</v>
      </c>
      <c r="W12">
        <f>TRA!Q12</f>
        <v>0</v>
      </c>
      <c r="X12">
        <f>TRA!R12</f>
        <v>0</v>
      </c>
    </row>
    <row r="13" spans="1:24" hidden="1" x14ac:dyDescent="0.25"/>
    <row r="14" spans="1:24" x14ac:dyDescent="0.25">
      <c r="A14" t="s">
        <v>46</v>
      </c>
    </row>
    <row r="15" spans="1:24" x14ac:dyDescent="0.25">
      <c r="A15" s="48" t="str" cm="1">
        <f t="array" ref="A15:J37">TRANSPOSE(B3:X12)</f>
        <v>Sheet</v>
      </c>
      <c r="B15" s="51" t="str">
        <v>Column</v>
      </c>
      <c r="C15" s="49" t="str">
        <v>count</v>
      </c>
      <c r="D15" s="49" t="str">
        <v>Mean</v>
      </c>
      <c r="E15" s="49" t="str">
        <v>std</v>
      </c>
      <c r="F15" s="49" t="str">
        <v>min</v>
      </c>
      <c r="G15" s="49" t="str">
        <v>25%</v>
      </c>
      <c r="H15" s="49" t="str">
        <v>50%</v>
      </c>
      <c r="I15" s="49" t="str">
        <v>75%</v>
      </c>
      <c r="J15" s="49" t="str">
        <v>Max</v>
      </c>
      <c r="K15" s="50" t="s">
        <v>267</v>
      </c>
      <c r="L15" s="50" t="s">
        <v>268</v>
      </c>
    </row>
    <row r="16" spans="1:24" x14ac:dyDescent="0.25">
      <c r="A16" s="36" t="str">
        <v>SSA</v>
      </c>
      <c r="B16" s="3" t="str">
        <v>Airflow</v>
      </c>
      <c r="C16" s="37">
        <v>120</v>
      </c>
      <c r="D16" s="37">
        <v>5.8339705300296849E-5</v>
      </c>
      <c r="E16" s="37">
        <v>9.3281477450058185E-5</v>
      </c>
      <c r="F16" s="37">
        <v>0</v>
      </c>
      <c r="G16" s="37">
        <v>0</v>
      </c>
      <c r="H16" s="37">
        <v>0</v>
      </c>
      <c r="I16" s="37">
        <v>1.2783880220249751E-4</v>
      </c>
      <c r="J16" s="18">
        <v>4.3737516585260307E-4</v>
      </c>
      <c r="K16" s="18" t="str">
        <f>VLOOKUP($B16,[1]Legend!$B$2:$E$110,2,FALSE)</f>
        <v>Section Air Flow Rate</v>
      </c>
      <c r="L16" s="18" t="str">
        <f>VLOOKUP($B16,[1]Legend!$B$2:$E$110,4,FALSE)</f>
        <v>kCFM</v>
      </c>
    </row>
    <row r="17" spans="1:12" x14ac:dyDescent="0.25">
      <c r="A17" s="38">
        <v>0</v>
      </c>
      <c r="B17" s="3" t="str">
        <v>AirVel</v>
      </c>
      <c r="C17" s="39">
        <v>120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18">
        <v>0</v>
      </c>
      <c r="K17" s="18" t="str">
        <f>VLOOKUP($B17,[1]Legend!$B$2:$E$110,2,FALSE)</f>
        <v>Bulk Air Velocity</v>
      </c>
      <c r="L17" s="18" t="str">
        <f>VLOOKUP($B17,[1]Legend!$B$2:$E$110,4,FALSE)</f>
        <v>FPM</v>
      </c>
    </row>
    <row r="18" spans="1:12" x14ac:dyDescent="0.25">
      <c r="A18" s="40" t="str">
        <v>SST</v>
      </c>
      <c r="B18" s="4" t="str">
        <v>AirTemp</v>
      </c>
      <c r="C18" s="41">
        <v>150</v>
      </c>
      <c r="D18" s="41">
        <v>1.1091739784377819E-2</v>
      </c>
      <c r="E18" s="41">
        <v>1.386221993274662E-2</v>
      </c>
      <c r="F18" s="41">
        <v>0</v>
      </c>
      <c r="G18" s="41">
        <v>0</v>
      </c>
      <c r="H18" s="41">
        <v>9.5606576196936299E-3</v>
      </c>
      <c r="I18" s="41">
        <v>1.1764705882358961E-2</v>
      </c>
      <c r="J18" s="52">
        <v>5.8823529411761361E-2</v>
      </c>
      <c r="K18" s="18" t="str">
        <f>VLOOKUP($B18,[1]Legend!$B$2:$E$110,2,FALSE)</f>
        <v>Air Dry-Bulb Temperature</v>
      </c>
      <c r="L18" s="18" t="str">
        <f>VLOOKUP($B18,[1]Legend!$B$2:$E$110,4,FALSE)</f>
        <v>°F</v>
      </c>
    </row>
    <row r="19" spans="1:12" x14ac:dyDescent="0.25">
      <c r="A19" s="42">
        <v>0</v>
      </c>
      <c r="B19" s="4" t="str">
        <v>Humidity</v>
      </c>
      <c r="C19" s="43">
        <v>150</v>
      </c>
      <c r="D19" s="43">
        <v>9.2889756195472836E-2</v>
      </c>
      <c r="E19" s="43">
        <v>8.9911094554621249E-2</v>
      </c>
      <c r="F19" s="43">
        <v>0</v>
      </c>
      <c r="G19" s="43">
        <v>6.4102564102561488E-2</v>
      </c>
      <c r="H19" s="43">
        <v>6.451612903225544E-2</v>
      </c>
      <c r="I19" s="43">
        <v>0.128205128205123</v>
      </c>
      <c r="J19" s="52">
        <v>0.3205128205128297</v>
      </c>
      <c r="K19" s="18" t="str">
        <f>VLOOKUP($B19,[1]Legend!$B$2:$E$110,2,FALSE)</f>
        <v>1 - Humidity Ratio</v>
      </c>
      <c r="L19" s="18" t="str">
        <f>VLOOKUP($B19,[1]Legend!$B$2:$E$110,4,FALSE)</f>
        <v>°F</v>
      </c>
    </row>
    <row r="20" spans="1:12" x14ac:dyDescent="0.25">
      <c r="A20" s="42">
        <v>0</v>
      </c>
      <c r="B20" s="4" t="str">
        <v>Sensible</v>
      </c>
      <c r="C20" s="43">
        <v>6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52">
        <v>0</v>
      </c>
      <c r="K20" s="18" t="str">
        <f>VLOOKUP($B20,[1]Legend!$B$2:$E$110,2,FALSE)</f>
        <v>Total Sensible Heat Load</v>
      </c>
      <c r="L20" s="18" t="str">
        <f>VLOOKUP($B20,[1]Legend!$B$2:$E$110,4,FALSE)</f>
        <v>BTU/sec</v>
      </c>
    </row>
    <row r="21" spans="1:12" x14ac:dyDescent="0.25">
      <c r="A21" s="44">
        <v>0</v>
      </c>
      <c r="B21" s="4" t="str">
        <v>Latent</v>
      </c>
      <c r="C21" s="45">
        <v>6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52">
        <v>0</v>
      </c>
      <c r="K21" s="18" t="str">
        <f>VLOOKUP($B21,[1]Legend!$B$2:$E$110,2,FALSE)</f>
        <v>Total Latent Heat Load</v>
      </c>
      <c r="L21" s="18" t="str">
        <f>VLOOKUP($B21,[1]Legend!$B$2:$E$110,4,FALSE)</f>
        <v>BTU/sec</v>
      </c>
    </row>
    <row r="22" spans="1:12" x14ac:dyDescent="0.25">
      <c r="A22" s="36" t="str">
        <v>TRA</v>
      </c>
      <c r="B22" s="3" t="str">
        <v>RTE</v>
      </c>
      <c r="C22" s="37">
        <v>25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18">
        <v>0</v>
      </c>
      <c r="K22" s="18" t="str">
        <f>VLOOKUP($B22,[1]Legend!$B$2:$E$110,2,FALSE)</f>
        <v>Train route</v>
      </c>
      <c r="L22" s="18" t="str">
        <f>VLOOKUP($B22,[1]Legend!$B$2:$E$110,4,FALSE)</f>
        <v>#</v>
      </c>
    </row>
    <row r="23" spans="1:12" x14ac:dyDescent="0.25">
      <c r="A23" s="46">
        <v>0</v>
      </c>
      <c r="B23" s="3" t="str">
        <v>TYP</v>
      </c>
      <c r="C23" s="47">
        <v>25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18">
        <v>0</v>
      </c>
      <c r="K23" s="18" t="str">
        <f>VLOOKUP($B23,[1]Legend!$B$2:$E$110,2,FALSE)</f>
        <v>Train Type</v>
      </c>
      <c r="L23" s="18" t="str">
        <f>VLOOKUP($B23,[1]Legend!$B$2:$E$110,4,FALSE)</f>
        <v>#</v>
      </c>
    </row>
    <row r="24" spans="1:12" x14ac:dyDescent="0.25">
      <c r="A24" s="46">
        <v>0</v>
      </c>
      <c r="B24" s="3" t="str">
        <v>Location</v>
      </c>
      <c r="C24" s="47">
        <v>25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18">
        <v>0</v>
      </c>
      <c r="K24" s="18" t="str">
        <f>VLOOKUP($B24,[1]Legend!$B$2:$E$110,2,FALSE)</f>
        <v>Train Location</v>
      </c>
      <c r="L24" s="18" t="str">
        <f>VLOOKUP($B24,[1]Legend!$B$2:$E$110,4,FALSE)</f>
        <v>ft</v>
      </c>
    </row>
    <row r="25" spans="1:12" x14ac:dyDescent="0.25">
      <c r="A25" s="46">
        <v>0</v>
      </c>
      <c r="B25" s="3" t="str">
        <v>Speed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18">
        <v>0</v>
      </c>
      <c r="K25" s="18" t="str">
        <f>VLOOKUP($B25,[1]Legend!$B$2:$E$110,2,FALSE)</f>
        <v>Train Speed</v>
      </c>
      <c r="L25" s="18" t="str">
        <f>VLOOKUP($B25,[1]Legend!$B$2:$E$110,4,FALSE)</f>
        <v>mph</v>
      </c>
    </row>
    <row r="26" spans="1:12" x14ac:dyDescent="0.25">
      <c r="A26" s="46">
        <v>0</v>
      </c>
      <c r="B26" s="3" t="str">
        <v>Accel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18">
        <v>0</v>
      </c>
      <c r="K26" s="18" t="str">
        <f>VLOOKUP($B26,[1]Legend!$B$2:$E$110,2,FALSE)</f>
        <v>Train Acceleration</v>
      </c>
      <c r="L26" s="18" t="str">
        <f>VLOOKUP($B26,[1]Legend!$B$2:$E$110,4,FALSE)</f>
        <v>mph/sec</v>
      </c>
    </row>
    <row r="27" spans="1:12" x14ac:dyDescent="0.25">
      <c r="A27" s="46">
        <v>0</v>
      </c>
      <c r="B27" s="3" t="str">
        <v>Drag_KN</v>
      </c>
      <c r="C27" s="47">
        <v>24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18">
        <v>0</v>
      </c>
      <c r="K27" s="18" t="str">
        <f>VLOOKUP($B27,[1]Legend!$B$2:$E$110,2,FALSE)</f>
        <v>Air Drag (KN)</v>
      </c>
      <c r="L27" s="18" t="str">
        <f>VLOOKUP($B27,[1]Legend!$B$2:$E$110,4,FALSE)</f>
        <v>lbs</v>
      </c>
    </row>
    <row r="28" spans="1:12" x14ac:dyDescent="0.25">
      <c r="A28" s="46">
        <v>0</v>
      </c>
      <c r="B28" s="3" t="str">
        <v>Drag_COEFF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18">
        <v>0</v>
      </c>
      <c r="K28" s="18" t="str">
        <f>VLOOKUP($B28,[1]Legend!$B$2:$E$110,2,FALSE)</f>
        <v>Air Drag (COEFF)</v>
      </c>
      <c r="L28" s="18" t="str">
        <f>VLOOKUP($B28,[1]Legend!$B$2:$E$110,4,FALSE)</f>
        <v>#</v>
      </c>
    </row>
    <row r="29" spans="1:12" x14ac:dyDescent="0.25">
      <c r="A29" s="46">
        <v>0</v>
      </c>
      <c r="B29" s="3" t="str">
        <v>Tractive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18">
        <v>0</v>
      </c>
      <c r="K29" s="18" t="str">
        <f>VLOOKUP($B29,[1]Legend!$B$2:$E$110,2,FALSE)</f>
        <v>Tractive Effort</v>
      </c>
      <c r="L29" s="18" t="str">
        <f>VLOOKUP($B29,[1]Legend!$B$2:$E$110,4,FALSE)</f>
        <v>lbs/motor</v>
      </c>
    </row>
    <row r="30" spans="1:12" x14ac:dyDescent="0.25">
      <c r="A30" s="46">
        <v>0</v>
      </c>
      <c r="B30" s="3" t="str">
        <v>M_Current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18">
        <v>0</v>
      </c>
      <c r="K30" s="18" t="str">
        <f>VLOOKUP($B30,[1]Legend!$B$2:$E$110,2,FALSE)</f>
        <v>Motor Current</v>
      </c>
      <c r="L30" s="18" t="str">
        <f>VLOOKUP($B30,[1]Legend!$B$2:$E$110,4,FALSE)</f>
        <v>amps</v>
      </c>
    </row>
    <row r="31" spans="1:12" x14ac:dyDescent="0.25">
      <c r="A31" s="46">
        <v>0</v>
      </c>
      <c r="B31" s="3" t="str">
        <v>L_Current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18">
        <v>0</v>
      </c>
      <c r="K31" s="18" t="str">
        <f>VLOOKUP($B31,[1]Legend!$B$2:$E$110,2,FALSE)</f>
        <v>Line Current</v>
      </c>
      <c r="L31" s="18" t="str">
        <f>VLOOKUP($B31,[1]Legend!$B$2:$E$110,4,FALSE)</f>
        <v>amps</v>
      </c>
    </row>
    <row r="32" spans="1:12" x14ac:dyDescent="0.25">
      <c r="A32" s="46">
        <v>0</v>
      </c>
      <c r="B32" s="3" t="str">
        <v>FLY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18">
        <v>0</v>
      </c>
      <c r="K32" s="18" t="str">
        <f>VLOOKUP($B32,[1]Legend!$B$2:$E$110,2,FALSE)</f>
        <v>Fly Wheel</v>
      </c>
      <c r="L32" s="18" t="str">
        <f>VLOOKUP($B32,[1]Legend!$B$2:$E$110,4,FALSE)</f>
        <v>RPM</v>
      </c>
    </row>
    <row r="33" spans="1:12" x14ac:dyDescent="0.25">
      <c r="A33" s="46">
        <v>0</v>
      </c>
      <c r="B33" s="3" t="str">
        <v>M_Eff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18">
        <v>0</v>
      </c>
      <c r="K33" s="18" t="str">
        <f>VLOOKUP($B33,[1]Legend!$B$2:$E$110,2,FALSE)</f>
        <v>Motor Efficiency</v>
      </c>
      <c r="L33" s="18">
        <f>VLOOKUP($B33,[1]Legend!$B$2:$E$110,4,FALSE)</f>
        <v>0</v>
      </c>
    </row>
    <row r="34" spans="1:12" x14ac:dyDescent="0.25">
      <c r="A34" s="46">
        <v>0</v>
      </c>
      <c r="B34" s="3" t="str">
        <v>G_Accel</v>
      </c>
      <c r="C34" s="47">
        <v>25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18">
        <v>0</v>
      </c>
      <c r="K34" s="18" t="str">
        <f>VLOOKUP($B34,[1]Legend!$B$2:$E$110,2,FALSE)</f>
        <v>Grid Temperature Acceleration</v>
      </c>
      <c r="L34" s="18" t="str">
        <f>VLOOKUP($B34,[1]Legend!$B$2:$E$110,4,FALSE)</f>
        <v>°F</v>
      </c>
    </row>
    <row r="35" spans="1:12" x14ac:dyDescent="0.25">
      <c r="A35" s="46">
        <v>0</v>
      </c>
      <c r="B35" s="3" t="str">
        <v>G_Decel</v>
      </c>
      <c r="C35" s="47">
        <v>25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18">
        <v>0</v>
      </c>
      <c r="K35" s="18" t="str">
        <f>VLOOKUP($B35,[1]Legend!$B$2:$E$110,2,FALSE)</f>
        <v>Grid Temperature Deceleration</v>
      </c>
      <c r="L35" s="18" t="str">
        <f>VLOOKUP($B35,[1]Legend!$B$2:$E$110,4,FALSE)</f>
        <v>°F</v>
      </c>
    </row>
    <row r="36" spans="1:12" x14ac:dyDescent="0.25">
      <c r="A36" s="46">
        <v>0</v>
      </c>
      <c r="B36" s="3" t="str">
        <v>H_Gen</v>
      </c>
      <c r="C36" s="47">
        <v>25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18">
        <v>0</v>
      </c>
      <c r="K36" s="18" t="str">
        <f>VLOOKUP($B36,[1]Legend!$B$2:$E$110,2,FALSE)</f>
        <v>Heat generated</v>
      </c>
      <c r="L36" s="18" t="str">
        <f>VLOOKUP($B36,[1]Legend!$B$2:$E$110,4,FALSE)</f>
        <v>BTU/SEC-FT</v>
      </c>
    </row>
    <row r="37" spans="1:12" x14ac:dyDescent="0.25">
      <c r="A37" s="38">
        <v>0</v>
      </c>
      <c r="B37" s="3" t="str">
        <v>H_Reject</v>
      </c>
      <c r="C37" s="39">
        <v>25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18">
        <v>0</v>
      </c>
      <c r="K37" s="18" t="str">
        <f>VLOOKUP($B37,[1]Legend!$B$2:$E$110,2,FALSE)</f>
        <v>Heat rejected</v>
      </c>
      <c r="L37" s="18" t="str">
        <f>VLOOKUP($B37,[1]Legend!$B$2:$E$110,4,FALSE)</f>
        <v>BTU/SEC-FT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8DED-DD57-4B00-B702-1A2487F8EE50}">
  <dimension ref="A1:F110"/>
  <sheetViews>
    <sheetView workbookViewId="0">
      <selection activeCell="F30" sqref="F30"/>
    </sheetView>
  </sheetViews>
  <sheetFormatPr defaultRowHeight="15" x14ac:dyDescent="0.25"/>
  <cols>
    <col min="1" max="1" width="6.28515625" bestFit="1" customWidth="1"/>
    <col min="2" max="2" width="15" customWidth="1"/>
    <col min="3" max="3" width="53.42578125" bestFit="1" customWidth="1"/>
    <col min="4" max="4" width="8.5703125" style="27" customWidth="1"/>
    <col min="5" max="5" width="12" style="27" customWidth="1"/>
    <col min="6" max="6" width="45.85546875" bestFit="1" customWidth="1"/>
  </cols>
  <sheetData>
    <row r="1" spans="1:6" ht="30" x14ac:dyDescent="0.25">
      <c r="A1" s="5" t="s">
        <v>69</v>
      </c>
      <c r="B1" s="6" t="s">
        <v>70</v>
      </c>
      <c r="C1" s="6" t="s">
        <v>71</v>
      </c>
      <c r="D1" s="7" t="s">
        <v>72</v>
      </c>
      <c r="E1" s="7" t="s">
        <v>73</v>
      </c>
      <c r="F1" s="7" t="s">
        <v>74</v>
      </c>
    </row>
    <row r="2" spans="1:6" ht="14.25" customHeight="1" x14ac:dyDescent="0.25">
      <c r="A2" s="8" t="s">
        <v>48</v>
      </c>
      <c r="B2" s="9" t="s">
        <v>75</v>
      </c>
      <c r="C2" s="9"/>
      <c r="D2" s="10"/>
      <c r="E2" s="10"/>
      <c r="F2" s="11"/>
    </row>
    <row r="3" spans="1:6" x14ac:dyDescent="0.25">
      <c r="A3" s="12"/>
      <c r="B3" s="13" t="s">
        <v>17</v>
      </c>
      <c r="C3" s="13" t="s">
        <v>76</v>
      </c>
      <c r="D3" s="14" t="s">
        <v>77</v>
      </c>
      <c r="E3" s="14" t="s">
        <v>77</v>
      </c>
      <c r="F3" s="15"/>
    </row>
    <row r="4" spans="1:6" x14ac:dyDescent="0.25">
      <c r="A4" s="16"/>
      <c r="B4" s="16" t="s">
        <v>18</v>
      </c>
      <c r="C4" s="16" t="s">
        <v>78</v>
      </c>
      <c r="D4" s="17" t="s">
        <v>79</v>
      </c>
      <c r="E4" s="17" t="s">
        <v>79</v>
      </c>
      <c r="F4" s="16"/>
    </row>
    <row r="5" spans="1:6" x14ac:dyDescent="0.25">
      <c r="A5" s="18"/>
      <c r="B5" s="18" t="s">
        <v>80</v>
      </c>
      <c r="C5" s="18" t="s">
        <v>81</v>
      </c>
      <c r="D5" s="14"/>
      <c r="E5" s="14"/>
      <c r="F5" s="18" t="s">
        <v>82</v>
      </c>
    </row>
    <row r="6" spans="1:6" x14ac:dyDescent="0.25">
      <c r="A6" s="16"/>
      <c r="B6" s="16" t="s">
        <v>81</v>
      </c>
      <c r="C6" s="16"/>
      <c r="D6" s="17"/>
      <c r="E6" s="17"/>
      <c r="F6" s="16"/>
    </row>
    <row r="7" spans="1:6" ht="17.25" x14ac:dyDescent="0.25">
      <c r="A7" s="18"/>
      <c r="B7" s="18" t="s">
        <v>4</v>
      </c>
      <c r="C7" s="18" t="s">
        <v>83</v>
      </c>
      <c r="D7" s="14" t="s">
        <v>84</v>
      </c>
      <c r="E7" s="14" t="s">
        <v>85</v>
      </c>
      <c r="F7" s="18" t="s">
        <v>86</v>
      </c>
    </row>
    <row r="8" spans="1:6" x14ac:dyDescent="0.25">
      <c r="A8" s="16"/>
      <c r="B8" s="16" t="s">
        <v>5</v>
      </c>
      <c r="C8" s="16" t="s">
        <v>87</v>
      </c>
      <c r="D8" s="17" t="s">
        <v>88</v>
      </c>
      <c r="E8" s="17" t="s">
        <v>89</v>
      </c>
      <c r="F8" s="16"/>
    </row>
    <row r="9" spans="1:6" ht="14.25" customHeight="1" x14ac:dyDescent="0.25">
      <c r="A9" s="8" t="s">
        <v>49</v>
      </c>
      <c r="B9" s="9" t="s">
        <v>90</v>
      </c>
      <c r="C9" s="9"/>
      <c r="D9" s="10"/>
      <c r="E9" s="10"/>
      <c r="F9" s="11"/>
    </row>
    <row r="10" spans="1:6" x14ac:dyDescent="0.25">
      <c r="A10" s="12"/>
      <c r="B10" s="13" t="s">
        <v>17</v>
      </c>
      <c r="C10" s="13" t="s">
        <v>76</v>
      </c>
      <c r="D10" s="14" t="s">
        <v>77</v>
      </c>
      <c r="E10" s="14" t="s">
        <v>77</v>
      </c>
      <c r="F10" s="15"/>
    </row>
    <row r="11" spans="1:6" x14ac:dyDescent="0.25">
      <c r="A11" s="16"/>
      <c r="B11" s="16" t="s">
        <v>18</v>
      </c>
      <c r="C11" s="16" t="s">
        <v>78</v>
      </c>
      <c r="D11" s="17" t="s">
        <v>79</v>
      </c>
      <c r="E11" s="17" t="s">
        <v>79</v>
      </c>
      <c r="F11" s="16"/>
    </row>
    <row r="12" spans="1:6" x14ac:dyDescent="0.25">
      <c r="A12" s="12"/>
      <c r="B12" s="13" t="s">
        <v>27</v>
      </c>
      <c r="C12" s="13" t="s">
        <v>91</v>
      </c>
      <c r="D12" s="14" t="s">
        <v>79</v>
      </c>
      <c r="E12" s="14" t="s">
        <v>79</v>
      </c>
      <c r="F12" s="15"/>
    </row>
    <row r="13" spans="1:6" x14ac:dyDescent="0.25">
      <c r="A13" s="12"/>
      <c r="B13" s="13" t="s">
        <v>80</v>
      </c>
      <c r="C13" s="13"/>
      <c r="D13" s="14"/>
      <c r="E13" s="14"/>
      <c r="F13" s="15"/>
    </row>
    <row r="14" spans="1:6" x14ac:dyDescent="0.25">
      <c r="A14" s="16"/>
      <c r="B14" s="16" t="s">
        <v>22</v>
      </c>
      <c r="C14" s="16" t="s">
        <v>92</v>
      </c>
      <c r="D14" s="17" t="s">
        <v>93</v>
      </c>
      <c r="E14" s="17" t="s">
        <v>94</v>
      </c>
      <c r="F14" s="16"/>
    </row>
    <row r="15" spans="1:6" x14ac:dyDescent="0.25">
      <c r="A15" s="12"/>
      <c r="B15" s="13" t="s">
        <v>23</v>
      </c>
      <c r="C15" s="13" t="s">
        <v>95</v>
      </c>
      <c r="D15" s="14" t="s">
        <v>93</v>
      </c>
      <c r="E15" s="19" t="s">
        <v>94</v>
      </c>
      <c r="F15" s="15"/>
    </row>
    <row r="16" spans="1:6" x14ac:dyDescent="0.25">
      <c r="A16" s="16"/>
      <c r="B16" s="16" t="s">
        <v>20</v>
      </c>
      <c r="C16" s="16" t="s">
        <v>96</v>
      </c>
      <c r="D16" s="20" t="s">
        <v>97</v>
      </c>
      <c r="E16" s="17" t="s">
        <v>98</v>
      </c>
      <c r="F16" s="16"/>
    </row>
    <row r="17" spans="1:6" x14ac:dyDescent="0.25">
      <c r="A17" s="12"/>
      <c r="B17" s="13" t="s">
        <v>21</v>
      </c>
      <c r="C17" s="21" t="s">
        <v>99</v>
      </c>
      <c r="D17" s="22" t="s">
        <v>100</v>
      </c>
      <c r="E17" s="14" t="s">
        <v>98</v>
      </c>
      <c r="F17" s="15"/>
    </row>
    <row r="18" spans="1:6" x14ac:dyDescent="0.25">
      <c r="A18" s="16"/>
      <c r="B18" s="16" t="s">
        <v>24</v>
      </c>
      <c r="C18" s="16" t="s">
        <v>101</v>
      </c>
      <c r="D18" s="20" t="s">
        <v>97</v>
      </c>
      <c r="E18" s="17" t="s">
        <v>98</v>
      </c>
      <c r="F18" s="16"/>
    </row>
    <row r="19" spans="1:6" x14ac:dyDescent="0.25">
      <c r="A19" s="12"/>
      <c r="B19" s="13" t="s">
        <v>25</v>
      </c>
      <c r="C19" s="13" t="s">
        <v>102</v>
      </c>
      <c r="D19" s="14" t="s">
        <v>93</v>
      </c>
      <c r="E19" s="14" t="s">
        <v>103</v>
      </c>
      <c r="F19" s="15"/>
    </row>
    <row r="20" spans="1:6" x14ac:dyDescent="0.25">
      <c r="A20" s="16"/>
      <c r="B20" s="16" t="s">
        <v>26</v>
      </c>
      <c r="C20" s="16" t="s">
        <v>104</v>
      </c>
      <c r="D20" s="17" t="s">
        <v>93</v>
      </c>
      <c r="E20" s="17" t="s">
        <v>103</v>
      </c>
      <c r="F20" s="16"/>
    </row>
    <row r="21" spans="1:6" x14ac:dyDescent="0.25">
      <c r="A21" s="12"/>
      <c r="B21" s="13" t="s">
        <v>105</v>
      </c>
      <c r="C21" s="13" t="s">
        <v>106</v>
      </c>
      <c r="D21" s="14" t="s">
        <v>97</v>
      </c>
      <c r="E21" s="14"/>
      <c r="F21" s="15"/>
    </row>
    <row r="22" spans="1:6" x14ac:dyDescent="0.25">
      <c r="A22" s="16"/>
      <c r="B22" s="16" t="s">
        <v>107</v>
      </c>
      <c r="C22" s="16" t="s">
        <v>108</v>
      </c>
      <c r="D22" s="23" t="s">
        <v>93</v>
      </c>
      <c r="E22" s="17"/>
      <c r="F22" s="16"/>
    </row>
    <row r="23" spans="1:6" x14ac:dyDescent="0.25">
      <c r="A23" s="8" t="s">
        <v>50</v>
      </c>
      <c r="B23" s="24" t="s">
        <v>109</v>
      </c>
      <c r="C23" s="24"/>
      <c r="D23" s="25"/>
      <c r="E23" s="25"/>
      <c r="F23" s="26"/>
    </row>
    <row r="24" spans="1:6" x14ac:dyDescent="0.25">
      <c r="A24" s="16"/>
      <c r="B24" s="16" t="s">
        <v>17</v>
      </c>
      <c r="C24" s="16" t="s">
        <v>17</v>
      </c>
      <c r="D24" s="17" t="s">
        <v>77</v>
      </c>
      <c r="E24" s="17" t="s">
        <v>77</v>
      </c>
      <c r="F24" s="16"/>
    </row>
    <row r="25" spans="1:6" x14ac:dyDescent="0.25">
      <c r="A25" s="12"/>
      <c r="B25" s="13" t="s">
        <v>45</v>
      </c>
      <c r="C25" s="13" t="s">
        <v>110</v>
      </c>
      <c r="D25" s="14" t="s">
        <v>79</v>
      </c>
      <c r="E25" s="14" t="s">
        <v>79</v>
      </c>
      <c r="F25" s="15"/>
    </row>
    <row r="26" spans="1:6" x14ac:dyDescent="0.25">
      <c r="A26" s="16"/>
      <c r="B26" s="16" t="s">
        <v>29</v>
      </c>
      <c r="C26" s="16" t="s">
        <v>111</v>
      </c>
      <c r="D26" s="17" t="s">
        <v>79</v>
      </c>
      <c r="E26" s="17" t="s">
        <v>79</v>
      </c>
      <c r="F26" s="16"/>
    </row>
    <row r="27" spans="1:6" x14ac:dyDescent="0.25">
      <c r="A27" s="12"/>
      <c r="B27" s="13" t="s">
        <v>30</v>
      </c>
      <c r="C27" s="13" t="s">
        <v>112</v>
      </c>
      <c r="D27" s="14" t="s">
        <v>79</v>
      </c>
      <c r="E27" s="14" t="s">
        <v>79</v>
      </c>
      <c r="F27" s="15"/>
    </row>
    <row r="28" spans="1:6" x14ac:dyDescent="0.25">
      <c r="A28" s="16"/>
      <c r="B28" s="16" t="s">
        <v>31</v>
      </c>
      <c r="C28" s="16" t="s">
        <v>113</v>
      </c>
      <c r="D28" s="17" t="s">
        <v>114</v>
      </c>
      <c r="E28" s="17" t="s">
        <v>115</v>
      </c>
      <c r="F28" s="16"/>
    </row>
    <row r="29" spans="1:6" x14ac:dyDescent="0.25">
      <c r="A29" s="12"/>
      <c r="B29" s="13" t="s">
        <v>32</v>
      </c>
      <c r="C29" s="13" t="s">
        <v>116</v>
      </c>
      <c r="D29" s="14" t="s">
        <v>117</v>
      </c>
      <c r="E29" s="14" t="s">
        <v>118</v>
      </c>
      <c r="F29" s="15"/>
    </row>
    <row r="30" spans="1:6" ht="17.25" x14ac:dyDescent="0.25">
      <c r="A30" s="16"/>
      <c r="B30" s="16" t="s">
        <v>33</v>
      </c>
      <c r="C30" s="16" t="s">
        <v>119</v>
      </c>
      <c r="D30" s="17" t="s">
        <v>120</v>
      </c>
      <c r="E30" s="17" t="s">
        <v>121</v>
      </c>
      <c r="F30" s="16"/>
    </row>
    <row r="31" spans="1:6" x14ac:dyDescent="0.25">
      <c r="A31" s="12"/>
      <c r="B31" s="13" t="s">
        <v>122</v>
      </c>
      <c r="C31" s="13" t="s">
        <v>123</v>
      </c>
      <c r="D31" s="14" t="s">
        <v>124</v>
      </c>
      <c r="E31" s="14" t="s">
        <v>125</v>
      </c>
      <c r="F31" s="15"/>
    </row>
    <row r="32" spans="1:6" x14ac:dyDescent="0.25">
      <c r="A32" s="16"/>
      <c r="B32" s="16" t="s">
        <v>126</v>
      </c>
      <c r="C32" s="16" t="s">
        <v>127</v>
      </c>
      <c r="D32" s="17" t="s">
        <v>79</v>
      </c>
      <c r="E32" s="17" t="s">
        <v>79</v>
      </c>
      <c r="F32" s="16"/>
    </row>
    <row r="33" spans="1:6" x14ac:dyDescent="0.25">
      <c r="A33" s="12"/>
      <c r="B33" s="13" t="s">
        <v>36</v>
      </c>
      <c r="C33" s="13" t="s">
        <v>128</v>
      </c>
      <c r="D33" s="14" t="s">
        <v>129</v>
      </c>
      <c r="E33" s="14" t="s">
        <v>130</v>
      </c>
      <c r="F33" s="15"/>
    </row>
    <row r="34" spans="1:6" x14ac:dyDescent="0.25">
      <c r="A34" s="16"/>
      <c r="B34" s="16" t="s">
        <v>37</v>
      </c>
      <c r="C34" s="16" t="s">
        <v>131</v>
      </c>
      <c r="D34" s="17" t="s">
        <v>132</v>
      </c>
      <c r="E34" s="17" t="s">
        <v>132</v>
      </c>
      <c r="F34" s="16"/>
    </row>
    <row r="35" spans="1:6" x14ac:dyDescent="0.25">
      <c r="A35" s="12"/>
      <c r="B35" s="13" t="s">
        <v>38</v>
      </c>
      <c r="C35" s="13" t="s">
        <v>133</v>
      </c>
      <c r="D35" s="14" t="s">
        <v>132</v>
      </c>
      <c r="E35" s="14" t="s">
        <v>132</v>
      </c>
      <c r="F35" s="15"/>
    </row>
    <row r="36" spans="1:6" x14ac:dyDescent="0.25">
      <c r="A36" s="16"/>
      <c r="B36" s="16" t="s">
        <v>39</v>
      </c>
      <c r="C36" s="16" t="s">
        <v>134</v>
      </c>
      <c r="D36" s="17" t="s">
        <v>135</v>
      </c>
      <c r="E36" s="17" t="s">
        <v>135</v>
      </c>
      <c r="F36" s="16"/>
    </row>
    <row r="37" spans="1:6" x14ac:dyDescent="0.25">
      <c r="A37" s="12"/>
      <c r="B37" s="13" t="s">
        <v>40</v>
      </c>
      <c r="C37" s="13" t="s">
        <v>269</v>
      </c>
      <c r="D37" s="14" t="s">
        <v>136</v>
      </c>
      <c r="E37" s="14"/>
      <c r="F37" s="15"/>
    </row>
    <row r="38" spans="1:6" x14ac:dyDescent="0.25">
      <c r="A38" s="16"/>
      <c r="B38" s="16" t="s">
        <v>41</v>
      </c>
      <c r="C38" s="16" t="s">
        <v>137</v>
      </c>
      <c r="D38" s="17" t="s">
        <v>97</v>
      </c>
      <c r="E38" s="17" t="s">
        <v>98</v>
      </c>
      <c r="F38" s="16"/>
    </row>
    <row r="39" spans="1:6" x14ac:dyDescent="0.25">
      <c r="A39" s="12"/>
      <c r="B39" s="13" t="s">
        <v>42</v>
      </c>
      <c r="C39" s="13" t="s">
        <v>138</v>
      </c>
      <c r="D39" s="14" t="s">
        <v>97</v>
      </c>
      <c r="E39" s="14" t="s">
        <v>98</v>
      </c>
      <c r="F39" s="15"/>
    </row>
    <row r="40" spans="1:6" x14ac:dyDescent="0.25">
      <c r="A40" s="16"/>
      <c r="B40" s="16" t="s">
        <v>43</v>
      </c>
      <c r="C40" s="16" t="s">
        <v>139</v>
      </c>
      <c r="D40" s="17" t="s">
        <v>140</v>
      </c>
      <c r="E40" s="17" t="s">
        <v>141</v>
      </c>
      <c r="F40" s="16"/>
    </row>
    <row r="41" spans="1:6" x14ac:dyDescent="0.25">
      <c r="A41" s="12"/>
      <c r="B41" s="13" t="s">
        <v>44</v>
      </c>
      <c r="C41" s="13" t="s">
        <v>142</v>
      </c>
      <c r="D41" s="14" t="s">
        <v>140</v>
      </c>
      <c r="E41" s="14" t="s">
        <v>141</v>
      </c>
      <c r="F41" s="15"/>
    </row>
    <row r="42" spans="1:6" x14ac:dyDescent="0.25">
      <c r="A42" s="8" t="s">
        <v>143</v>
      </c>
      <c r="B42" s="24" t="s">
        <v>144</v>
      </c>
      <c r="C42" s="24"/>
      <c r="D42" s="25"/>
      <c r="E42" s="25"/>
      <c r="F42" s="26"/>
    </row>
    <row r="43" spans="1:6" x14ac:dyDescent="0.25">
      <c r="A43" s="12"/>
      <c r="B43" s="13" t="s">
        <v>17</v>
      </c>
      <c r="C43" s="13" t="s">
        <v>145</v>
      </c>
      <c r="D43" s="14" t="s">
        <v>146</v>
      </c>
      <c r="E43" s="14" t="s">
        <v>146</v>
      </c>
      <c r="F43" s="15"/>
    </row>
    <row r="44" spans="1:6" ht="17.25" x14ac:dyDescent="0.25">
      <c r="A44" s="16"/>
      <c r="B44" s="16" t="s">
        <v>147</v>
      </c>
      <c r="C44" s="16" t="s">
        <v>148</v>
      </c>
      <c r="D44" s="17" t="s">
        <v>84</v>
      </c>
      <c r="E44" s="17" t="s">
        <v>85</v>
      </c>
      <c r="F44" s="16" t="s">
        <v>149</v>
      </c>
    </row>
    <row r="45" spans="1:6" x14ac:dyDescent="0.25">
      <c r="A45" s="18"/>
      <c r="B45" s="18" t="s">
        <v>150</v>
      </c>
      <c r="C45" s="18" t="s">
        <v>151</v>
      </c>
      <c r="D45" s="27" t="s">
        <v>146</v>
      </c>
      <c r="E45" s="14" t="s">
        <v>146</v>
      </c>
      <c r="F45" s="28"/>
    </row>
    <row r="46" spans="1:6" ht="17.25" x14ac:dyDescent="0.25">
      <c r="A46" s="16"/>
      <c r="B46" s="16" t="s">
        <v>152</v>
      </c>
      <c r="C46" s="16" t="s">
        <v>153</v>
      </c>
      <c r="D46" s="17" t="s">
        <v>84</v>
      </c>
      <c r="E46" s="17" t="s">
        <v>85</v>
      </c>
      <c r="F46" s="16" t="s">
        <v>149</v>
      </c>
    </row>
    <row r="47" spans="1:6" x14ac:dyDescent="0.25">
      <c r="A47" s="18"/>
      <c r="B47" s="18" t="s">
        <v>154</v>
      </c>
      <c r="C47" s="18" t="s">
        <v>155</v>
      </c>
      <c r="D47" s="14" t="s">
        <v>146</v>
      </c>
      <c r="E47" s="14" t="s">
        <v>146</v>
      </c>
      <c r="F47" s="18"/>
    </row>
    <row r="48" spans="1:6" ht="17.25" x14ac:dyDescent="0.25">
      <c r="A48" s="16"/>
      <c r="B48" s="16" t="s">
        <v>156</v>
      </c>
      <c r="C48" s="16" t="s">
        <v>157</v>
      </c>
      <c r="D48" s="17" t="s">
        <v>84</v>
      </c>
      <c r="E48" s="17" t="s">
        <v>85</v>
      </c>
      <c r="F48" s="16" t="s">
        <v>149</v>
      </c>
    </row>
    <row r="49" spans="1:6" ht="17.25" x14ac:dyDescent="0.25">
      <c r="A49" s="18"/>
      <c r="B49" s="18" t="s">
        <v>158</v>
      </c>
      <c r="C49" s="18" t="s">
        <v>159</v>
      </c>
      <c r="D49" s="14" t="s">
        <v>84</v>
      </c>
      <c r="E49" s="14" t="s">
        <v>85</v>
      </c>
      <c r="F49" s="18" t="s">
        <v>149</v>
      </c>
    </row>
    <row r="50" spans="1:6" x14ac:dyDescent="0.25">
      <c r="A50" s="16"/>
      <c r="B50" s="16" t="s">
        <v>160</v>
      </c>
      <c r="C50" s="16" t="s">
        <v>161</v>
      </c>
      <c r="D50" s="17" t="s">
        <v>88</v>
      </c>
      <c r="E50" s="17" t="s">
        <v>89</v>
      </c>
      <c r="F50" s="16"/>
    </row>
    <row r="51" spans="1:6" x14ac:dyDescent="0.25">
      <c r="A51" s="18"/>
      <c r="B51" s="18" t="s">
        <v>162</v>
      </c>
      <c r="C51" s="18" t="s">
        <v>163</v>
      </c>
      <c r="D51" s="14" t="s">
        <v>146</v>
      </c>
      <c r="E51" s="14" t="s">
        <v>146</v>
      </c>
      <c r="F51" s="18"/>
    </row>
    <row r="52" spans="1:6" x14ac:dyDescent="0.25">
      <c r="A52" s="16"/>
      <c r="B52" s="16" t="s">
        <v>164</v>
      </c>
      <c r="C52" s="16" t="s">
        <v>165</v>
      </c>
      <c r="D52" s="17" t="s">
        <v>88</v>
      </c>
      <c r="E52" s="17" t="s">
        <v>89</v>
      </c>
      <c r="F52" s="16"/>
    </row>
    <row r="53" spans="1:6" x14ac:dyDescent="0.25">
      <c r="A53" s="18"/>
      <c r="B53" s="18" t="s">
        <v>166</v>
      </c>
      <c r="C53" s="18" t="s">
        <v>167</v>
      </c>
      <c r="D53" s="14" t="s">
        <v>146</v>
      </c>
      <c r="E53" s="14" t="s">
        <v>146</v>
      </c>
      <c r="F53" s="18"/>
    </row>
    <row r="54" spans="1:6" x14ac:dyDescent="0.25">
      <c r="A54" s="16"/>
      <c r="B54" s="16" t="s">
        <v>168</v>
      </c>
      <c r="C54" s="16" t="s">
        <v>169</v>
      </c>
      <c r="D54" s="17" t="s">
        <v>88</v>
      </c>
      <c r="E54" s="17" t="s">
        <v>89</v>
      </c>
      <c r="F54" s="16"/>
    </row>
    <row r="55" spans="1:6" x14ac:dyDescent="0.25">
      <c r="A55" s="18"/>
      <c r="B55" s="18" t="s">
        <v>170</v>
      </c>
      <c r="C55" s="18" t="s">
        <v>171</v>
      </c>
      <c r="D55" s="14" t="s">
        <v>88</v>
      </c>
      <c r="E55" s="14" t="s">
        <v>89</v>
      </c>
      <c r="F55" s="18"/>
    </row>
    <row r="56" spans="1:6" x14ac:dyDescent="0.25">
      <c r="A56" s="16"/>
      <c r="B56" s="16" t="s">
        <v>172</v>
      </c>
      <c r="C56" s="16" t="s">
        <v>173</v>
      </c>
      <c r="D56" s="17" t="s">
        <v>136</v>
      </c>
      <c r="E56" s="17" t="s">
        <v>136</v>
      </c>
      <c r="F56" s="16"/>
    </row>
    <row r="57" spans="1:6" x14ac:dyDescent="0.25">
      <c r="A57" s="18"/>
      <c r="B57" s="18" t="s">
        <v>174</v>
      </c>
      <c r="C57" s="18" t="s">
        <v>175</v>
      </c>
      <c r="D57" s="14" t="s">
        <v>136</v>
      </c>
      <c r="E57" s="14" t="s">
        <v>136</v>
      </c>
      <c r="F57" s="18"/>
    </row>
    <row r="58" spans="1:6" x14ac:dyDescent="0.25">
      <c r="A58" s="16"/>
      <c r="B58" s="16" t="s">
        <v>176</v>
      </c>
      <c r="C58" s="16" t="s">
        <v>270</v>
      </c>
      <c r="D58" s="17" t="s">
        <v>88</v>
      </c>
      <c r="E58" s="17" t="s">
        <v>89</v>
      </c>
      <c r="F58" s="16" t="s">
        <v>177</v>
      </c>
    </row>
    <row r="59" spans="1:6" x14ac:dyDescent="0.25">
      <c r="A59" s="18"/>
      <c r="B59" s="18" t="s">
        <v>178</v>
      </c>
      <c r="C59" s="18" t="s">
        <v>179</v>
      </c>
      <c r="D59" s="14" t="s">
        <v>136</v>
      </c>
      <c r="E59" s="14" t="s">
        <v>136</v>
      </c>
      <c r="F59" s="18" t="s">
        <v>177</v>
      </c>
    </row>
    <row r="60" spans="1:6" x14ac:dyDescent="0.25">
      <c r="A60" s="8" t="s">
        <v>51</v>
      </c>
      <c r="B60" s="24" t="s">
        <v>180</v>
      </c>
      <c r="C60" s="8"/>
      <c r="D60" s="29"/>
      <c r="E60" s="29"/>
      <c r="F60" s="30"/>
    </row>
    <row r="61" spans="1:6" x14ac:dyDescent="0.25">
      <c r="A61" s="31" t="s">
        <v>181</v>
      </c>
      <c r="B61" s="18" t="s">
        <v>182</v>
      </c>
      <c r="C61" s="18" t="s">
        <v>183</v>
      </c>
      <c r="D61" s="14" t="s">
        <v>97</v>
      </c>
      <c r="E61" s="14" t="s">
        <v>98</v>
      </c>
      <c r="F61" s="18"/>
    </row>
    <row r="62" spans="1:6" x14ac:dyDescent="0.25">
      <c r="A62" s="16"/>
      <c r="B62" s="16" t="s">
        <v>184</v>
      </c>
      <c r="C62" s="16" t="s">
        <v>185</v>
      </c>
      <c r="D62" s="17" t="s">
        <v>146</v>
      </c>
      <c r="E62" s="17" t="s">
        <v>146</v>
      </c>
      <c r="F62" s="16"/>
    </row>
    <row r="63" spans="1:6" x14ac:dyDescent="0.25">
      <c r="A63" s="18"/>
      <c r="B63" s="18" t="s">
        <v>186</v>
      </c>
      <c r="C63" s="18" t="s">
        <v>187</v>
      </c>
      <c r="D63" s="14" t="s">
        <v>97</v>
      </c>
      <c r="E63" s="14" t="s">
        <v>98</v>
      </c>
      <c r="F63" s="18"/>
    </row>
    <row r="64" spans="1:6" x14ac:dyDescent="0.25">
      <c r="A64" s="16"/>
      <c r="B64" s="16" t="s">
        <v>188</v>
      </c>
      <c r="C64" s="16" t="s">
        <v>189</v>
      </c>
      <c r="D64" s="17" t="s">
        <v>146</v>
      </c>
      <c r="E64" s="17" t="s">
        <v>146</v>
      </c>
      <c r="F64" s="16"/>
    </row>
    <row r="65" spans="1:6" x14ac:dyDescent="0.25">
      <c r="A65" s="18"/>
      <c r="B65" s="18" t="s">
        <v>190</v>
      </c>
      <c r="C65" s="18" t="s">
        <v>191</v>
      </c>
      <c r="D65" s="14" t="s">
        <v>97</v>
      </c>
      <c r="E65" s="14" t="s">
        <v>98</v>
      </c>
      <c r="F65" s="18"/>
    </row>
    <row r="66" spans="1:6" x14ac:dyDescent="0.25">
      <c r="A66" s="16"/>
      <c r="B66" s="16" t="s">
        <v>192</v>
      </c>
      <c r="C66" s="16" t="s">
        <v>193</v>
      </c>
      <c r="D66" s="20" t="s">
        <v>97</v>
      </c>
      <c r="E66" s="17" t="s">
        <v>98</v>
      </c>
      <c r="F66" s="16"/>
    </row>
    <row r="67" spans="1:6" x14ac:dyDescent="0.25">
      <c r="A67" s="18"/>
      <c r="B67" s="18" t="s">
        <v>194</v>
      </c>
      <c r="C67" s="32" t="s">
        <v>195</v>
      </c>
      <c r="D67" s="22" t="s">
        <v>100</v>
      </c>
      <c r="E67" s="14" t="s">
        <v>196</v>
      </c>
      <c r="F67" s="18"/>
    </row>
    <row r="68" spans="1:6" x14ac:dyDescent="0.25">
      <c r="A68" s="16"/>
      <c r="B68" s="16" t="s">
        <v>197</v>
      </c>
      <c r="C68" s="16" t="s">
        <v>198</v>
      </c>
      <c r="D68" s="17" t="s">
        <v>146</v>
      </c>
      <c r="E68" s="17" t="s">
        <v>146</v>
      </c>
      <c r="F68" s="16"/>
    </row>
    <row r="69" spans="1:6" x14ac:dyDescent="0.25">
      <c r="A69" s="18"/>
      <c r="B69" s="18" t="s">
        <v>199</v>
      </c>
      <c r="C69" s="18" t="s">
        <v>200</v>
      </c>
      <c r="D69" s="14" t="s">
        <v>100</v>
      </c>
      <c r="E69" s="14" t="s">
        <v>196</v>
      </c>
      <c r="F69" s="18"/>
    </row>
    <row r="70" spans="1:6" x14ac:dyDescent="0.25">
      <c r="A70" s="16"/>
      <c r="B70" s="16" t="s">
        <v>201</v>
      </c>
      <c r="C70" s="16" t="s">
        <v>202</v>
      </c>
      <c r="D70" s="17" t="s">
        <v>146</v>
      </c>
      <c r="E70" s="17" t="s">
        <v>146</v>
      </c>
      <c r="F70" s="16"/>
    </row>
    <row r="71" spans="1:6" x14ac:dyDescent="0.25">
      <c r="A71" s="18"/>
      <c r="B71" s="18" t="s">
        <v>203</v>
      </c>
      <c r="C71" s="18" t="s">
        <v>204</v>
      </c>
      <c r="D71" s="14" t="s">
        <v>100</v>
      </c>
      <c r="E71" s="14" t="s">
        <v>196</v>
      </c>
      <c r="F71" s="18"/>
    </row>
    <row r="72" spans="1:6" x14ac:dyDescent="0.25">
      <c r="A72" s="8" t="s">
        <v>205</v>
      </c>
      <c r="B72" s="8" t="s">
        <v>206</v>
      </c>
      <c r="C72" s="8"/>
      <c r="D72" s="29"/>
      <c r="E72" s="29"/>
      <c r="F72" s="30"/>
    </row>
    <row r="73" spans="1:6" x14ac:dyDescent="0.25">
      <c r="A73" s="16"/>
      <c r="B73" s="16" t="s">
        <v>207</v>
      </c>
      <c r="C73" s="16" t="s">
        <v>208</v>
      </c>
      <c r="D73" s="17" t="s">
        <v>97</v>
      </c>
      <c r="E73" s="17" t="s">
        <v>98</v>
      </c>
      <c r="F73" s="16"/>
    </row>
    <row r="74" spans="1:6" x14ac:dyDescent="0.25">
      <c r="A74" s="18"/>
      <c r="B74" s="18" t="s">
        <v>209</v>
      </c>
      <c r="C74" s="18" t="s">
        <v>210</v>
      </c>
      <c r="D74" s="14" t="s">
        <v>97</v>
      </c>
      <c r="E74" s="14" t="s">
        <v>98</v>
      </c>
      <c r="F74" s="18"/>
    </row>
    <row r="75" spans="1:6" x14ac:dyDescent="0.25">
      <c r="A75" s="16"/>
      <c r="B75" s="16" t="s">
        <v>211</v>
      </c>
      <c r="C75" s="16" t="s">
        <v>212</v>
      </c>
      <c r="D75" s="17" t="s">
        <v>97</v>
      </c>
      <c r="E75" s="17" t="s">
        <v>98</v>
      </c>
      <c r="F75" s="16"/>
    </row>
    <row r="76" spans="1:6" x14ac:dyDescent="0.25">
      <c r="A76" s="18"/>
      <c r="B76" s="18" t="s">
        <v>213</v>
      </c>
      <c r="C76" s="18" t="s">
        <v>214</v>
      </c>
      <c r="D76" s="14" t="s">
        <v>97</v>
      </c>
      <c r="E76" s="14" t="s">
        <v>98</v>
      </c>
      <c r="F76" s="18"/>
    </row>
    <row r="77" spans="1:6" x14ac:dyDescent="0.25">
      <c r="A77" s="16"/>
      <c r="B77" s="16" t="s">
        <v>215</v>
      </c>
      <c r="C77" s="16" t="s">
        <v>216</v>
      </c>
      <c r="D77" s="17" t="s">
        <v>97</v>
      </c>
      <c r="E77" s="17" t="s">
        <v>98</v>
      </c>
      <c r="F77" s="16"/>
    </row>
    <row r="78" spans="1:6" x14ac:dyDescent="0.25">
      <c r="A78" s="18"/>
      <c r="B78" s="18" t="s">
        <v>217</v>
      </c>
      <c r="C78" s="18" t="s">
        <v>271</v>
      </c>
      <c r="D78" s="14" t="s">
        <v>97</v>
      </c>
      <c r="E78" s="14" t="s">
        <v>98</v>
      </c>
      <c r="F78" s="18"/>
    </row>
    <row r="79" spans="1:6" x14ac:dyDescent="0.25">
      <c r="A79" s="16"/>
      <c r="B79" s="16" t="s">
        <v>218</v>
      </c>
      <c r="C79" s="16" t="s">
        <v>219</v>
      </c>
      <c r="D79" s="17" t="s">
        <v>136</v>
      </c>
      <c r="E79" s="17" t="s">
        <v>136</v>
      </c>
      <c r="F79" s="16"/>
    </row>
    <row r="80" spans="1:6" x14ac:dyDescent="0.25">
      <c r="A80" s="18"/>
      <c r="B80" s="18" t="s">
        <v>220</v>
      </c>
      <c r="C80" s="18" t="s">
        <v>221</v>
      </c>
      <c r="D80" s="14" t="s">
        <v>136</v>
      </c>
      <c r="E80" s="14" t="s">
        <v>136</v>
      </c>
      <c r="F80" s="18"/>
    </row>
    <row r="81" spans="1:6" x14ac:dyDescent="0.25">
      <c r="A81" s="16"/>
      <c r="B81" s="16" t="s">
        <v>222</v>
      </c>
      <c r="C81" s="16" t="s">
        <v>223</v>
      </c>
      <c r="D81" s="17" t="s">
        <v>136</v>
      </c>
      <c r="E81" s="20" t="s">
        <v>136</v>
      </c>
      <c r="F81" s="16"/>
    </row>
    <row r="82" spans="1:6" x14ac:dyDescent="0.25">
      <c r="A82" s="18"/>
      <c r="B82" s="18" t="s">
        <v>224</v>
      </c>
      <c r="C82" s="18" t="s">
        <v>225</v>
      </c>
      <c r="D82" s="14" t="s">
        <v>136</v>
      </c>
      <c r="E82" s="14" t="s">
        <v>136</v>
      </c>
      <c r="F82" s="18"/>
    </row>
    <row r="83" spans="1:6" x14ac:dyDescent="0.25">
      <c r="A83" s="16"/>
      <c r="B83" s="16" t="s">
        <v>226</v>
      </c>
      <c r="C83" s="16" t="s">
        <v>227</v>
      </c>
      <c r="D83" s="17" t="s">
        <v>136</v>
      </c>
      <c r="E83" s="17" t="s">
        <v>136</v>
      </c>
      <c r="F83" s="16"/>
    </row>
    <row r="84" spans="1:6" x14ac:dyDescent="0.25">
      <c r="A84" s="18"/>
      <c r="B84" s="18" t="s">
        <v>228</v>
      </c>
      <c r="C84" s="18" t="s">
        <v>229</v>
      </c>
      <c r="D84" s="14" t="s">
        <v>136</v>
      </c>
      <c r="E84" s="14" t="s">
        <v>136</v>
      </c>
      <c r="F84" s="18"/>
    </row>
    <row r="85" spans="1:6" x14ac:dyDescent="0.25">
      <c r="A85" s="8" t="s">
        <v>52</v>
      </c>
      <c r="B85" s="24" t="s">
        <v>230</v>
      </c>
      <c r="C85" s="24"/>
      <c r="D85" s="29"/>
      <c r="E85" s="29"/>
      <c r="F85" s="30"/>
    </row>
    <row r="86" spans="1:6" x14ac:dyDescent="0.25">
      <c r="A86" s="16"/>
      <c r="B86" s="16" t="s">
        <v>231</v>
      </c>
      <c r="C86" s="16" t="s">
        <v>232</v>
      </c>
      <c r="D86" s="17" t="s">
        <v>79</v>
      </c>
      <c r="E86" s="17" t="s">
        <v>79</v>
      </c>
      <c r="F86" s="16"/>
    </row>
    <row r="87" spans="1:6" x14ac:dyDescent="0.25">
      <c r="A87" s="18"/>
      <c r="B87" s="18" t="s">
        <v>233</v>
      </c>
      <c r="C87" s="18" t="s">
        <v>234</v>
      </c>
      <c r="D87" s="14" t="s">
        <v>235</v>
      </c>
      <c r="E87" s="14" t="s">
        <v>235</v>
      </c>
      <c r="F87" s="18"/>
    </row>
    <row r="88" spans="1:6" x14ac:dyDescent="0.25">
      <c r="A88" s="16"/>
      <c r="B88" s="16" t="s">
        <v>236</v>
      </c>
      <c r="C88" s="16" t="s">
        <v>237</v>
      </c>
      <c r="D88" s="20" t="s">
        <v>235</v>
      </c>
      <c r="E88" s="20" t="s">
        <v>235</v>
      </c>
      <c r="F88" s="16"/>
    </row>
    <row r="89" spans="1:6" x14ac:dyDescent="0.25">
      <c r="A89" s="18"/>
      <c r="B89" s="18" t="s">
        <v>238</v>
      </c>
      <c r="C89" s="18" t="s">
        <v>272</v>
      </c>
      <c r="D89" s="14" t="s">
        <v>235</v>
      </c>
      <c r="E89" s="14" t="s">
        <v>235</v>
      </c>
      <c r="F89" s="18"/>
    </row>
    <row r="90" spans="1:6" x14ac:dyDescent="0.25">
      <c r="A90" s="16"/>
      <c r="B90" s="16" t="s">
        <v>239</v>
      </c>
      <c r="C90" s="16" t="s">
        <v>240</v>
      </c>
      <c r="D90" s="20" t="s">
        <v>235</v>
      </c>
      <c r="E90" s="20" t="s">
        <v>235</v>
      </c>
      <c r="F90" s="16"/>
    </row>
    <row r="91" spans="1:6" x14ac:dyDescent="0.25">
      <c r="A91" s="8" t="s">
        <v>241</v>
      </c>
      <c r="B91" s="24" t="s">
        <v>242</v>
      </c>
      <c r="C91" s="24"/>
      <c r="D91" s="25"/>
      <c r="E91" s="25"/>
      <c r="F91" s="26"/>
    </row>
    <row r="92" spans="1:6" x14ac:dyDescent="0.25">
      <c r="A92" s="13"/>
      <c r="B92" s="13" t="s">
        <v>243</v>
      </c>
      <c r="C92" s="13" t="s">
        <v>244</v>
      </c>
      <c r="D92" s="14" t="s">
        <v>97</v>
      </c>
      <c r="E92" s="14" t="s">
        <v>98</v>
      </c>
      <c r="F92" s="13"/>
    </row>
    <row r="93" spans="1:6" x14ac:dyDescent="0.25">
      <c r="A93" s="33"/>
      <c r="B93" s="33" t="s">
        <v>245</v>
      </c>
      <c r="C93" s="33" t="s">
        <v>246</v>
      </c>
      <c r="D93" s="17" t="s">
        <v>97</v>
      </c>
      <c r="E93" s="17" t="s">
        <v>98</v>
      </c>
      <c r="F93" s="33"/>
    </row>
    <row r="94" spans="1:6" x14ac:dyDescent="0.25">
      <c r="A94" s="13"/>
      <c r="B94" s="13" t="s">
        <v>247</v>
      </c>
      <c r="C94" s="13" t="s">
        <v>248</v>
      </c>
      <c r="D94" s="14" t="s">
        <v>97</v>
      </c>
      <c r="E94" s="14" t="s">
        <v>98</v>
      </c>
      <c r="F94" s="13"/>
    </row>
    <row r="95" spans="1:6" x14ac:dyDescent="0.25">
      <c r="A95" s="33"/>
      <c r="B95" s="33" t="s">
        <v>249</v>
      </c>
      <c r="C95" s="33" t="s">
        <v>250</v>
      </c>
      <c r="D95" s="17" t="s">
        <v>97</v>
      </c>
      <c r="E95" s="17" t="s">
        <v>98</v>
      </c>
      <c r="F95" s="33"/>
    </row>
    <row r="96" spans="1:6" x14ac:dyDescent="0.25">
      <c r="A96" s="13"/>
      <c r="B96" s="13" t="s">
        <v>251</v>
      </c>
      <c r="C96" s="21" t="s">
        <v>252</v>
      </c>
      <c r="D96" s="14" t="s">
        <v>100</v>
      </c>
      <c r="E96" s="14" t="s">
        <v>196</v>
      </c>
      <c r="F96" s="13"/>
    </row>
    <row r="97" spans="1:6" x14ac:dyDescent="0.25">
      <c r="A97" s="33"/>
      <c r="B97" s="33" t="s">
        <v>253</v>
      </c>
      <c r="C97" s="34" t="s">
        <v>254</v>
      </c>
      <c r="D97" s="17" t="s">
        <v>100</v>
      </c>
      <c r="E97" s="17" t="s">
        <v>196</v>
      </c>
      <c r="F97" s="33"/>
    </row>
    <row r="98" spans="1:6" x14ac:dyDescent="0.25">
      <c r="A98" s="8" t="s">
        <v>53</v>
      </c>
      <c r="B98" s="24" t="s">
        <v>255</v>
      </c>
      <c r="C98" s="24"/>
      <c r="D98" s="25"/>
      <c r="E98" s="25"/>
      <c r="F98" s="26"/>
    </row>
    <row r="99" spans="1:6" x14ac:dyDescent="0.25">
      <c r="A99" s="14"/>
      <c r="B99" s="13" t="s">
        <v>55</v>
      </c>
      <c r="C99" s="13" t="s">
        <v>273</v>
      </c>
      <c r="D99" s="14" t="s">
        <v>93</v>
      </c>
      <c r="E99" s="22" t="s">
        <v>256</v>
      </c>
      <c r="F99" s="15"/>
    </row>
    <row r="100" spans="1:6" x14ac:dyDescent="0.25">
      <c r="A100" s="16"/>
      <c r="B100" s="33" t="s">
        <v>56</v>
      </c>
      <c r="C100" s="33" t="s">
        <v>274</v>
      </c>
      <c r="D100" s="17" t="s">
        <v>93</v>
      </c>
      <c r="E100" s="35" t="s">
        <v>256</v>
      </c>
      <c r="F100" s="16"/>
    </row>
    <row r="101" spans="1:6" x14ac:dyDescent="0.25">
      <c r="A101" s="18"/>
      <c r="B101" s="13" t="s">
        <v>57</v>
      </c>
      <c r="C101" s="13" t="s">
        <v>257</v>
      </c>
      <c r="D101" s="27" t="s">
        <v>93</v>
      </c>
      <c r="E101" s="22" t="s">
        <v>256</v>
      </c>
      <c r="F101" s="28"/>
    </row>
    <row r="102" spans="1:6" x14ac:dyDescent="0.25">
      <c r="A102" s="16"/>
      <c r="B102" s="33" t="s">
        <v>58</v>
      </c>
      <c r="C102" s="33" t="s">
        <v>258</v>
      </c>
      <c r="D102" s="17" t="s">
        <v>93</v>
      </c>
      <c r="E102" s="35" t="s">
        <v>256</v>
      </c>
      <c r="F102" s="16"/>
    </row>
    <row r="103" spans="1:6" x14ac:dyDescent="0.25">
      <c r="A103" s="18"/>
      <c r="B103" s="13" t="s">
        <v>59</v>
      </c>
      <c r="C103" s="13" t="s">
        <v>259</v>
      </c>
      <c r="D103" s="14" t="s">
        <v>93</v>
      </c>
      <c r="E103" s="22" t="s">
        <v>256</v>
      </c>
      <c r="F103" s="18"/>
    </row>
    <row r="104" spans="1:6" x14ac:dyDescent="0.25">
      <c r="A104" s="16"/>
      <c r="B104" s="33" t="s">
        <v>60</v>
      </c>
      <c r="C104" s="33" t="s">
        <v>260</v>
      </c>
      <c r="D104" s="17" t="s">
        <v>93</v>
      </c>
      <c r="E104" s="35" t="s">
        <v>256</v>
      </c>
      <c r="F104" s="16"/>
    </row>
    <row r="105" spans="1:6" x14ac:dyDescent="0.25">
      <c r="A105" s="18"/>
      <c r="B105" s="13" t="s">
        <v>61</v>
      </c>
      <c r="C105" s="13" t="s">
        <v>261</v>
      </c>
      <c r="D105" s="14" t="s">
        <v>93</v>
      </c>
      <c r="E105" s="22" t="s">
        <v>256</v>
      </c>
      <c r="F105" s="18"/>
    </row>
    <row r="106" spans="1:6" x14ac:dyDescent="0.25">
      <c r="A106" s="16"/>
      <c r="B106" s="33" t="s">
        <v>62</v>
      </c>
      <c r="C106" s="33" t="s">
        <v>262</v>
      </c>
      <c r="D106" s="17" t="s">
        <v>93</v>
      </c>
      <c r="E106" s="35" t="s">
        <v>256</v>
      </c>
      <c r="F106" s="16"/>
    </row>
    <row r="107" spans="1:6" x14ac:dyDescent="0.25">
      <c r="A107" s="18"/>
      <c r="B107" s="13" t="s">
        <v>63</v>
      </c>
      <c r="C107" s="13" t="s">
        <v>263</v>
      </c>
      <c r="D107" s="14" t="s">
        <v>93</v>
      </c>
      <c r="E107" s="22" t="s">
        <v>256</v>
      </c>
      <c r="F107" s="18"/>
    </row>
    <row r="108" spans="1:6" x14ac:dyDescent="0.25">
      <c r="A108" s="16"/>
      <c r="B108" s="33" t="s">
        <v>64</v>
      </c>
      <c r="C108" s="33" t="s">
        <v>264</v>
      </c>
      <c r="D108" s="17" t="s">
        <v>93</v>
      </c>
      <c r="E108" s="35" t="s">
        <v>256</v>
      </c>
      <c r="F108" s="16"/>
    </row>
    <row r="109" spans="1:6" x14ac:dyDescent="0.25">
      <c r="A109" s="18"/>
      <c r="B109" s="13" t="s">
        <v>65</v>
      </c>
      <c r="C109" s="13" t="s">
        <v>265</v>
      </c>
      <c r="D109" s="14" t="s">
        <v>93</v>
      </c>
      <c r="E109" s="22" t="s">
        <v>256</v>
      </c>
      <c r="F109" s="18"/>
    </row>
    <row r="110" spans="1:6" x14ac:dyDescent="0.25">
      <c r="A110" s="16"/>
      <c r="B110" s="33" t="s">
        <v>66</v>
      </c>
      <c r="C110" s="33" t="s">
        <v>266</v>
      </c>
      <c r="D110" s="17" t="s">
        <v>93</v>
      </c>
      <c r="E110" s="35" t="s">
        <v>256</v>
      </c>
      <c r="F110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workbookViewId="0">
      <selection activeCell="C12" sqref="C12"/>
    </sheetView>
  </sheetViews>
  <sheetFormatPr defaultRowHeight="15" x14ac:dyDescent="0.25"/>
  <sheetData>
    <row r="1" spans="1:19" x14ac:dyDescent="0.25">
      <c r="A1" s="1" t="s">
        <v>0</v>
      </c>
    </row>
    <row r="2" spans="1:19" x14ac:dyDescent="0.25">
      <c r="A2" s="2" t="s">
        <v>1</v>
      </c>
    </row>
    <row r="3" spans="1:19" x14ac:dyDescent="0.25">
      <c r="A3" t="s">
        <v>2</v>
      </c>
      <c r="F3" t="s">
        <v>3</v>
      </c>
    </row>
    <row r="4" spans="1:19" x14ac:dyDescent="0.25">
      <c r="C4" s="3" t="s">
        <v>4</v>
      </c>
      <c r="D4" s="3" t="s">
        <v>5</v>
      </c>
      <c r="H4" s="3" t="s">
        <v>4</v>
      </c>
      <c r="I4" s="3" t="s">
        <v>5</v>
      </c>
    </row>
    <row r="5" spans="1:19" x14ac:dyDescent="0.25">
      <c r="B5" s="3" t="s">
        <v>6</v>
      </c>
      <c r="C5">
        <v>120</v>
      </c>
      <c r="D5">
        <v>120</v>
      </c>
      <c r="G5" s="3" t="s">
        <v>6</v>
      </c>
      <c r="H5">
        <v>125</v>
      </c>
      <c r="I5">
        <v>125</v>
      </c>
    </row>
    <row r="6" spans="1:19" x14ac:dyDescent="0.25">
      <c r="B6" s="3" t="s">
        <v>7</v>
      </c>
      <c r="C6">
        <v>5.8339705300296849E-5</v>
      </c>
      <c r="D6">
        <v>0</v>
      </c>
      <c r="G6" s="3" t="s">
        <v>7</v>
      </c>
      <c r="H6">
        <v>-3.4400000000005092E-5</v>
      </c>
      <c r="I6">
        <v>0</v>
      </c>
    </row>
    <row r="7" spans="1:19" x14ac:dyDescent="0.25">
      <c r="B7" s="3" t="s">
        <v>8</v>
      </c>
      <c r="C7">
        <v>9.3281477450058185E-5</v>
      </c>
      <c r="D7">
        <v>0</v>
      </c>
      <c r="G7" s="3" t="s">
        <v>8</v>
      </c>
      <c r="H7">
        <v>7.6310063598987994E-5</v>
      </c>
      <c r="I7">
        <v>0</v>
      </c>
    </row>
    <row r="8" spans="1:19" x14ac:dyDescent="0.25">
      <c r="B8" s="3" t="s">
        <v>9</v>
      </c>
      <c r="C8">
        <v>0</v>
      </c>
      <c r="D8">
        <v>0</v>
      </c>
      <c r="G8" s="3" t="s">
        <v>9</v>
      </c>
      <c r="H8">
        <v>-3.0000000000995902E-4</v>
      </c>
      <c r="I8">
        <v>0</v>
      </c>
    </row>
    <row r="9" spans="1:19" x14ac:dyDescent="0.25">
      <c r="B9" s="3" t="s">
        <v>10</v>
      </c>
      <c r="C9">
        <v>0</v>
      </c>
      <c r="D9">
        <v>0</v>
      </c>
      <c r="G9" s="3" t="s">
        <v>10</v>
      </c>
      <c r="H9">
        <v>-9.9999999989108801E-5</v>
      </c>
      <c r="I9">
        <v>0</v>
      </c>
    </row>
    <row r="10" spans="1:19" x14ac:dyDescent="0.25">
      <c r="B10" s="3" t="s">
        <v>11</v>
      </c>
      <c r="C10">
        <v>0</v>
      </c>
      <c r="D10">
        <v>0</v>
      </c>
      <c r="G10" s="3" t="s">
        <v>11</v>
      </c>
      <c r="H10">
        <v>0</v>
      </c>
      <c r="I10">
        <v>0</v>
      </c>
    </row>
    <row r="11" spans="1:19" x14ac:dyDescent="0.25">
      <c r="B11" s="3" t="s">
        <v>12</v>
      </c>
      <c r="C11">
        <v>1.2783880220249751E-4</v>
      </c>
      <c r="D11">
        <v>0</v>
      </c>
      <c r="G11" s="3" t="s">
        <v>12</v>
      </c>
      <c r="H11">
        <v>0</v>
      </c>
      <c r="I11">
        <v>0</v>
      </c>
    </row>
    <row r="12" spans="1:19" x14ac:dyDescent="0.25">
      <c r="B12" s="3" t="s">
        <v>13</v>
      </c>
      <c r="C12">
        <v>4.3737516585260307E-4</v>
      </c>
      <c r="D12">
        <v>0</v>
      </c>
      <c r="G12" s="3" t="s">
        <v>13</v>
      </c>
      <c r="H12">
        <v>1.9999999999242851E-4</v>
      </c>
      <c r="I12">
        <v>0</v>
      </c>
    </row>
    <row r="13" spans="1:19" x14ac:dyDescent="0.25">
      <c r="A13" s="2" t="s">
        <v>14</v>
      </c>
    </row>
    <row r="14" spans="1:19" x14ac:dyDescent="0.25">
      <c r="A14" t="s">
        <v>2</v>
      </c>
      <c r="F14" t="s">
        <v>3</v>
      </c>
      <c r="K14" t="s">
        <v>15</v>
      </c>
      <c r="P14" t="s">
        <v>16</v>
      </c>
    </row>
    <row r="15" spans="1:19" x14ac:dyDescent="0.25">
      <c r="A15" s="3" t="s">
        <v>17</v>
      </c>
      <c r="B15" s="3" t="s">
        <v>18</v>
      </c>
      <c r="C15" s="3" t="s">
        <v>4</v>
      </c>
      <c r="D15" s="3" t="s">
        <v>5</v>
      </c>
      <c r="F15" s="3" t="s">
        <v>17</v>
      </c>
      <c r="G15" s="3" t="s">
        <v>18</v>
      </c>
      <c r="H15" s="3" t="s">
        <v>4</v>
      </c>
      <c r="I15" s="3" t="s">
        <v>5</v>
      </c>
      <c r="K15" s="3" t="s">
        <v>17</v>
      </c>
      <c r="L15" s="3" t="s">
        <v>18</v>
      </c>
      <c r="M15" s="3" t="s">
        <v>4</v>
      </c>
      <c r="N15" s="3" t="s">
        <v>5</v>
      </c>
      <c r="P15" s="3" t="s">
        <v>17</v>
      </c>
      <c r="Q15" s="3" t="s">
        <v>18</v>
      </c>
      <c r="R15" s="3" t="s">
        <v>4</v>
      </c>
      <c r="S15" s="3" t="s">
        <v>5</v>
      </c>
    </row>
    <row r="16" spans="1:19" x14ac:dyDescent="0.25">
      <c r="A16" s="3">
        <v>0</v>
      </c>
      <c r="B16" s="3">
        <v>1</v>
      </c>
      <c r="F16" s="3">
        <v>0</v>
      </c>
      <c r="G16" s="3">
        <v>1</v>
      </c>
      <c r="H16">
        <v>0</v>
      </c>
      <c r="I16">
        <v>0</v>
      </c>
      <c r="K16" s="3">
        <v>0</v>
      </c>
      <c r="L16" s="3">
        <v>1</v>
      </c>
      <c r="M16">
        <v>0</v>
      </c>
      <c r="N16">
        <v>0</v>
      </c>
      <c r="P16" s="3">
        <v>0</v>
      </c>
      <c r="Q16" s="3">
        <v>1</v>
      </c>
      <c r="R16">
        <v>0</v>
      </c>
      <c r="S16">
        <v>0</v>
      </c>
    </row>
    <row r="17" spans="1:19" x14ac:dyDescent="0.25">
      <c r="A17" s="3">
        <v>0</v>
      </c>
      <c r="B17" s="3">
        <v>2</v>
      </c>
      <c r="F17" s="3">
        <v>0</v>
      </c>
      <c r="G17" s="3">
        <v>2</v>
      </c>
      <c r="H17">
        <v>0</v>
      </c>
      <c r="I17">
        <v>0</v>
      </c>
      <c r="K17" s="3">
        <v>0</v>
      </c>
      <c r="L17" s="3">
        <v>2</v>
      </c>
      <c r="M17">
        <v>0</v>
      </c>
      <c r="N17">
        <v>0</v>
      </c>
      <c r="P17" s="3">
        <v>0</v>
      </c>
      <c r="Q17" s="3">
        <v>2</v>
      </c>
      <c r="R17">
        <v>0</v>
      </c>
      <c r="S17">
        <v>0</v>
      </c>
    </row>
    <row r="18" spans="1:19" x14ac:dyDescent="0.25">
      <c r="A18" s="3">
        <v>0</v>
      </c>
      <c r="B18" s="3">
        <v>3</v>
      </c>
      <c r="F18" s="3">
        <v>0</v>
      </c>
      <c r="G18" s="3">
        <v>3</v>
      </c>
      <c r="H18">
        <v>0</v>
      </c>
      <c r="I18">
        <v>0</v>
      </c>
      <c r="K18" s="3">
        <v>0</v>
      </c>
      <c r="L18" s="3">
        <v>3</v>
      </c>
      <c r="M18">
        <v>0</v>
      </c>
      <c r="N18">
        <v>0</v>
      </c>
      <c r="P18" s="3">
        <v>0</v>
      </c>
      <c r="Q18" s="3">
        <v>3</v>
      </c>
      <c r="R18">
        <v>0</v>
      </c>
      <c r="S18">
        <v>0</v>
      </c>
    </row>
    <row r="19" spans="1:19" x14ac:dyDescent="0.25">
      <c r="A19" s="3">
        <v>0</v>
      </c>
      <c r="B19" s="3">
        <v>4</v>
      </c>
      <c r="F19" s="3">
        <v>0</v>
      </c>
      <c r="G19" s="3">
        <v>4</v>
      </c>
      <c r="H19">
        <v>0</v>
      </c>
      <c r="I19">
        <v>0</v>
      </c>
      <c r="K19" s="3">
        <v>0</v>
      </c>
      <c r="L19" s="3">
        <v>4</v>
      </c>
      <c r="M19">
        <v>0</v>
      </c>
      <c r="N19">
        <v>0</v>
      </c>
      <c r="P19" s="3">
        <v>0</v>
      </c>
      <c r="Q19" s="3">
        <v>4</v>
      </c>
      <c r="R19">
        <v>0</v>
      </c>
      <c r="S19">
        <v>0</v>
      </c>
    </row>
    <row r="20" spans="1:19" x14ac:dyDescent="0.25">
      <c r="A20" s="3">
        <v>0</v>
      </c>
      <c r="B20" s="3">
        <v>5</v>
      </c>
      <c r="F20" s="3">
        <v>0</v>
      </c>
      <c r="G20" s="3">
        <v>5</v>
      </c>
      <c r="H20">
        <v>0</v>
      </c>
      <c r="I20">
        <v>0</v>
      </c>
      <c r="K20" s="3">
        <v>0</v>
      </c>
      <c r="L20" s="3">
        <v>5</v>
      </c>
      <c r="M20">
        <v>0</v>
      </c>
      <c r="N20">
        <v>0</v>
      </c>
      <c r="P20" s="3">
        <v>0</v>
      </c>
      <c r="Q20" s="3">
        <v>5</v>
      </c>
      <c r="R20">
        <v>0</v>
      </c>
      <c r="S20">
        <v>0</v>
      </c>
    </row>
    <row r="21" spans="1:19" x14ac:dyDescent="0.25">
      <c r="A21" s="3">
        <v>10</v>
      </c>
      <c r="B21" s="3">
        <v>1</v>
      </c>
      <c r="C21">
        <v>0</v>
      </c>
      <c r="D21">
        <v>0</v>
      </c>
      <c r="F21" s="3">
        <v>10</v>
      </c>
      <c r="G21" s="3">
        <v>1</v>
      </c>
      <c r="H21">
        <v>0</v>
      </c>
      <c r="I21">
        <v>0</v>
      </c>
      <c r="K21" s="3">
        <v>10</v>
      </c>
      <c r="L21" s="3">
        <v>1</v>
      </c>
      <c r="M21">
        <v>153.13290000000001</v>
      </c>
      <c r="N21">
        <v>811.5</v>
      </c>
      <c r="P21" s="3">
        <v>10</v>
      </c>
      <c r="Q21" s="3">
        <v>1</v>
      </c>
      <c r="R21">
        <v>153.13290000000001</v>
      </c>
      <c r="S21">
        <v>811.5</v>
      </c>
    </row>
    <row r="22" spans="1:19" x14ac:dyDescent="0.25">
      <c r="A22" s="3">
        <v>10</v>
      </c>
      <c r="B22" s="3">
        <v>2</v>
      </c>
      <c r="C22">
        <v>0</v>
      </c>
      <c r="D22">
        <v>0</v>
      </c>
      <c r="F22" s="3">
        <v>10</v>
      </c>
      <c r="G22" s="3">
        <v>2</v>
      </c>
      <c r="H22">
        <v>0</v>
      </c>
      <c r="I22">
        <v>0</v>
      </c>
      <c r="K22" s="3">
        <v>10</v>
      </c>
      <c r="L22" s="3">
        <v>2</v>
      </c>
      <c r="M22">
        <v>-110.70950000000001</v>
      </c>
      <c r="N22">
        <v>-586.70000000000005</v>
      </c>
      <c r="P22" s="3">
        <v>10</v>
      </c>
      <c r="Q22" s="3">
        <v>2</v>
      </c>
      <c r="R22">
        <v>-110.70950000000001</v>
      </c>
      <c r="S22">
        <v>-586.70000000000005</v>
      </c>
    </row>
    <row r="23" spans="1:19" x14ac:dyDescent="0.25">
      <c r="A23" s="3">
        <v>10</v>
      </c>
      <c r="B23" s="3">
        <v>3</v>
      </c>
      <c r="C23">
        <v>0</v>
      </c>
      <c r="D23">
        <v>0</v>
      </c>
      <c r="F23" s="3">
        <v>10</v>
      </c>
      <c r="G23" s="3">
        <v>3</v>
      </c>
      <c r="H23">
        <v>0</v>
      </c>
      <c r="I23">
        <v>0</v>
      </c>
      <c r="K23" s="3">
        <v>10</v>
      </c>
      <c r="L23" s="3">
        <v>3</v>
      </c>
      <c r="M23">
        <v>-110.70950000000001</v>
      </c>
      <c r="N23">
        <v>-586.70000000000005</v>
      </c>
      <c r="P23" s="3">
        <v>10</v>
      </c>
      <c r="Q23" s="3">
        <v>3</v>
      </c>
      <c r="R23">
        <v>-110.70950000000001</v>
      </c>
      <c r="S23">
        <v>-586.70000000000005</v>
      </c>
    </row>
    <row r="24" spans="1:19" x14ac:dyDescent="0.25">
      <c r="A24" s="3">
        <v>10</v>
      </c>
      <c r="B24" s="3">
        <v>4</v>
      </c>
      <c r="C24">
        <v>0</v>
      </c>
      <c r="D24">
        <v>0</v>
      </c>
      <c r="F24" s="3">
        <v>10</v>
      </c>
      <c r="G24" s="3">
        <v>4</v>
      </c>
      <c r="H24">
        <v>0</v>
      </c>
      <c r="I24">
        <v>0</v>
      </c>
      <c r="K24" s="3">
        <v>10</v>
      </c>
      <c r="L24" s="3">
        <v>4</v>
      </c>
      <c r="M24">
        <v>-110.70950000000001</v>
      </c>
      <c r="N24">
        <v>-586.70000000000005</v>
      </c>
      <c r="P24" s="3">
        <v>10</v>
      </c>
      <c r="Q24" s="3">
        <v>4</v>
      </c>
      <c r="R24">
        <v>-110.70950000000001</v>
      </c>
      <c r="S24">
        <v>-586.70000000000005</v>
      </c>
    </row>
    <row r="25" spans="1:19" x14ac:dyDescent="0.25">
      <c r="A25" s="3">
        <v>10</v>
      </c>
      <c r="B25" s="3">
        <v>5</v>
      </c>
      <c r="C25">
        <v>0</v>
      </c>
      <c r="D25">
        <v>0</v>
      </c>
      <c r="F25" s="3">
        <v>10</v>
      </c>
      <c r="G25" s="3">
        <v>5</v>
      </c>
      <c r="H25">
        <v>0</v>
      </c>
      <c r="I25">
        <v>0</v>
      </c>
      <c r="K25" s="3">
        <v>10</v>
      </c>
      <c r="L25" s="3">
        <v>5</v>
      </c>
      <c r="M25">
        <v>263.8424</v>
      </c>
      <c r="N25">
        <v>879.5</v>
      </c>
      <c r="P25" s="3">
        <v>10</v>
      </c>
      <c r="Q25" s="3">
        <v>5</v>
      </c>
      <c r="R25">
        <v>263.8424</v>
      </c>
      <c r="S25">
        <v>879.5</v>
      </c>
    </row>
    <row r="26" spans="1:19" x14ac:dyDescent="0.25">
      <c r="A26" s="3">
        <v>20</v>
      </c>
      <c r="B26" s="3">
        <v>1</v>
      </c>
      <c r="C26">
        <v>5.1305309690813498E-5</v>
      </c>
      <c r="D26">
        <v>0</v>
      </c>
      <c r="F26" s="3">
        <v>20</v>
      </c>
      <c r="G26" s="3">
        <v>1</v>
      </c>
      <c r="H26">
        <v>-1.000000000033197E-4</v>
      </c>
      <c r="I26">
        <v>0</v>
      </c>
      <c r="K26" s="3">
        <v>20</v>
      </c>
      <c r="L26" s="3">
        <v>1</v>
      </c>
      <c r="M26">
        <v>194.91149999999999</v>
      </c>
      <c r="N26">
        <v>1032.9000000000001</v>
      </c>
      <c r="P26" s="3">
        <v>20</v>
      </c>
      <c r="Q26" s="3">
        <v>1</v>
      </c>
      <c r="R26">
        <v>194.91159999999999</v>
      </c>
      <c r="S26">
        <v>1032.9000000000001</v>
      </c>
    </row>
    <row r="27" spans="1:19" x14ac:dyDescent="0.25">
      <c r="A27" s="3">
        <v>20</v>
      </c>
      <c r="B27" s="3">
        <v>2</v>
      </c>
      <c r="C27">
        <v>9.7087849944242117E-5</v>
      </c>
      <c r="D27">
        <v>0</v>
      </c>
      <c r="F27" s="3">
        <v>20</v>
      </c>
      <c r="G27" s="3">
        <v>2</v>
      </c>
      <c r="H27">
        <v>-1.000000000033197E-4</v>
      </c>
      <c r="I27">
        <v>0</v>
      </c>
      <c r="K27" s="3">
        <v>20</v>
      </c>
      <c r="L27" s="3">
        <v>2</v>
      </c>
      <c r="M27">
        <v>-102.9996</v>
      </c>
      <c r="N27">
        <v>-545.79999999999995</v>
      </c>
      <c r="P27" s="3">
        <v>20</v>
      </c>
      <c r="Q27" s="3">
        <v>2</v>
      </c>
      <c r="R27">
        <v>-102.9995</v>
      </c>
      <c r="S27">
        <v>-545.79999999999995</v>
      </c>
    </row>
    <row r="28" spans="1:19" x14ac:dyDescent="0.25">
      <c r="A28" s="3">
        <v>20</v>
      </c>
      <c r="B28" s="3">
        <v>3</v>
      </c>
      <c r="C28">
        <v>9.7087849944242117E-5</v>
      </c>
      <c r="D28">
        <v>0</v>
      </c>
      <c r="F28" s="3">
        <v>20</v>
      </c>
      <c r="G28" s="3">
        <v>3</v>
      </c>
      <c r="H28">
        <v>-1.000000000033197E-4</v>
      </c>
      <c r="I28">
        <v>0</v>
      </c>
      <c r="K28" s="3">
        <v>20</v>
      </c>
      <c r="L28" s="3">
        <v>3</v>
      </c>
      <c r="M28">
        <v>-102.9996</v>
      </c>
      <c r="N28">
        <v>-545.79999999999995</v>
      </c>
      <c r="P28" s="3">
        <v>20</v>
      </c>
      <c r="Q28" s="3">
        <v>3</v>
      </c>
      <c r="R28">
        <v>-102.9995</v>
      </c>
      <c r="S28">
        <v>-545.79999999999995</v>
      </c>
    </row>
    <row r="29" spans="1:19" x14ac:dyDescent="0.25">
      <c r="A29" s="3">
        <v>20</v>
      </c>
      <c r="B29" s="3">
        <v>4</v>
      </c>
      <c r="C29">
        <v>9.7087849944242117E-5</v>
      </c>
      <c r="D29">
        <v>0</v>
      </c>
      <c r="F29" s="3">
        <v>20</v>
      </c>
      <c r="G29" s="3">
        <v>4</v>
      </c>
      <c r="H29">
        <v>-1.000000000033197E-4</v>
      </c>
      <c r="I29">
        <v>0</v>
      </c>
      <c r="K29" s="3">
        <v>20</v>
      </c>
      <c r="L29" s="3">
        <v>4</v>
      </c>
      <c r="M29">
        <v>-102.9996</v>
      </c>
      <c r="N29">
        <v>-545.79999999999995</v>
      </c>
      <c r="P29" s="3">
        <v>20</v>
      </c>
      <c r="Q29" s="3">
        <v>4</v>
      </c>
      <c r="R29">
        <v>-102.9995</v>
      </c>
      <c r="S29">
        <v>-545.79999999999995</v>
      </c>
    </row>
    <row r="30" spans="1:19" x14ac:dyDescent="0.25">
      <c r="A30" s="3">
        <v>20</v>
      </c>
      <c r="B30" s="3">
        <v>5</v>
      </c>
      <c r="C30">
        <v>0</v>
      </c>
      <c r="D30">
        <v>0</v>
      </c>
      <c r="F30" s="3">
        <v>20</v>
      </c>
      <c r="G30" s="3">
        <v>5</v>
      </c>
      <c r="H30">
        <v>0</v>
      </c>
      <c r="I30">
        <v>0</v>
      </c>
      <c r="K30" s="3">
        <v>20</v>
      </c>
      <c r="L30" s="3">
        <v>5</v>
      </c>
      <c r="M30">
        <v>297.91109999999998</v>
      </c>
      <c r="N30">
        <v>993</v>
      </c>
      <c r="P30" s="3">
        <v>20</v>
      </c>
      <c r="Q30" s="3">
        <v>5</v>
      </c>
      <c r="R30">
        <v>297.91109999999998</v>
      </c>
      <c r="S30">
        <v>993</v>
      </c>
    </row>
    <row r="31" spans="1:19" x14ac:dyDescent="0.25">
      <c r="A31" s="3">
        <v>30</v>
      </c>
      <c r="B31" s="3">
        <v>1</v>
      </c>
      <c r="C31">
        <v>0</v>
      </c>
      <c r="D31">
        <v>0</v>
      </c>
      <c r="F31" s="3">
        <v>30</v>
      </c>
      <c r="G31" s="3">
        <v>1</v>
      </c>
      <c r="H31">
        <v>0</v>
      </c>
      <c r="I31">
        <v>0</v>
      </c>
      <c r="K31" s="3">
        <v>30</v>
      </c>
      <c r="L31" s="3">
        <v>1</v>
      </c>
      <c r="M31">
        <v>206.18819999999999</v>
      </c>
      <c r="N31">
        <v>1092.7</v>
      </c>
      <c r="P31" s="3">
        <v>30</v>
      </c>
      <c r="Q31" s="3">
        <v>1</v>
      </c>
      <c r="R31">
        <v>206.18819999999999</v>
      </c>
      <c r="S31">
        <v>1092.7</v>
      </c>
    </row>
    <row r="32" spans="1:19" x14ac:dyDescent="0.25">
      <c r="A32" s="3">
        <v>30</v>
      </c>
      <c r="B32" s="3">
        <v>2</v>
      </c>
      <c r="C32">
        <v>0</v>
      </c>
      <c r="D32">
        <v>0</v>
      </c>
      <c r="F32" s="3">
        <v>30</v>
      </c>
      <c r="G32" s="3">
        <v>2</v>
      </c>
      <c r="H32">
        <v>0</v>
      </c>
      <c r="I32">
        <v>0</v>
      </c>
      <c r="K32" s="3">
        <v>30</v>
      </c>
      <c r="L32" s="3">
        <v>2</v>
      </c>
      <c r="M32">
        <v>-92.091899999999995</v>
      </c>
      <c r="N32">
        <v>-488</v>
      </c>
      <c r="P32" s="3">
        <v>30</v>
      </c>
      <c r="Q32" s="3">
        <v>2</v>
      </c>
      <c r="R32">
        <v>-92.091899999999995</v>
      </c>
      <c r="S32">
        <v>-488</v>
      </c>
    </row>
    <row r="33" spans="1:19" x14ac:dyDescent="0.25">
      <c r="A33" s="3">
        <v>30</v>
      </c>
      <c r="B33" s="3">
        <v>3</v>
      </c>
      <c r="C33">
        <v>0</v>
      </c>
      <c r="D33">
        <v>0</v>
      </c>
      <c r="F33" s="3">
        <v>30</v>
      </c>
      <c r="G33" s="3">
        <v>3</v>
      </c>
      <c r="H33">
        <v>0</v>
      </c>
      <c r="I33">
        <v>0</v>
      </c>
      <c r="K33" s="3">
        <v>30</v>
      </c>
      <c r="L33" s="3">
        <v>3</v>
      </c>
      <c r="M33">
        <v>-92.091899999999995</v>
      </c>
      <c r="N33">
        <v>-488</v>
      </c>
      <c r="P33" s="3">
        <v>30</v>
      </c>
      <c r="Q33" s="3">
        <v>3</v>
      </c>
      <c r="R33">
        <v>-92.091899999999995</v>
      </c>
      <c r="S33">
        <v>-488</v>
      </c>
    </row>
    <row r="34" spans="1:19" x14ac:dyDescent="0.25">
      <c r="A34" s="3">
        <v>30</v>
      </c>
      <c r="B34" s="3">
        <v>4</v>
      </c>
      <c r="C34">
        <v>0</v>
      </c>
      <c r="D34">
        <v>0</v>
      </c>
      <c r="F34" s="3">
        <v>30</v>
      </c>
      <c r="G34" s="3">
        <v>4</v>
      </c>
      <c r="H34">
        <v>0</v>
      </c>
      <c r="I34">
        <v>0</v>
      </c>
      <c r="K34" s="3">
        <v>30</v>
      </c>
      <c r="L34" s="3">
        <v>4</v>
      </c>
      <c r="M34">
        <v>-92.091899999999995</v>
      </c>
      <c r="N34">
        <v>-488</v>
      </c>
      <c r="P34" s="3">
        <v>30</v>
      </c>
      <c r="Q34" s="3">
        <v>4</v>
      </c>
      <c r="R34">
        <v>-92.091899999999995</v>
      </c>
      <c r="S34">
        <v>-488</v>
      </c>
    </row>
    <row r="35" spans="1:19" x14ac:dyDescent="0.25">
      <c r="A35" s="3">
        <v>30</v>
      </c>
      <c r="B35" s="3">
        <v>5</v>
      </c>
      <c r="C35">
        <v>0</v>
      </c>
      <c r="D35">
        <v>0</v>
      </c>
      <c r="F35" s="3">
        <v>30</v>
      </c>
      <c r="G35" s="3">
        <v>5</v>
      </c>
      <c r="H35">
        <v>0</v>
      </c>
      <c r="I35">
        <v>0</v>
      </c>
      <c r="K35" s="3">
        <v>30</v>
      </c>
      <c r="L35" s="3">
        <v>5</v>
      </c>
      <c r="M35">
        <v>298.2801</v>
      </c>
      <c r="N35">
        <v>994.3</v>
      </c>
      <c r="P35" s="3">
        <v>30</v>
      </c>
      <c r="Q35" s="3">
        <v>5</v>
      </c>
      <c r="R35">
        <v>298.2801</v>
      </c>
      <c r="S35">
        <v>994.3</v>
      </c>
    </row>
    <row r="36" spans="1:19" x14ac:dyDescent="0.25">
      <c r="A36" s="3">
        <v>40</v>
      </c>
      <c r="B36" s="3">
        <v>1</v>
      </c>
      <c r="C36">
        <v>0</v>
      </c>
      <c r="D36">
        <v>0</v>
      </c>
      <c r="F36" s="3">
        <v>40</v>
      </c>
      <c r="G36" s="3">
        <v>1</v>
      </c>
      <c r="H36">
        <v>0</v>
      </c>
      <c r="I36">
        <v>0</v>
      </c>
      <c r="K36" s="3">
        <v>40</v>
      </c>
      <c r="L36" s="3">
        <v>1</v>
      </c>
      <c r="M36">
        <v>212.00919999999999</v>
      </c>
      <c r="N36">
        <v>1123.5</v>
      </c>
      <c r="P36" s="3">
        <v>40</v>
      </c>
      <c r="Q36" s="3">
        <v>1</v>
      </c>
      <c r="R36">
        <v>212.00919999999999</v>
      </c>
      <c r="S36">
        <v>1123.5</v>
      </c>
    </row>
    <row r="37" spans="1:19" x14ac:dyDescent="0.25">
      <c r="A37" s="3">
        <v>40</v>
      </c>
      <c r="B37" s="3">
        <v>2</v>
      </c>
      <c r="C37">
        <v>0</v>
      </c>
      <c r="D37">
        <v>0</v>
      </c>
      <c r="F37" s="3">
        <v>40</v>
      </c>
      <c r="G37" s="3">
        <v>2</v>
      </c>
      <c r="H37">
        <v>0</v>
      </c>
      <c r="I37">
        <v>0</v>
      </c>
      <c r="K37" s="3">
        <v>40</v>
      </c>
      <c r="L37" s="3">
        <v>2</v>
      </c>
      <c r="M37">
        <v>-86.269100000000009</v>
      </c>
      <c r="N37">
        <v>-457.2</v>
      </c>
      <c r="P37" s="3">
        <v>40</v>
      </c>
      <c r="Q37" s="3">
        <v>2</v>
      </c>
      <c r="R37">
        <v>-86.269100000000009</v>
      </c>
      <c r="S37">
        <v>-457.2</v>
      </c>
    </row>
    <row r="38" spans="1:19" x14ac:dyDescent="0.25">
      <c r="A38" s="3">
        <v>40</v>
      </c>
      <c r="B38" s="3">
        <v>3</v>
      </c>
      <c r="C38">
        <v>0</v>
      </c>
      <c r="D38">
        <v>0</v>
      </c>
      <c r="F38" s="3">
        <v>40</v>
      </c>
      <c r="G38" s="3">
        <v>3</v>
      </c>
      <c r="H38">
        <v>0</v>
      </c>
      <c r="I38">
        <v>0</v>
      </c>
      <c r="K38" s="3">
        <v>40</v>
      </c>
      <c r="L38" s="3">
        <v>3</v>
      </c>
      <c r="M38">
        <v>-86.269100000000009</v>
      </c>
      <c r="N38">
        <v>-457.2</v>
      </c>
      <c r="P38" s="3">
        <v>40</v>
      </c>
      <c r="Q38" s="3">
        <v>3</v>
      </c>
      <c r="R38">
        <v>-86.269100000000009</v>
      </c>
      <c r="S38">
        <v>-457.2</v>
      </c>
    </row>
    <row r="39" spans="1:19" x14ac:dyDescent="0.25">
      <c r="A39" s="3">
        <v>40</v>
      </c>
      <c r="B39" s="3">
        <v>4</v>
      </c>
      <c r="C39">
        <v>0</v>
      </c>
      <c r="D39">
        <v>0</v>
      </c>
      <c r="F39" s="3">
        <v>40</v>
      </c>
      <c r="G39" s="3">
        <v>4</v>
      </c>
      <c r="H39">
        <v>0</v>
      </c>
      <c r="I39">
        <v>0</v>
      </c>
      <c r="K39" s="3">
        <v>40</v>
      </c>
      <c r="L39" s="3">
        <v>4</v>
      </c>
      <c r="M39">
        <v>-86.269100000000009</v>
      </c>
      <c r="N39">
        <v>-457.2</v>
      </c>
      <c r="P39" s="3">
        <v>40</v>
      </c>
      <c r="Q39" s="3">
        <v>4</v>
      </c>
      <c r="R39">
        <v>-86.269100000000009</v>
      </c>
      <c r="S39">
        <v>-457.2</v>
      </c>
    </row>
    <row r="40" spans="1:19" x14ac:dyDescent="0.25">
      <c r="A40" s="3">
        <v>40</v>
      </c>
      <c r="B40" s="3">
        <v>5</v>
      </c>
      <c r="C40">
        <v>3.352573753266595E-5</v>
      </c>
      <c r="D40">
        <v>0</v>
      </c>
      <c r="F40" s="3">
        <v>40</v>
      </c>
      <c r="G40" s="3">
        <v>5</v>
      </c>
      <c r="H40">
        <v>-9.9999999974897946E-5</v>
      </c>
      <c r="I40">
        <v>0</v>
      </c>
      <c r="K40" s="3">
        <v>40</v>
      </c>
      <c r="L40" s="3">
        <v>5</v>
      </c>
      <c r="M40">
        <v>298.27820000000003</v>
      </c>
      <c r="N40">
        <v>994.3</v>
      </c>
      <c r="P40" s="3">
        <v>40</v>
      </c>
      <c r="Q40" s="3">
        <v>5</v>
      </c>
      <c r="R40">
        <v>298.2783</v>
      </c>
      <c r="S40">
        <v>994.3</v>
      </c>
    </row>
    <row r="41" spans="1:19" x14ac:dyDescent="0.25">
      <c r="A41" s="3">
        <v>50</v>
      </c>
      <c r="B41" s="3">
        <v>1</v>
      </c>
      <c r="C41">
        <v>0</v>
      </c>
      <c r="D41">
        <v>0</v>
      </c>
      <c r="F41" s="3">
        <v>50</v>
      </c>
      <c r="G41" s="3">
        <v>1</v>
      </c>
      <c r="H41">
        <v>0</v>
      </c>
      <c r="I41">
        <v>0</v>
      </c>
      <c r="K41" s="3">
        <v>50</v>
      </c>
      <c r="L41" s="3">
        <v>1</v>
      </c>
      <c r="M41">
        <v>215.2886</v>
      </c>
      <c r="N41">
        <v>1140.9000000000001</v>
      </c>
      <c r="P41" s="3">
        <v>50</v>
      </c>
      <c r="Q41" s="3">
        <v>1</v>
      </c>
      <c r="R41">
        <v>215.2886</v>
      </c>
      <c r="S41">
        <v>1140.9000000000001</v>
      </c>
    </row>
    <row r="42" spans="1:19" x14ac:dyDescent="0.25">
      <c r="A42" s="3">
        <v>50</v>
      </c>
      <c r="B42" s="3">
        <v>2</v>
      </c>
      <c r="C42">
        <v>0</v>
      </c>
      <c r="D42">
        <v>0</v>
      </c>
      <c r="F42" s="3">
        <v>50</v>
      </c>
      <c r="G42" s="3">
        <v>2</v>
      </c>
      <c r="H42">
        <v>0</v>
      </c>
      <c r="I42">
        <v>0</v>
      </c>
      <c r="K42" s="3">
        <v>50</v>
      </c>
      <c r="L42" s="3">
        <v>2</v>
      </c>
      <c r="M42">
        <v>-82.883300000000006</v>
      </c>
      <c r="N42">
        <v>-439.2</v>
      </c>
      <c r="P42" s="3">
        <v>50</v>
      </c>
      <c r="Q42" s="3">
        <v>2</v>
      </c>
      <c r="R42">
        <v>-82.883300000000006</v>
      </c>
      <c r="S42">
        <v>-439.2</v>
      </c>
    </row>
    <row r="43" spans="1:19" x14ac:dyDescent="0.25">
      <c r="A43" s="3">
        <v>50</v>
      </c>
      <c r="B43" s="3">
        <v>3</v>
      </c>
      <c r="C43">
        <v>0</v>
      </c>
      <c r="D43">
        <v>0</v>
      </c>
      <c r="F43" s="3">
        <v>50</v>
      </c>
      <c r="G43" s="3">
        <v>3</v>
      </c>
      <c r="H43">
        <v>0</v>
      </c>
      <c r="I43">
        <v>0</v>
      </c>
      <c r="K43" s="3">
        <v>50</v>
      </c>
      <c r="L43" s="3">
        <v>3</v>
      </c>
      <c r="M43">
        <v>-82.883300000000006</v>
      </c>
      <c r="N43">
        <v>-439.2</v>
      </c>
      <c r="P43" s="3">
        <v>50</v>
      </c>
      <c r="Q43" s="3">
        <v>3</v>
      </c>
      <c r="R43">
        <v>-82.883300000000006</v>
      </c>
      <c r="S43">
        <v>-439.2</v>
      </c>
    </row>
    <row r="44" spans="1:19" x14ac:dyDescent="0.25">
      <c r="A44" s="3">
        <v>50</v>
      </c>
      <c r="B44" s="3">
        <v>4</v>
      </c>
      <c r="C44">
        <v>0</v>
      </c>
      <c r="D44">
        <v>0</v>
      </c>
      <c r="F44" s="3">
        <v>50</v>
      </c>
      <c r="G44" s="3">
        <v>4</v>
      </c>
      <c r="H44">
        <v>0</v>
      </c>
      <c r="I44">
        <v>0</v>
      </c>
      <c r="K44" s="3">
        <v>50</v>
      </c>
      <c r="L44" s="3">
        <v>4</v>
      </c>
      <c r="M44">
        <v>-82.883300000000006</v>
      </c>
      <c r="N44">
        <v>-439.2</v>
      </c>
      <c r="P44" s="3">
        <v>50</v>
      </c>
      <c r="Q44" s="3">
        <v>4</v>
      </c>
      <c r="R44">
        <v>-82.883300000000006</v>
      </c>
      <c r="S44">
        <v>-439.2</v>
      </c>
    </row>
    <row r="45" spans="1:19" x14ac:dyDescent="0.25">
      <c r="A45" s="3">
        <v>50</v>
      </c>
      <c r="B45" s="3">
        <v>5</v>
      </c>
      <c r="C45">
        <v>0</v>
      </c>
      <c r="D45">
        <v>0</v>
      </c>
      <c r="F45" s="3">
        <v>50</v>
      </c>
      <c r="G45" s="3">
        <v>5</v>
      </c>
      <c r="H45">
        <v>0</v>
      </c>
      <c r="I45">
        <v>0</v>
      </c>
      <c r="K45" s="3">
        <v>50</v>
      </c>
      <c r="L45" s="3">
        <v>5</v>
      </c>
      <c r="M45">
        <v>298.17190000000011</v>
      </c>
      <c r="N45">
        <v>993.9</v>
      </c>
      <c r="P45" s="3">
        <v>50</v>
      </c>
      <c r="Q45" s="3">
        <v>5</v>
      </c>
      <c r="R45">
        <v>298.17190000000011</v>
      </c>
      <c r="S45">
        <v>993.9</v>
      </c>
    </row>
    <row r="46" spans="1:19" x14ac:dyDescent="0.25">
      <c r="A46" s="3">
        <v>60</v>
      </c>
      <c r="B46" s="3">
        <v>1</v>
      </c>
      <c r="C46">
        <v>4.6026106008855261E-5</v>
      </c>
      <c r="D46">
        <v>0</v>
      </c>
      <c r="F46" s="3">
        <v>60</v>
      </c>
      <c r="G46" s="3">
        <v>1</v>
      </c>
      <c r="H46">
        <v>-1.000000000033197E-4</v>
      </c>
      <c r="I46">
        <v>0</v>
      </c>
      <c r="K46" s="3">
        <v>60</v>
      </c>
      <c r="L46" s="3">
        <v>1</v>
      </c>
      <c r="M46">
        <v>217.2679</v>
      </c>
      <c r="N46">
        <v>1151.4000000000001</v>
      </c>
      <c r="P46" s="3">
        <v>60</v>
      </c>
      <c r="Q46" s="3">
        <v>1</v>
      </c>
      <c r="R46">
        <v>217.268</v>
      </c>
      <c r="S46">
        <v>1151.4000000000001</v>
      </c>
    </row>
    <row r="47" spans="1:19" x14ac:dyDescent="0.25">
      <c r="A47" s="3">
        <v>60</v>
      </c>
      <c r="B47" s="3">
        <v>2</v>
      </c>
      <c r="C47">
        <v>0</v>
      </c>
      <c r="D47">
        <v>0</v>
      </c>
      <c r="F47" s="3">
        <v>60</v>
      </c>
      <c r="G47" s="3">
        <v>2</v>
      </c>
      <c r="H47">
        <v>0</v>
      </c>
      <c r="I47">
        <v>0</v>
      </c>
      <c r="K47" s="3">
        <v>60</v>
      </c>
      <c r="L47" s="3">
        <v>2</v>
      </c>
      <c r="M47">
        <v>-80.7072</v>
      </c>
      <c r="N47">
        <v>-427.7</v>
      </c>
      <c r="P47" s="3">
        <v>60</v>
      </c>
      <c r="Q47" s="3">
        <v>2</v>
      </c>
      <c r="R47">
        <v>-80.7072</v>
      </c>
      <c r="S47">
        <v>-427.7</v>
      </c>
    </row>
    <row r="48" spans="1:19" x14ac:dyDescent="0.25">
      <c r="A48" s="3">
        <v>60</v>
      </c>
      <c r="B48" s="3">
        <v>3</v>
      </c>
      <c r="C48">
        <v>0</v>
      </c>
      <c r="D48">
        <v>0</v>
      </c>
      <c r="F48" s="3">
        <v>60</v>
      </c>
      <c r="G48" s="3">
        <v>3</v>
      </c>
      <c r="H48">
        <v>0</v>
      </c>
      <c r="I48">
        <v>0</v>
      </c>
      <c r="K48" s="3">
        <v>60</v>
      </c>
      <c r="L48" s="3">
        <v>3</v>
      </c>
      <c r="M48">
        <v>-80.7072</v>
      </c>
      <c r="N48">
        <v>-427.7</v>
      </c>
      <c r="P48" s="3">
        <v>60</v>
      </c>
      <c r="Q48" s="3">
        <v>3</v>
      </c>
      <c r="R48">
        <v>-80.7072</v>
      </c>
      <c r="S48">
        <v>-427.7</v>
      </c>
    </row>
    <row r="49" spans="1:19" x14ac:dyDescent="0.25">
      <c r="A49" s="3">
        <v>60</v>
      </c>
      <c r="B49" s="3">
        <v>4</v>
      </c>
      <c r="C49">
        <v>0</v>
      </c>
      <c r="D49">
        <v>0</v>
      </c>
      <c r="F49" s="3">
        <v>60</v>
      </c>
      <c r="G49" s="3">
        <v>4</v>
      </c>
      <c r="H49">
        <v>0</v>
      </c>
      <c r="I49">
        <v>0</v>
      </c>
      <c r="K49" s="3">
        <v>60</v>
      </c>
      <c r="L49" s="3">
        <v>4</v>
      </c>
      <c r="M49">
        <v>-80.7072</v>
      </c>
      <c r="N49">
        <v>-427.7</v>
      </c>
      <c r="P49" s="3">
        <v>60</v>
      </c>
      <c r="Q49" s="3">
        <v>4</v>
      </c>
      <c r="R49">
        <v>-80.7072</v>
      </c>
      <c r="S49">
        <v>-427.7</v>
      </c>
    </row>
    <row r="50" spans="1:19" x14ac:dyDescent="0.25">
      <c r="A50" s="3">
        <v>60</v>
      </c>
      <c r="B50" s="3">
        <v>5</v>
      </c>
      <c r="C50">
        <v>3.3559839889944311E-5</v>
      </c>
      <c r="D50">
        <v>0</v>
      </c>
      <c r="F50" s="3">
        <v>60</v>
      </c>
      <c r="G50" s="3">
        <v>5</v>
      </c>
      <c r="H50">
        <v>-1.0000000003174141E-4</v>
      </c>
      <c r="I50">
        <v>0</v>
      </c>
      <c r="K50" s="3">
        <v>60</v>
      </c>
      <c r="L50" s="3">
        <v>5</v>
      </c>
      <c r="M50">
        <v>297.9751</v>
      </c>
      <c r="N50">
        <v>993.3</v>
      </c>
      <c r="P50" s="3">
        <v>60</v>
      </c>
      <c r="Q50" s="3">
        <v>5</v>
      </c>
      <c r="R50">
        <v>297.97519999999997</v>
      </c>
      <c r="S50">
        <v>993.3</v>
      </c>
    </row>
    <row r="51" spans="1:19" x14ac:dyDescent="0.25">
      <c r="A51" s="3">
        <v>70</v>
      </c>
      <c r="B51" s="3">
        <v>1</v>
      </c>
      <c r="C51">
        <v>4.5766632269181918E-5</v>
      </c>
      <c r="D51">
        <v>0</v>
      </c>
      <c r="F51" s="3">
        <v>70</v>
      </c>
      <c r="G51" s="3">
        <v>1</v>
      </c>
      <c r="H51">
        <v>-9.9999999974897946E-5</v>
      </c>
      <c r="I51">
        <v>0</v>
      </c>
      <c r="K51" s="3">
        <v>70</v>
      </c>
      <c r="L51" s="3">
        <v>1</v>
      </c>
      <c r="M51">
        <v>218.49969999999999</v>
      </c>
      <c r="N51">
        <v>1157.9000000000001</v>
      </c>
      <c r="P51" s="3">
        <v>70</v>
      </c>
      <c r="Q51" s="3">
        <v>1</v>
      </c>
      <c r="R51">
        <v>218.49979999999999</v>
      </c>
      <c r="S51">
        <v>1157.9000000000001</v>
      </c>
    </row>
    <row r="52" spans="1:19" x14ac:dyDescent="0.25">
      <c r="A52" s="3">
        <v>70</v>
      </c>
      <c r="B52" s="3">
        <v>2</v>
      </c>
      <c r="C52">
        <v>1.2638182729052369E-4</v>
      </c>
      <c r="D52">
        <v>0</v>
      </c>
      <c r="F52" s="3">
        <v>70</v>
      </c>
      <c r="G52" s="3">
        <v>2</v>
      </c>
      <c r="H52">
        <v>-9.9999999989108801E-5</v>
      </c>
      <c r="I52">
        <v>0</v>
      </c>
      <c r="K52" s="3">
        <v>70</v>
      </c>
      <c r="L52" s="3">
        <v>2</v>
      </c>
      <c r="M52">
        <v>-79.125399999999999</v>
      </c>
      <c r="N52">
        <v>-419.3</v>
      </c>
      <c r="P52" s="3">
        <v>70</v>
      </c>
      <c r="Q52" s="3">
        <v>2</v>
      </c>
      <c r="R52">
        <v>-79.12530000000001</v>
      </c>
      <c r="S52">
        <v>-419.3</v>
      </c>
    </row>
    <row r="53" spans="1:19" x14ac:dyDescent="0.25">
      <c r="A53" s="3">
        <v>70</v>
      </c>
      <c r="B53" s="3">
        <v>3</v>
      </c>
      <c r="C53">
        <v>1.2638182729052369E-4</v>
      </c>
      <c r="D53">
        <v>0</v>
      </c>
      <c r="F53" s="3">
        <v>70</v>
      </c>
      <c r="G53" s="3">
        <v>3</v>
      </c>
      <c r="H53">
        <v>-9.9999999989108801E-5</v>
      </c>
      <c r="I53">
        <v>0</v>
      </c>
      <c r="K53" s="3">
        <v>70</v>
      </c>
      <c r="L53" s="3">
        <v>3</v>
      </c>
      <c r="M53">
        <v>-79.125399999999999</v>
      </c>
      <c r="N53">
        <v>-419.3</v>
      </c>
      <c r="P53" s="3">
        <v>70</v>
      </c>
      <c r="Q53" s="3">
        <v>3</v>
      </c>
      <c r="R53">
        <v>-79.12530000000001</v>
      </c>
      <c r="S53">
        <v>-419.3</v>
      </c>
    </row>
    <row r="54" spans="1:19" x14ac:dyDescent="0.25">
      <c r="A54" s="3">
        <v>70</v>
      </c>
      <c r="B54" s="3">
        <v>4</v>
      </c>
      <c r="C54">
        <v>1.2638182729052369E-4</v>
      </c>
      <c r="D54">
        <v>0</v>
      </c>
      <c r="F54" s="3">
        <v>70</v>
      </c>
      <c r="G54" s="3">
        <v>4</v>
      </c>
      <c r="H54">
        <v>-9.9999999989108801E-5</v>
      </c>
      <c r="I54">
        <v>0</v>
      </c>
      <c r="K54" s="3">
        <v>70</v>
      </c>
      <c r="L54" s="3">
        <v>4</v>
      </c>
      <c r="M54">
        <v>-79.125399999999999</v>
      </c>
      <c r="N54">
        <v>-419.3</v>
      </c>
      <c r="P54" s="3">
        <v>70</v>
      </c>
      <c r="Q54" s="3">
        <v>4</v>
      </c>
      <c r="R54">
        <v>-79.12530000000001</v>
      </c>
      <c r="S54">
        <v>-419.3</v>
      </c>
    </row>
    <row r="55" spans="1:19" x14ac:dyDescent="0.25">
      <c r="A55" s="3">
        <v>70</v>
      </c>
      <c r="B55" s="3">
        <v>5</v>
      </c>
      <c r="C55">
        <v>0</v>
      </c>
      <c r="D55">
        <v>0</v>
      </c>
      <c r="F55" s="3">
        <v>70</v>
      </c>
      <c r="G55" s="3">
        <v>5</v>
      </c>
      <c r="H55">
        <v>0</v>
      </c>
      <c r="I55">
        <v>0</v>
      </c>
      <c r="K55" s="3">
        <v>70</v>
      </c>
      <c r="L55" s="3">
        <v>5</v>
      </c>
      <c r="M55">
        <v>297.62509999999997</v>
      </c>
      <c r="N55">
        <v>992.1</v>
      </c>
      <c r="P55" s="3">
        <v>70</v>
      </c>
      <c r="Q55" s="3">
        <v>5</v>
      </c>
      <c r="R55">
        <v>297.62509999999997</v>
      </c>
      <c r="S55">
        <v>992.1</v>
      </c>
    </row>
    <row r="56" spans="1:19" x14ac:dyDescent="0.25">
      <c r="A56" s="3">
        <v>80</v>
      </c>
      <c r="B56" s="3">
        <v>1</v>
      </c>
      <c r="C56">
        <v>4.5610658313108668E-5</v>
      </c>
      <c r="D56">
        <v>0</v>
      </c>
      <c r="F56" s="3">
        <v>80</v>
      </c>
      <c r="G56" s="3">
        <v>1</v>
      </c>
      <c r="H56">
        <v>-1.0000000003174141E-4</v>
      </c>
      <c r="I56">
        <v>0</v>
      </c>
      <c r="K56" s="3">
        <v>80</v>
      </c>
      <c r="L56" s="3">
        <v>1</v>
      </c>
      <c r="M56">
        <v>219.24690000000001</v>
      </c>
      <c r="N56">
        <v>1161.9000000000001</v>
      </c>
      <c r="P56" s="3">
        <v>80</v>
      </c>
      <c r="Q56" s="3">
        <v>1</v>
      </c>
      <c r="R56">
        <v>219.24700000000001</v>
      </c>
      <c r="S56">
        <v>1161.9000000000001</v>
      </c>
    </row>
    <row r="57" spans="1:19" x14ac:dyDescent="0.25">
      <c r="A57" s="3">
        <v>80</v>
      </c>
      <c r="B57" s="3">
        <v>2</v>
      </c>
      <c r="C57">
        <v>0</v>
      </c>
      <c r="D57">
        <v>0</v>
      </c>
      <c r="F57" s="3">
        <v>80</v>
      </c>
      <c r="G57" s="3">
        <v>2</v>
      </c>
      <c r="H57">
        <v>0</v>
      </c>
      <c r="I57">
        <v>0</v>
      </c>
      <c r="K57" s="3">
        <v>80</v>
      </c>
      <c r="L57" s="3">
        <v>2</v>
      </c>
      <c r="M57">
        <v>-77.8339</v>
      </c>
      <c r="N57">
        <v>-412.5</v>
      </c>
      <c r="P57" s="3">
        <v>80</v>
      </c>
      <c r="Q57" s="3">
        <v>2</v>
      </c>
      <c r="R57">
        <v>-77.8339</v>
      </c>
      <c r="S57">
        <v>-412.5</v>
      </c>
    </row>
    <row r="58" spans="1:19" x14ac:dyDescent="0.25">
      <c r="A58" s="3">
        <v>80</v>
      </c>
      <c r="B58" s="3">
        <v>3</v>
      </c>
      <c r="C58">
        <v>0</v>
      </c>
      <c r="D58">
        <v>0</v>
      </c>
      <c r="F58" s="3">
        <v>80</v>
      </c>
      <c r="G58" s="3">
        <v>3</v>
      </c>
      <c r="H58">
        <v>0</v>
      </c>
      <c r="I58">
        <v>0</v>
      </c>
      <c r="K58" s="3">
        <v>80</v>
      </c>
      <c r="L58" s="3">
        <v>3</v>
      </c>
      <c r="M58">
        <v>-77.8339</v>
      </c>
      <c r="N58">
        <v>-412.5</v>
      </c>
      <c r="P58" s="3">
        <v>80</v>
      </c>
      <c r="Q58" s="3">
        <v>3</v>
      </c>
      <c r="R58">
        <v>-77.8339</v>
      </c>
      <c r="S58">
        <v>-412.5</v>
      </c>
    </row>
    <row r="59" spans="1:19" x14ac:dyDescent="0.25">
      <c r="A59" s="3">
        <v>80</v>
      </c>
      <c r="B59" s="3">
        <v>4</v>
      </c>
      <c r="C59">
        <v>0</v>
      </c>
      <c r="D59">
        <v>0</v>
      </c>
      <c r="F59" s="3">
        <v>80</v>
      </c>
      <c r="G59" s="3">
        <v>4</v>
      </c>
      <c r="H59">
        <v>0</v>
      </c>
      <c r="I59">
        <v>0</v>
      </c>
      <c r="K59" s="3">
        <v>80</v>
      </c>
      <c r="L59" s="3">
        <v>4</v>
      </c>
      <c r="M59">
        <v>-77.8339</v>
      </c>
      <c r="N59">
        <v>-412.5</v>
      </c>
      <c r="P59" s="3">
        <v>80</v>
      </c>
      <c r="Q59" s="3">
        <v>4</v>
      </c>
      <c r="R59">
        <v>-77.8339</v>
      </c>
      <c r="S59">
        <v>-412.5</v>
      </c>
    </row>
    <row r="60" spans="1:19" x14ac:dyDescent="0.25">
      <c r="A60" s="3">
        <v>80</v>
      </c>
      <c r="B60" s="3">
        <v>5</v>
      </c>
      <c r="C60">
        <v>0</v>
      </c>
      <c r="D60">
        <v>0</v>
      </c>
      <c r="F60" s="3">
        <v>80</v>
      </c>
      <c r="G60" s="3">
        <v>5</v>
      </c>
      <c r="H60">
        <v>0</v>
      </c>
      <c r="I60">
        <v>0</v>
      </c>
      <c r="K60" s="3">
        <v>80</v>
      </c>
      <c r="L60" s="3">
        <v>5</v>
      </c>
      <c r="M60">
        <v>297.08080000000001</v>
      </c>
      <c r="N60">
        <v>990.3</v>
      </c>
      <c r="P60" s="3">
        <v>80</v>
      </c>
      <c r="Q60" s="3">
        <v>5</v>
      </c>
      <c r="R60">
        <v>297.08080000000001</v>
      </c>
      <c r="S60">
        <v>990.3</v>
      </c>
    </row>
    <row r="61" spans="1:19" x14ac:dyDescent="0.25">
      <c r="A61" s="3">
        <v>90</v>
      </c>
      <c r="B61" s="3">
        <v>1</v>
      </c>
      <c r="C61">
        <v>0</v>
      </c>
      <c r="D61">
        <v>0</v>
      </c>
      <c r="F61" s="3">
        <v>90</v>
      </c>
      <c r="G61" s="3">
        <v>1</v>
      </c>
      <c r="H61">
        <v>0</v>
      </c>
      <c r="I61">
        <v>0</v>
      </c>
      <c r="K61" s="3">
        <v>90</v>
      </c>
      <c r="L61" s="3">
        <v>1</v>
      </c>
      <c r="M61">
        <v>219.64769999999999</v>
      </c>
      <c r="N61">
        <v>1164</v>
      </c>
      <c r="P61" s="3">
        <v>90</v>
      </c>
      <c r="Q61" s="3">
        <v>1</v>
      </c>
      <c r="R61">
        <v>219.64769999999999</v>
      </c>
      <c r="S61">
        <v>1164</v>
      </c>
    </row>
    <row r="62" spans="1:19" x14ac:dyDescent="0.25">
      <c r="A62" s="3">
        <v>90</v>
      </c>
      <c r="B62" s="3">
        <v>2</v>
      </c>
      <c r="C62">
        <v>0</v>
      </c>
      <c r="D62">
        <v>0</v>
      </c>
      <c r="F62" s="3">
        <v>90</v>
      </c>
      <c r="G62" s="3">
        <v>2</v>
      </c>
      <c r="H62">
        <v>0</v>
      </c>
      <c r="I62">
        <v>0</v>
      </c>
      <c r="K62" s="3">
        <v>90</v>
      </c>
      <c r="L62" s="3">
        <v>2</v>
      </c>
      <c r="M62">
        <v>-76.688199999999995</v>
      </c>
      <c r="N62">
        <v>-406.4</v>
      </c>
      <c r="P62" s="3">
        <v>90</v>
      </c>
      <c r="Q62" s="3">
        <v>2</v>
      </c>
      <c r="R62">
        <v>-76.688199999999995</v>
      </c>
      <c r="S62">
        <v>-406.4</v>
      </c>
    </row>
    <row r="63" spans="1:19" x14ac:dyDescent="0.25">
      <c r="A63" s="3">
        <v>90</v>
      </c>
      <c r="B63" s="3">
        <v>3</v>
      </c>
      <c r="C63">
        <v>0</v>
      </c>
      <c r="D63">
        <v>0</v>
      </c>
      <c r="F63" s="3">
        <v>90</v>
      </c>
      <c r="G63" s="3">
        <v>3</v>
      </c>
      <c r="H63">
        <v>0</v>
      </c>
      <c r="I63">
        <v>0</v>
      </c>
      <c r="K63" s="3">
        <v>90</v>
      </c>
      <c r="L63" s="3">
        <v>3</v>
      </c>
      <c r="M63">
        <v>-76.688199999999995</v>
      </c>
      <c r="N63">
        <v>-406.4</v>
      </c>
      <c r="P63" s="3">
        <v>90</v>
      </c>
      <c r="Q63" s="3">
        <v>3</v>
      </c>
      <c r="R63">
        <v>-76.688199999999995</v>
      </c>
      <c r="S63">
        <v>-406.4</v>
      </c>
    </row>
    <row r="64" spans="1:19" x14ac:dyDescent="0.25">
      <c r="A64" s="3">
        <v>90</v>
      </c>
      <c r="B64" s="3">
        <v>4</v>
      </c>
      <c r="C64">
        <v>0</v>
      </c>
      <c r="D64">
        <v>0</v>
      </c>
      <c r="F64" s="3">
        <v>90</v>
      </c>
      <c r="G64" s="3">
        <v>4</v>
      </c>
      <c r="H64">
        <v>0</v>
      </c>
      <c r="I64">
        <v>0</v>
      </c>
      <c r="K64" s="3">
        <v>90</v>
      </c>
      <c r="L64" s="3">
        <v>4</v>
      </c>
      <c r="M64">
        <v>-76.688199999999995</v>
      </c>
      <c r="N64">
        <v>-406.4</v>
      </c>
      <c r="P64" s="3">
        <v>90</v>
      </c>
      <c r="Q64" s="3">
        <v>4</v>
      </c>
      <c r="R64">
        <v>-76.688199999999995</v>
      </c>
      <c r="S64">
        <v>-406.4</v>
      </c>
    </row>
    <row r="65" spans="1:19" x14ac:dyDescent="0.25">
      <c r="A65" s="3">
        <v>90</v>
      </c>
      <c r="B65" s="3">
        <v>5</v>
      </c>
      <c r="C65">
        <v>3.3745489504221848E-5</v>
      </c>
      <c r="D65">
        <v>0</v>
      </c>
      <c r="F65" s="3">
        <v>90</v>
      </c>
      <c r="G65" s="3">
        <v>5</v>
      </c>
      <c r="H65">
        <v>-1.0000000003174141E-4</v>
      </c>
      <c r="I65">
        <v>0</v>
      </c>
      <c r="K65" s="3">
        <v>90</v>
      </c>
      <c r="L65" s="3">
        <v>5</v>
      </c>
      <c r="M65">
        <v>296.33580000000001</v>
      </c>
      <c r="N65">
        <v>987.8</v>
      </c>
      <c r="P65" s="3">
        <v>90</v>
      </c>
      <c r="Q65" s="3">
        <v>5</v>
      </c>
      <c r="R65">
        <v>296.33589999999998</v>
      </c>
      <c r="S65">
        <v>987.8</v>
      </c>
    </row>
    <row r="66" spans="1:19" x14ac:dyDescent="0.25">
      <c r="A66" s="3">
        <v>100</v>
      </c>
      <c r="B66" s="3">
        <v>1</v>
      </c>
      <c r="C66">
        <v>0</v>
      </c>
      <c r="D66">
        <v>0</v>
      </c>
      <c r="F66" s="3">
        <v>100</v>
      </c>
      <c r="G66" s="3">
        <v>1</v>
      </c>
      <c r="H66">
        <v>0</v>
      </c>
      <c r="I66">
        <v>0</v>
      </c>
      <c r="K66" s="3">
        <v>100</v>
      </c>
      <c r="L66" s="3">
        <v>1</v>
      </c>
      <c r="M66">
        <v>219.80199999999999</v>
      </c>
      <c r="N66">
        <v>1164.8</v>
      </c>
      <c r="P66" s="3">
        <v>100</v>
      </c>
      <c r="Q66" s="3">
        <v>1</v>
      </c>
      <c r="R66">
        <v>219.80199999999999</v>
      </c>
      <c r="S66">
        <v>1164.8</v>
      </c>
    </row>
    <row r="67" spans="1:19" x14ac:dyDescent="0.25">
      <c r="A67" s="3">
        <v>100</v>
      </c>
      <c r="B67" s="3">
        <v>2</v>
      </c>
      <c r="C67">
        <v>1.3220972693841891E-4</v>
      </c>
      <c r="D67">
        <v>0</v>
      </c>
      <c r="F67" s="3">
        <v>100</v>
      </c>
      <c r="G67" s="3">
        <v>2</v>
      </c>
      <c r="H67">
        <v>-1.000000000033197E-4</v>
      </c>
      <c r="I67">
        <v>0</v>
      </c>
      <c r="K67" s="3">
        <v>100</v>
      </c>
      <c r="L67" s="3">
        <v>2</v>
      </c>
      <c r="M67">
        <v>-75.637500000000003</v>
      </c>
      <c r="N67">
        <v>-400.8</v>
      </c>
      <c r="P67" s="3">
        <v>100</v>
      </c>
      <c r="Q67" s="3">
        <v>2</v>
      </c>
      <c r="R67">
        <v>-75.6374</v>
      </c>
      <c r="S67">
        <v>-400.8</v>
      </c>
    </row>
    <row r="68" spans="1:19" x14ac:dyDescent="0.25">
      <c r="A68" s="3">
        <v>100</v>
      </c>
      <c r="B68" s="3">
        <v>3</v>
      </c>
      <c r="C68">
        <v>1.3220972693841891E-4</v>
      </c>
      <c r="D68">
        <v>0</v>
      </c>
      <c r="F68" s="3">
        <v>100</v>
      </c>
      <c r="G68" s="3">
        <v>3</v>
      </c>
      <c r="H68">
        <v>-1.000000000033197E-4</v>
      </c>
      <c r="I68">
        <v>0</v>
      </c>
      <c r="K68" s="3">
        <v>100</v>
      </c>
      <c r="L68" s="3">
        <v>3</v>
      </c>
      <c r="M68">
        <v>-75.637500000000003</v>
      </c>
      <c r="N68">
        <v>-400.8</v>
      </c>
      <c r="P68" s="3">
        <v>100</v>
      </c>
      <c r="Q68" s="3">
        <v>3</v>
      </c>
      <c r="R68">
        <v>-75.6374</v>
      </c>
      <c r="S68">
        <v>-400.8</v>
      </c>
    </row>
    <row r="69" spans="1:19" x14ac:dyDescent="0.25">
      <c r="A69" s="3">
        <v>100</v>
      </c>
      <c r="B69" s="3">
        <v>4</v>
      </c>
      <c r="C69">
        <v>1.3220972693841891E-4</v>
      </c>
      <c r="D69">
        <v>0</v>
      </c>
      <c r="F69" s="3">
        <v>100</v>
      </c>
      <c r="G69" s="3">
        <v>4</v>
      </c>
      <c r="H69">
        <v>-1.000000000033197E-4</v>
      </c>
      <c r="I69">
        <v>0</v>
      </c>
      <c r="K69" s="3">
        <v>100</v>
      </c>
      <c r="L69" s="3">
        <v>4</v>
      </c>
      <c r="M69">
        <v>-75.637500000000003</v>
      </c>
      <c r="N69">
        <v>-400.8</v>
      </c>
      <c r="P69" s="3">
        <v>100</v>
      </c>
      <c r="Q69" s="3">
        <v>4</v>
      </c>
      <c r="R69">
        <v>-75.6374</v>
      </c>
      <c r="S69">
        <v>-400.8</v>
      </c>
    </row>
    <row r="70" spans="1:19" x14ac:dyDescent="0.25">
      <c r="A70" s="3">
        <v>100</v>
      </c>
      <c r="B70" s="3">
        <v>5</v>
      </c>
      <c r="C70">
        <v>0</v>
      </c>
      <c r="D70">
        <v>0</v>
      </c>
      <c r="F70" s="3">
        <v>100</v>
      </c>
      <c r="G70" s="3">
        <v>5</v>
      </c>
      <c r="H70">
        <v>0</v>
      </c>
      <c r="I70">
        <v>0</v>
      </c>
      <c r="K70" s="3">
        <v>100</v>
      </c>
      <c r="L70" s="3">
        <v>5</v>
      </c>
      <c r="M70">
        <v>295.43950000000001</v>
      </c>
      <c r="N70">
        <v>984.8</v>
      </c>
      <c r="P70" s="3">
        <v>100</v>
      </c>
      <c r="Q70" s="3">
        <v>5</v>
      </c>
      <c r="R70">
        <v>295.43950000000001</v>
      </c>
      <c r="S70">
        <v>984.8</v>
      </c>
    </row>
    <row r="71" spans="1:19" x14ac:dyDescent="0.25">
      <c r="A71" s="3">
        <v>120</v>
      </c>
      <c r="B71" s="3">
        <v>1</v>
      </c>
      <c r="C71">
        <v>4.5522663902028827E-5</v>
      </c>
      <c r="D71">
        <v>0</v>
      </c>
      <c r="F71" s="3">
        <v>120</v>
      </c>
      <c r="G71" s="3">
        <v>1</v>
      </c>
      <c r="H71">
        <v>-9.9999999974897946E-5</v>
      </c>
      <c r="I71">
        <v>0</v>
      </c>
      <c r="K71" s="3">
        <v>120</v>
      </c>
      <c r="L71" s="3">
        <v>1</v>
      </c>
      <c r="M71">
        <v>219.67070000000001</v>
      </c>
      <c r="N71">
        <v>1164.0999999999999</v>
      </c>
      <c r="P71" s="3">
        <v>120</v>
      </c>
      <c r="Q71" s="3">
        <v>1</v>
      </c>
      <c r="R71">
        <v>219.67080000000001</v>
      </c>
      <c r="S71">
        <v>1164.0999999999999</v>
      </c>
    </row>
    <row r="72" spans="1:19" x14ac:dyDescent="0.25">
      <c r="A72" s="3">
        <v>120</v>
      </c>
      <c r="B72" s="3">
        <v>2</v>
      </c>
      <c r="C72">
        <v>1.3551512688053619E-4</v>
      </c>
      <c r="D72">
        <v>0</v>
      </c>
      <c r="F72" s="3">
        <v>120</v>
      </c>
      <c r="G72" s="3">
        <v>2</v>
      </c>
      <c r="H72">
        <v>-1.000000000033197E-4</v>
      </c>
      <c r="I72">
        <v>0</v>
      </c>
      <c r="K72" s="3">
        <v>120</v>
      </c>
      <c r="L72" s="3">
        <v>2</v>
      </c>
      <c r="M72">
        <v>-73.792600000000007</v>
      </c>
      <c r="N72">
        <v>-391.1</v>
      </c>
      <c r="P72" s="3">
        <v>120</v>
      </c>
      <c r="Q72" s="3">
        <v>2</v>
      </c>
      <c r="R72">
        <v>-73.792500000000004</v>
      </c>
      <c r="S72">
        <v>-391.1</v>
      </c>
    </row>
    <row r="73" spans="1:19" x14ac:dyDescent="0.25">
      <c r="A73" s="3">
        <v>120</v>
      </c>
      <c r="B73" s="3">
        <v>3</v>
      </c>
      <c r="C73">
        <v>1.3551512688053619E-4</v>
      </c>
      <c r="D73">
        <v>0</v>
      </c>
      <c r="F73" s="3">
        <v>120</v>
      </c>
      <c r="G73" s="3">
        <v>3</v>
      </c>
      <c r="H73">
        <v>-1.000000000033197E-4</v>
      </c>
      <c r="I73">
        <v>0</v>
      </c>
      <c r="K73" s="3">
        <v>120</v>
      </c>
      <c r="L73" s="3">
        <v>3</v>
      </c>
      <c r="M73">
        <v>-73.792600000000007</v>
      </c>
      <c r="N73">
        <v>-391.1</v>
      </c>
      <c r="P73" s="3">
        <v>120</v>
      </c>
      <c r="Q73" s="3">
        <v>3</v>
      </c>
      <c r="R73">
        <v>-73.792500000000004</v>
      </c>
      <c r="S73">
        <v>-391.1</v>
      </c>
    </row>
    <row r="74" spans="1:19" x14ac:dyDescent="0.25">
      <c r="A74" s="3">
        <v>120</v>
      </c>
      <c r="B74" s="3">
        <v>4</v>
      </c>
      <c r="C74">
        <v>1.3551512688053619E-4</v>
      </c>
      <c r="D74">
        <v>0</v>
      </c>
      <c r="F74" s="3">
        <v>120</v>
      </c>
      <c r="G74" s="3">
        <v>4</v>
      </c>
      <c r="H74">
        <v>-1.000000000033197E-4</v>
      </c>
      <c r="I74">
        <v>0</v>
      </c>
      <c r="K74" s="3">
        <v>120</v>
      </c>
      <c r="L74" s="3">
        <v>4</v>
      </c>
      <c r="M74">
        <v>-73.792600000000007</v>
      </c>
      <c r="N74">
        <v>-391.1</v>
      </c>
      <c r="P74" s="3">
        <v>120</v>
      </c>
      <c r="Q74" s="3">
        <v>4</v>
      </c>
      <c r="R74">
        <v>-73.792500000000004</v>
      </c>
      <c r="S74">
        <v>-391.1</v>
      </c>
    </row>
    <row r="75" spans="1:19" x14ac:dyDescent="0.25">
      <c r="A75" s="3">
        <v>120</v>
      </c>
      <c r="B75" s="3">
        <v>5</v>
      </c>
      <c r="C75">
        <v>3.4075811174650442E-5</v>
      </c>
      <c r="D75">
        <v>0</v>
      </c>
      <c r="F75" s="3">
        <v>120</v>
      </c>
      <c r="G75" s="3">
        <v>5</v>
      </c>
      <c r="H75">
        <v>-9.9999999974897946E-5</v>
      </c>
      <c r="I75">
        <v>0</v>
      </c>
      <c r="K75" s="3">
        <v>120</v>
      </c>
      <c r="L75" s="3">
        <v>5</v>
      </c>
      <c r="M75">
        <v>293.46319999999997</v>
      </c>
      <c r="N75">
        <v>978.2</v>
      </c>
      <c r="P75" s="3">
        <v>120</v>
      </c>
      <c r="Q75" s="3">
        <v>5</v>
      </c>
      <c r="R75">
        <v>293.4633</v>
      </c>
      <c r="S75">
        <v>978.2</v>
      </c>
    </row>
    <row r="76" spans="1:19" x14ac:dyDescent="0.25">
      <c r="A76" s="3">
        <v>140</v>
      </c>
      <c r="B76" s="3">
        <v>1</v>
      </c>
      <c r="C76">
        <v>0</v>
      </c>
      <c r="D76">
        <v>0</v>
      </c>
      <c r="F76" s="3">
        <v>140</v>
      </c>
      <c r="G76" s="3">
        <v>1</v>
      </c>
      <c r="H76">
        <v>0</v>
      </c>
      <c r="I76">
        <v>0</v>
      </c>
      <c r="K76" s="3">
        <v>140</v>
      </c>
      <c r="L76" s="3">
        <v>1</v>
      </c>
      <c r="M76">
        <v>219.32980000000001</v>
      </c>
      <c r="N76">
        <v>1162.3</v>
      </c>
      <c r="P76" s="3">
        <v>140</v>
      </c>
      <c r="Q76" s="3">
        <v>1</v>
      </c>
      <c r="R76">
        <v>219.32980000000001</v>
      </c>
      <c r="S76">
        <v>1162.3</v>
      </c>
    </row>
    <row r="77" spans="1:19" x14ac:dyDescent="0.25">
      <c r="A77" s="3">
        <v>140</v>
      </c>
      <c r="B77" s="3">
        <v>2</v>
      </c>
      <c r="C77">
        <v>0</v>
      </c>
      <c r="D77">
        <v>0</v>
      </c>
      <c r="F77" s="3">
        <v>140</v>
      </c>
      <c r="G77" s="3">
        <v>2</v>
      </c>
      <c r="H77">
        <v>0</v>
      </c>
      <c r="I77">
        <v>0</v>
      </c>
      <c r="K77" s="3">
        <v>140</v>
      </c>
      <c r="L77" s="3">
        <v>2</v>
      </c>
      <c r="M77">
        <v>-72.332300000000004</v>
      </c>
      <c r="N77">
        <v>-383.3</v>
      </c>
      <c r="P77" s="3">
        <v>140</v>
      </c>
      <c r="Q77" s="3">
        <v>2</v>
      </c>
      <c r="R77">
        <v>-72.332300000000004</v>
      </c>
      <c r="S77">
        <v>-383.3</v>
      </c>
    </row>
    <row r="78" spans="1:19" x14ac:dyDescent="0.25">
      <c r="A78" s="3">
        <v>140</v>
      </c>
      <c r="B78" s="3">
        <v>3</v>
      </c>
      <c r="C78">
        <v>0</v>
      </c>
      <c r="D78">
        <v>0</v>
      </c>
      <c r="F78" s="3">
        <v>140</v>
      </c>
      <c r="G78" s="3">
        <v>3</v>
      </c>
      <c r="H78">
        <v>0</v>
      </c>
      <c r="I78">
        <v>0</v>
      </c>
      <c r="K78" s="3">
        <v>140</v>
      </c>
      <c r="L78" s="3">
        <v>3</v>
      </c>
      <c r="M78">
        <v>-72.332300000000004</v>
      </c>
      <c r="N78">
        <v>-383.3</v>
      </c>
      <c r="P78" s="3">
        <v>140</v>
      </c>
      <c r="Q78" s="3">
        <v>3</v>
      </c>
      <c r="R78">
        <v>-72.332300000000004</v>
      </c>
      <c r="S78">
        <v>-383.3</v>
      </c>
    </row>
    <row r="79" spans="1:19" x14ac:dyDescent="0.25">
      <c r="A79" s="3">
        <v>140</v>
      </c>
      <c r="B79" s="3">
        <v>4</v>
      </c>
      <c r="C79">
        <v>0</v>
      </c>
      <c r="D79">
        <v>0</v>
      </c>
      <c r="F79" s="3">
        <v>140</v>
      </c>
      <c r="G79" s="3">
        <v>4</v>
      </c>
      <c r="H79">
        <v>0</v>
      </c>
      <c r="I79">
        <v>0</v>
      </c>
      <c r="K79" s="3">
        <v>140</v>
      </c>
      <c r="L79" s="3">
        <v>4</v>
      </c>
      <c r="M79">
        <v>-72.332300000000004</v>
      </c>
      <c r="N79">
        <v>-383.3</v>
      </c>
      <c r="P79" s="3">
        <v>140</v>
      </c>
      <c r="Q79" s="3">
        <v>4</v>
      </c>
      <c r="R79">
        <v>-72.332300000000004</v>
      </c>
      <c r="S79">
        <v>-383.3</v>
      </c>
    </row>
    <row r="80" spans="1:19" x14ac:dyDescent="0.25">
      <c r="A80" s="3">
        <v>140</v>
      </c>
      <c r="B80" s="3">
        <v>5</v>
      </c>
      <c r="C80">
        <v>0</v>
      </c>
      <c r="D80">
        <v>0</v>
      </c>
      <c r="F80" s="3">
        <v>140</v>
      </c>
      <c r="G80" s="3">
        <v>5</v>
      </c>
      <c r="H80">
        <v>0</v>
      </c>
      <c r="I80">
        <v>0</v>
      </c>
      <c r="K80" s="3">
        <v>140</v>
      </c>
      <c r="L80" s="3">
        <v>5</v>
      </c>
      <c r="M80">
        <v>291.66210000000001</v>
      </c>
      <c r="N80">
        <v>972.2</v>
      </c>
      <c r="P80" s="3">
        <v>140</v>
      </c>
      <c r="Q80" s="3">
        <v>5</v>
      </c>
      <c r="R80">
        <v>291.66210000000001</v>
      </c>
      <c r="S80">
        <v>972.2</v>
      </c>
    </row>
    <row r="81" spans="1:19" x14ac:dyDescent="0.25">
      <c r="A81" s="3">
        <v>160</v>
      </c>
      <c r="B81" s="3">
        <v>1</v>
      </c>
      <c r="C81">
        <v>4.5658076696847253E-5</v>
      </c>
      <c r="D81">
        <v>0</v>
      </c>
      <c r="F81" s="3">
        <v>160</v>
      </c>
      <c r="G81" s="3">
        <v>1</v>
      </c>
      <c r="H81">
        <v>-9.9999999974897946E-5</v>
      </c>
      <c r="I81">
        <v>0</v>
      </c>
      <c r="K81" s="3">
        <v>160</v>
      </c>
      <c r="L81" s="3">
        <v>1</v>
      </c>
      <c r="M81">
        <v>219.01920000000001</v>
      </c>
      <c r="N81">
        <v>1160.7</v>
      </c>
      <c r="P81" s="3">
        <v>160</v>
      </c>
      <c r="Q81" s="3">
        <v>1</v>
      </c>
      <c r="R81">
        <v>219.01929999999999</v>
      </c>
      <c r="S81">
        <v>1160.7</v>
      </c>
    </row>
    <row r="82" spans="1:19" x14ac:dyDescent="0.25">
      <c r="A82" s="3">
        <v>160</v>
      </c>
      <c r="B82" s="3">
        <v>2</v>
      </c>
      <c r="C82">
        <v>0</v>
      </c>
      <c r="D82">
        <v>0</v>
      </c>
      <c r="F82" s="3">
        <v>160</v>
      </c>
      <c r="G82" s="3">
        <v>2</v>
      </c>
      <c r="H82">
        <v>0</v>
      </c>
      <c r="I82">
        <v>0</v>
      </c>
      <c r="K82" s="3">
        <v>160</v>
      </c>
      <c r="L82" s="3">
        <v>2</v>
      </c>
      <c r="M82">
        <v>-71.246899999999997</v>
      </c>
      <c r="N82">
        <v>-377.6</v>
      </c>
      <c r="P82" s="3">
        <v>160</v>
      </c>
      <c r="Q82" s="3">
        <v>2</v>
      </c>
      <c r="R82">
        <v>-71.246899999999997</v>
      </c>
      <c r="S82">
        <v>-377.6</v>
      </c>
    </row>
    <row r="83" spans="1:19" x14ac:dyDescent="0.25">
      <c r="A83" s="3">
        <v>160</v>
      </c>
      <c r="B83" s="3">
        <v>3</v>
      </c>
      <c r="C83">
        <v>0</v>
      </c>
      <c r="D83">
        <v>0</v>
      </c>
      <c r="F83" s="3">
        <v>160</v>
      </c>
      <c r="G83" s="3">
        <v>3</v>
      </c>
      <c r="H83">
        <v>0</v>
      </c>
      <c r="I83">
        <v>0</v>
      </c>
      <c r="K83" s="3">
        <v>160</v>
      </c>
      <c r="L83" s="3">
        <v>3</v>
      </c>
      <c r="M83">
        <v>-71.246899999999997</v>
      </c>
      <c r="N83">
        <v>-377.6</v>
      </c>
      <c r="P83" s="3">
        <v>160</v>
      </c>
      <c r="Q83" s="3">
        <v>3</v>
      </c>
      <c r="R83">
        <v>-71.246899999999997</v>
      </c>
      <c r="S83">
        <v>-377.6</v>
      </c>
    </row>
    <row r="84" spans="1:19" x14ac:dyDescent="0.25">
      <c r="A84" s="3">
        <v>160</v>
      </c>
      <c r="B84" s="3">
        <v>4</v>
      </c>
      <c r="C84">
        <v>0</v>
      </c>
      <c r="D84">
        <v>0</v>
      </c>
      <c r="F84" s="3">
        <v>160</v>
      </c>
      <c r="G84" s="3">
        <v>4</v>
      </c>
      <c r="H84">
        <v>0</v>
      </c>
      <c r="I84">
        <v>0</v>
      </c>
      <c r="K84" s="3">
        <v>160</v>
      </c>
      <c r="L84" s="3">
        <v>4</v>
      </c>
      <c r="M84">
        <v>-71.246899999999997</v>
      </c>
      <c r="N84">
        <v>-377.6</v>
      </c>
      <c r="P84" s="3">
        <v>160</v>
      </c>
      <c r="Q84" s="3">
        <v>4</v>
      </c>
      <c r="R84">
        <v>-71.246899999999997</v>
      </c>
      <c r="S84">
        <v>-377.6</v>
      </c>
    </row>
    <row r="85" spans="1:19" x14ac:dyDescent="0.25">
      <c r="A85" s="3">
        <v>160</v>
      </c>
      <c r="B85" s="3">
        <v>5</v>
      </c>
      <c r="C85">
        <v>0</v>
      </c>
      <c r="D85">
        <v>0</v>
      </c>
      <c r="F85" s="3">
        <v>160</v>
      </c>
      <c r="G85" s="3">
        <v>5</v>
      </c>
      <c r="H85">
        <v>0</v>
      </c>
      <c r="I85">
        <v>0</v>
      </c>
      <c r="K85" s="3">
        <v>160</v>
      </c>
      <c r="L85" s="3">
        <v>5</v>
      </c>
      <c r="M85">
        <v>290.26609999999999</v>
      </c>
      <c r="N85">
        <v>967.6</v>
      </c>
      <c r="P85" s="3">
        <v>160</v>
      </c>
      <c r="Q85" s="3">
        <v>5</v>
      </c>
      <c r="R85">
        <v>290.26609999999999</v>
      </c>
      <c r="S85">
        <v>967.6</v>
      </c>
    </row>
    <row r="86" spans="1:19" x14ac:dyDescent="0.25">
      <c r="A86" s="3">
        <v>180</v>
      </c>
      <c r="B86" s="3">
        <v>1</v>
      </c>
      <c r="C86">
        <v>0</v>
      </c>
      <c r="D86">
        <v>0</v>
      </c>
      <c r="F86" s="3">
        <v>180</v>
      </c>
      <c r="G86" s="3">
        <v>1</v>
      </c>
      <c r="H86">
        <v>0</v>
      </c>
      <c r="I86">
        <v>0</v>
      </c>
      <c r="K86" s="3">
        <v>180</v>
      </c>
      <c r="L86" s="3">
        <v>1</v>
      </c>
      <c r="M86">
        <v>218.80799999999999</v>
      </c>
      <c r="N86">
        <v>1159.5999999999999</v>
      </c>
      <c r="P86" s="3">
        <v>180</v>
      </c>
      <c r="Q86" s="3">
        <v>1</v>
      </c>
      <c r="R86">
        <v>218.80799999999999</v>
      </c>
      <c r="S86">
        <v>1159.5999999999999</v>
      </c>
    </row>
    <row r="87" spans="1:19" x14ac:dyDescent="0.25">
      <c r="A87" s="3">
        <v>180</v>
      </c>
      <c r="B87" s="3">
        <v>2</v>
      </c>
      <c r="C87">
        <v>1.419230862073747E-4</v>
      </c>
      <c r="D87">
        <v>0</v>
      </c>
      <c r="F87" s="3">
        <v>180</v>
      </c>
      <c r="G87" s="3">
        <v>2</v>
      </c>
      <c r="H87">
        <v>1.000000000033197E-4</v>
      </c>
      <c r="I87">
        <v>0</v>
      </c>
      <c r="K87" s="3">
        <v>180</v>
      </c>
      <c r="L87" s="3">
        <v>2</v>
      </c>
      <c r="M87">
        <v>-70.460599999999999</v>
      </c>
      <c r="N87">
        <v>-373.4</v>
      </c>
      <c r="P87" s="3">
        <v>180</v>
      </c>
      <c r="Q87" s="3">
        <v>2</v>
      </c>
      <c r="R87">
        <v>-70.460700000000003</v>
      </c>
      <c r="S87">
        <v>-373.4</v>
      </c>
    </row>
    <row r="88" spans="1:19" x14ac:dyDescent="0.25">
      <c r="A88" s="3">
        <v>180</v>
      </c>
      <c r="B88" s="3">
        <v>3</v>
      </c>
      <c r="C88">
        <v>1.419230862073747E-4</v>
      </c>
      <c r="D88">
        <v>0</v>
      </c>
      <c r="F88" s="3">
        <v>180</v>
      </c>
      <c r="G88" s="3">
        <v>3</v>
      </c>
      <c r="H88">
        <v>1.000000000033197E-4</v>
      </c>
      <c r="I88">
        <v>0</v>
      </c>
      <c r="K88" s="3">
        <v>180</v>
      </c>
      <c r="L88" s="3">
        <v>3</v>
      </c>
      <c r="M88">
        <v>-70.460599999999999</v>
      </c>
      <c r="N88">
        <v>-373.4</v>
      </c>
      <c r="P88" s="3">
        <v>180</v>
      </c>
      <c r="Q88" s="3">
        <v>3</v>
      </c>
      <c r="R88">
        <v>-70.460700000000003</v>
      </c>
      <c r="S88">
        <v>-373.4</v>
      </c>
    </row>
    <row r="89" spans="1:19" x14ac:dyDescent="0.25">
      <c r="A89" s="3">
        <v>180</v>
      </c>
      <c r="B89" s="3">
        <v>4</v>
      </c>
      <c r="C89">
        <v>1.419230862073747E-4</v>
      </c>
      <c r="D89">
        <v>0</v>
      </c>
      <c r="F89" s="3">
        <v>180</v>
      </c>
      <c r="G89" s="3">
        <v>4</v>
      </c>
      <c r="H89">
        <v>1.000000000033197E-4</v>
      </c>
      <c r="I89">
        <v>0</v>
      </c>
      <c r="K89" s="3">
        <v>180</v>
      </c>
      <c r="L89" s="3">
        <v>4</v>
      </c>
      <c r="M89">
        <v>-70.460599999999999</v>
      </c>
      <c r="N89">
        <v>-373.4</v>
      </c>
      <c r="P89" s="3">
        <v>180</v>
      </c>
      <c r="Q89" s="3">
        <v>4</v>
      </c>
      <c r="R89">
        <v>-70.460700000000003</v>
      </c>
      <c r="S89">
        <v>-373.4</v>
      </c>
    </row>
    <row r="90" spans="1:19" x14ac:dyDescent="0.25">
      <c r="A90" s="3">
        <v>180</v>
      </c>
      <c r="B90" s="3">
        <v>5</v>
      </c>
      <c r="C90">
        <v>0</v>
      </c>
      <c r="D90">
        <v>0</v>
      </c>
      <c r="F90" s="3">
        <v>180</v>
      </c>
      <c r="G90" s="3">
        <v>5</v>
      </c>
      <c r="H90">
        <v>0</v>
      </c>
      <c r="I90">
        <v>0</v>
      </c>
      <c r="K90" s="3">
        <v>180</v>
      </c>
      <c r="L90" s="3">
        <v>5</v>
      </c>
      <c r="M90">
        <v>289.26870000000002</v>
      </c>
      <c r="N90">
        <v>964.2</v>
      </c>
      <c r="P90" s="3">
        <v>180</v>
      </c>
      <c r="Q90" s="3">
        <v>5</v>
      </c>
      <c r="R90">
        <v>289.26870000000002</v>
      </c>
      <c r="S90">
        <v>964.2</v>
      </c>
    </row>
    <row r="91" spans="1:19" x14ac:dyDescent="0.25">
      <c r="A91" s="3">
        <v>200</v>
      </c>
      <c r="B91" s="3">
        <v>1</v>
      </c>
      <c r="C91">
        <v>0</v>
      </c>
      <c r="D91">
        <v>0</v>
      </c>
      <c r="F91" s="3">
        <v>200</v>
      </c>
      <c r="G91" s="3">
        <v>1</v>
      </c>
      <c r="H91">
        <v>0</v>
      </c>
      <c r="I91">
        <v>0</v>
      </c>
      <c r="K91" s="3">
        <v>200</v>
      </c>
      <c r="L91" s="3">
        <v>1</v>
      </c>
      <c r="M91">
        <v>218.6875</v>
      </c>
      <c r="N91">
        <v>1158.9000000000001</v>
      </c>
      <c r="P91" s="3">
        <v>200</v>
      </c>
      <c r="Q91" s="3">
        <v>1</v>
      </c>
      <c r="R91">
        <v>218.6875</v>
      </c>
      <c r="S91">
        <v>1158.9000000000001</v>
      </c>
    </row>
    <row r="92" spans="1:19" x14ac:dyDescent="0.25">
      <c r="A92" s="3">
        <v>200</v>
      </c>
      <c r="B92" s="3">
        <v>2</v>
      </c>
      <c r="C92">
        <v>0</v>
      </c>
      <c r="D92">
        <v>0</v>
      </c>
      <c r="F92" s="3">
        <v>200</v>
      </c>
      <c r="G92" s="3">
        <v>2</v>
      </c>
      <c r="H92">
        <v>0</v>
      </c>
      <c r="I92">
        <v>0</v>
      </c>
      <c r="K92" s="3">
        <v>200</v>
      </c>
      <c r="L92" s="3">
        <v>2</v>
      </c>
      <c r="M92">
        <v>-69.885999999999996</v>
      </c>
      <c r="N92">
        <v>-370.4</v>
      </c>
      <c r="P92" s="3">
        <v>200</v>
      </c>
      <c r="Q92" s="3">
        <v>2</v>
      </c>
      <c r="R92">
        <v>-69.885999999999996</v>
      </c>
      <c r="S92">
        <v>-370.4</v>
      </c>
    </row>
    <row r="93" spans="1:19" x14ac:dyDescent="0.25">
      <c r="A93" s="3">
        <v>200</v>
      </c>
      <c r="B93" s="3">
        <v>3</v>
      </c>
      <c r="C93">
        <v>0</v>
      </c>
      <c r="D93">
        <v>0</v>
      </c>
      <c r="F93" s="3">
        <v>200</v>
      </c>
      <c r="G93" s="3">
        <v>3</v>
      </c>
      <c r="H93">
        <v>0</v>
      </c>
      <c r="I93">
        <v>0</v>
      </c>
      <c r="K93" s="3">
        <v>200</v>
      </c>
      <c r="L93" s="3">
        <v>3</v>
      </c>
      <c r="M93">
        <v>-69.885999999999996</v>
      </c>
      <c r="N93">
        <v>-370.4</v>
      </c>
      <c r="P93" s="3">
        <v>200</v>
      </c>
      <c r="Q93" s="3">
        <v>3</v>
      </c>
      <c r="R93">
        <v>-69.885999999999996</v>
      </c>
      <c r="S93">
        <v>-370.4</v>
      </c>
    </row>
    <row r="94" spans="1:19" x14ac:dyDescent="0.25">
      <c r="A94" s="3">
        <v>200</v>
      </c>
      <c r="B94" s="3">
        <v>4</v>
      </c>
      <c r="C94">
        <v>0</v>
      </c>
      <c r="D94">
        <v>0</v>
      </c>
      <c r="F94" s="3">
        <v>200</v>
      </c>
      <c r="G94" s="3">
        <v>4</v>
      </c>
      <c r="H94">
        <v>0</v>
      </c>
      <c r="I94">
        <v>0</v>
      </c>
      <c r="K94" s="3">
        <v>200</v>
      </c>
      <c r="L94" s="3">
        <v>4</v>
      </c>
      <c r="M94">
        <v>-69.885999999999996</v>
      </c>
      <c r="N94">
        <v>-370.4</v>
      </c>
      <c r="P94" s="3">
        <v>200</v>
      </c>
      <c r="Q94" s="3">
        <v>4</v>
      </c>
      <c r="R94">
        <v>-69.885999999999996</v>
      </c>
      <c r="S94">
        <v>-370.4</v>
      </c>
    </row>
    <row r="95" spans="1:19" x14ac:dyDescent="0.25">
      <c r="A95" s="3">
        <v>200</v>
      </c>
      <c r="B95" s="3">
        <v>5</v>
      </c>
      <c r="C95">
        <v>0</v>
      </c>
      <c r="D95">
        <v>0</v>
      </c>
      <c r="F95" s="3">
        <v>200</v>
      </c>
      <c r="G95" s="3">
        <v>5</v>
      </c>
      <c r="H95">
        <v>0</v>
      </c>
      <c r="I95">
        <v>0</v>
      </c>
      <c r="K95" s="3">
        <v>200</v>
      </c>
      <c r="L95" s="3">
        <v>5</v>
      </c>
      <c r="M95">
        <v>288.57350000000002</v>
      </c>
      <c r="N95">
        <v>961.9</v>
      </c>
      <c r="P95" s="3">
        <v>200</v>
      </c>
      <c r="Q95" s="3">
        <v>5</v>
      </c>
      <c r="R95">
        <v>288.57350000000002</v>
      </c>
      <c r="S95">
        <v>961.9</v>
      </c>
    </row>
    <row r="96" spans="1:19" x14ac:dyDescent="0.25">
      <c r="A96" s="3">
        <v>220</v>
      </c>
      <c r="B96" s="3">
        <v>1</v>
      </c>
      <c r="C96">
        <v>0</v>
      </c>
      <c r="D96">
        <v>0</v>
      </c>
      <c r="F96" s="3">
        <v>220</v>
      </c>
      <c r="G96" s="3">
        <v>1</v>
      </c>
      <c r="H96">
        <v>0</v>
      </c>
      <c r="I96">
        <v>0</v>
      </c>
      <c r="K96" s="3">
        <v>220</v>
      </c>
      <c r="L96" s="3">
        <v>1</v>
      </c>
      <c r="M96">
        <v>218.63079999999999</v>
      </c>
      <c r="N96">
        <v>1158.5999999999999</v>
      </c>
      <c r="P96" s="3">
        <v>220</v>
      </c>
      <c r="Q96" s="3">
        <v>1</v>
      </c>
      <c r="R96">
        <v>218.63079999999999</v>
      </c>
      <c r="S96">
        <v>1158.5999999999999</v>
      </c>
    </row>
    <row r="97" spans="1:19" x14ac:dyDescent="0.25">
      <c r="A97" s="3">
        <v>220</v>
      </c>
      <c r="B97" s="3">
        <v>2</v>
      </c>
      <c r="C97">
        <v>0</v>
      </c>
      <c r="D97">
        <v>0</v>
      </c>
      <c r="F97" s="3">
        <v>220</v>
      </c>
      <c r="G97" s="3">
        <v>2</v>
      </c>
      <c r="H97">
        <v>0</v>
      </c>
      <c r="I97">
        <v>0</v>
      </c>
      <c r="K97" s="3">
        <v>220</v>
      </c>
      <c r="L97" s="3">
        <v>2</v>
      </c>
      <c r="M97">
        <v>-69.452699999999993</v>
      </c>
      <c r="N97">
        <v>-368.1</v>
      </c>
      <c r="P97" s="3">
        <v>220</v>
      </c>
      <c r="Q97" s="3">
        <v>2</v>
      </c>
      <c r="R97">
        <v>-69.452699999999993</v>
      </c>
      <c r="S97">
        <v>-368.1</v>
      </c>
    </row>
    <row r="98" spans="1:19" x14ac:dyDescent="0.25">
      <c r="A98" s="3">
        <v>220</v>
      </c>
      <c r="B98" s="3">
        <v>3</v>
      </c>
      <c r="C98">
        <v>0</v>
      </c>
      <c r="D98">
        <v>0</v>
      </c>
      <c r="F98" s="3">
        <v>220</v>
      </c>
      <c r="G98" s="3">
        <v>3</v>
      </c>
      <c r="H98">
        <v>0</v>
      </c>
      <c r="I98">
        <v>0</v>
      </c>
      <c r="K98" s="3">
        <v>220</v>
      </c>
      <c r="L98" s="3">
        <v>3</v>
      </c>
      <c r="M98">
        <v>-69.452699999999993</v>
      </c>
      <c r="N98">
        <v>-368.1</v>
      </c>
      <c r="P98" s="3">
        <v>220</v>
      </c>
      <c r="Q98" s="3">
        <v>3</v>
      </c>
      <c r="R98">
        <v>-69.452699999999993</v>
      </c>
      <c r="S98">
        <v>-368.1</v>
      </c>
    </row>
    <row r="99" spans="1:19" x14ac:dyDescent="0.25">
      <c r="A99" s="3">
        <v>220</v>
      </c>
      <c r="B99" s="3">
        <v>4</v>
      </c>
      <c r="C99">
        <v>0</v>
      </c>
      <c r="D99">
        <v>0</v>
      </c>
      <c r="F99" s="3">
        <v>220</v>
      </c>
      <c r="G99" s="3">
        <v>4</v>
      </c>
      <c r="H99">
        <v>0</v>
      </c>
      <c r="I99">
        <v>0</v>
      </c>
      <c r="K99" s="3">
        <v>220</v>
      </c>
      <c r="L99" s="3">
        <v>4</v>
      </c>
      <c r="M99">
        <v>-69.452699999999993</v>
      </c>
      <c r="N99">
        <v>-368.1</v>
      </c>
      <c r="P99" s="3">
        <v>220</v>
      </c>
      <c r="Q99" s="3">
        <v>4</v>
      </c>
      <c r="R99">
        <v>-69.452699999999993</v>
      </c>
      <c r="S99">
        <v>-368.1</v>
      </c>
    </row>
    <row r="100" spans="1:19" x14ac:dyDescent="0.25">
      <c r="A100" s="3">
        <v>220</v>
      </c>
      <c r="B100" s="3">
        <v>5</v>
      </c>
      <c r="C100">
        <v>0</v>
      </c>
      <c r="D100">
        <v>0</v>
      </c>
      <c r="F100" s="3">
        <v>220</v>
      </c>
      <c r="G100" s="3">
        <v>5</v>
      </c>
      <c r="H100">
        <v>0</v>
      </c>
      <c r="I100">
        <v>0</v>
      </c>
      <c r="K100" s="3">
        <v>220</v>
      </c>
      <c r="L100" s="3">
        <v>5</v>
      </c>
      <c r="M100">
        <v>288.08350000000002</v>
      </c>
      <c r="N100">
        <v>960.3</v>
      </c>
      <c r="P100" s="3">
        <v>220</v>
      </c>
      <c r="Q100" s="3">
        <v>5</v>
      </c>
      <c r="R100">
        <v>288.08350000000002</v>
      </c>
      <c r="S100">
        <v>960.3</v>
      </c>
    </row>
    <row r="101" spans="1:19" x14ac:dyDescent="0.25">
      <c r="A101" s="3">
        <v>240</v>
      </c>
      <c r="B101" s="3">
        <v>1</v>
      </c>
      <c r="C101">
        <v>4.5743289562295242E-5</v>
      </c>
      <c r="D101">
        <v>0</v>
      </c>
      <c r="F101" s="3">
        <v>240</v>
      </c>
      <c r="G101" s="3">
        <v>1</v>
      </c>
      <c r="H101">
        <v>-9.9999999974897946E-5</v>
      </c>
      <c r="I101">
        <v>0</v>
      </c>
      <c r="K101" s="3">
        <v>240</v>
      </c>
      <c r="L101" s="3">
        <v>1</v>
      </c>
      <c r="M101">
        <v>218.6112</v>
      </c>
      <c r="N101">
        <v>1158.5</v>
      </c>
      <c r="P101" s="3">
        <v>240</v>
      </c>
      <c r="Q101" s="3">
        <v>1</v>
      </c>
      <c r="R101">
        <v>218.6113</v>
      </c>
      <c r="S101">
        <v>1158.5</v>
      </c>
    </row>
    <row r="102" spans="1:19" x14ac:dyDescent="0.25">
      <c r="A102" s="3">
        <v>240</v>
      </c>
      <c r="B102" s="3">
        <v>2</v>
      </c>
      <c r="C102">
        <v>1.446968600829397E-4</v>
      </c>
      <c r="D102">
        <v>0</v>
      </c>
      <c r="F102" s="3">
        <v>240</v>
      </c>
      <c r="G102" s="3">
        <v>2</v>
      </c>
      <c r="H102">
        <v>-1.000000000033197E-4</v>
      </c>
      <c r="I102">
        <v>0</v>
      </c>
      <c r="K102" s="3">
        <v>240</v>
      </c>
      <c r="L102" s="3">
        <v>2</v>
      </c>
      <c r="M102">
        <v>-69.110100000000003</v>
      </c>
      <c r="N102">
        <v>-366.2</v>
      </c>
      <c r="P102" s="3">
        <v>240</v>
      </c>
      <c r="Q102" s="3">
        <v>2</v>
      </c>
      <c r="R102">
        <v>-69.11</v>
      </c>
      <c r="S102">
        <v>-366.2</v>
      </c>
    </row>
    <row r="103" spans="1:19" x14ac:dyDescent="0.25">
      <c r="A103" s="3">
        <v>240</v>
      </c>
      <c r="B103" s="3">
        <v>3</v>
      </c>
      <c r="C103">
        <v>1.446968600829397E-4</v>
      </c>
      <c r="D103">
        <v>0</v>
      </c>
      <c r="F103" s="3">
        <v>240</v>
      </c>
      <c r="G103" s="3">
        <v>3</v>
      </c>
      <c r="H103">
        <v>-1.000000000033197E-4</v>
      </c>
      <c r="I103">
        <v>0</v>
      </c>
      <c r="K103" s="3">
        <v>240</v>
      </c>
      <c r="L103" s="3">
        <v>3</v>
      </c>
      <c r="M103">
        <v>-69.110100000000003</v>
      </c>
      <c r="N103">
        <v>-366.2</v>
      </c>
      <c r="P103" s="3">
        <v>240</v>
      </c>
      <c r="Q103" s="3">
        <v>3</v>
      </c>
      <c r="R103">
        <v>-69.11</v>
      </c>
      <c r="S103">
        <v>-366.2</v>
      </c>
    </row>
    <row r="104" spans="1:19" x14ac:dyDescent="0.25">
      <c r="A104" s="3">
        <v>240</v>
      </c>
      <c r="B104" s="3">
        <v>4</v>
      </c>
      <c r="C104">
        <v>1.446968600829397E-4</v>
      </c>
      <c r="D104">
        <v>0</v>
      </c>
      <c r="F104" s="3">
        <v>240</v>
      </c>
      <c r="G104" s="3">
        <v>4</v>
      </c>
      <c r="H104">
        <v>-1.000000000033197E-4</v>
      </c>
      <c r="I104">
        <v>0</v>
      </c>
      <c r="K104" s="3">
        <v>240</v>
      </c>
      <c r="L104" s="3">
        <v>4</v>
      </c>
      <c r="M104">
        <v>-69.110100000000003</v>
      </c>
      <c r="N104">
        <v>-366.2</v>
      </c>
      <c r="P104" s="3">
        <v>240</v>
      </c>
      <c r="Q104" s="3">
        <v>4</v>
      </c>
      <c r="R104">
        <v>-69.11</v>
      </c>
      <c r="S104">
        <v>-366.2</v>
      </c>
    </row>
    <row r="105" spans="1:19" x14ac:dyDescent="0.25">
      <c r="A105" s="3">
        <v>240</v>
      </c>
      <c r="B105" s="3">
        <v>5</v>
      </c>
      <c r="C105">
        <v>0</v>
      </c>
      <c r="D105">
        <v>0</v>
      </c>
      <c r="F105" s="3">
        <v>240</v>
      </c>
      <c r="G105" s="3">
        <v>5</v>
      </c>
      <c r="H105">
        <v>0</v>
      </c>
      <c r="I105">
        <v>0</v>
      </c>
      <c r="K105" s="3">
        <v>240</v>
      </c>
      <c r="L105" s="3">
        <v>5</v>
      </c>
      <c r="M105">
        <v>287.72129999999999</v>
      </c>
      <c r="N105">
        <v>959.1</v>
      </c>
      <c r="P105" s="3">
        <v>240</v>
      </c>
      <c r="Q105" s="3">
        <v>5</v>
      </c>
      <c r="R105">
        <v>287.72129999999999</v>
      </c>
      <c r="S105">
        <v>959.1</v>
      </c>
    </row>
    <row r="106" spans="1:19" x14ac:dyDescent="0.25">
      <c r="A106" s="3">
        <v>260</v>
      </c>
      <c r="B106" s="3">
        <v>1</v>
      </c>
      <c r="C106">
        <v>0</v>
      </c>
      <c r="D106">
        <v>0</v>
      </c>
      <c r="F106" s="3">
        <v>260</v>
      </c>
      <c r="G106" s="3">
        <v>1</v>
      </c>
      <c r="H106">
        <v>0</v>
      </c>
      <c r="I106">
        <v>0</v>
      </c>
      <c r="K106" s="3">
        <v>260</v>
      </c>
      <c r="L106" s="3">
        <v>1</v>
      </c>
      <c r="M106">
        <v>218.61670000000001</v>
      </c>
      <c r="N106">
        <v>1158.5</v>
      </c>
      <c r="P106" s="3">
        <v>260</v>
      </c>
      <c r="Q106" s="3">
        <v>1</v>
      </c>
      <c r="R106">
        <v>218.61670000000001</v>
      </c>
      <c r="S106">
        <v>1158.5</v>
      </c>
    </row>
    <row r="107" spans="1:19" x14ac:dyDescent="0.25">
      <c r="A107" s="3">
        <v>260</v>
      </c>
      <c r="B107" s="3">
        <v>2</v>
      </c>
      <c r="C107">
        <v>0</v>
      </c>
      <c r="D107">
        <v>0</v>
      </c>
      <c r="F107" s="3">
        <v>260</v>
      </c>
      <c r="G107" s="3">
        <v>2</v>
      </c>
      <c r="H107">
        <v>0</v>
      </c>
      <c r="I107">
        <v>0</v>
      </c>
      <c r="K107" s="3">
        <v>260</v>
      </c>
      <c r="L107" s="3">
        <v>2</v>
      </c>
      <c r="M107">
        <v>-68.830799999999996</v>
      </c>
      <c r="N107">
        <v>-364.8</v>
      </c>
      <c r="P107" s="3">
        <v>260</v>
      </c>
      <c r="Q107" s="3">
        <v>2</v>
      </c>
      <c r="R107">
        <v>-68.830799999999996</v>
      </c>
      <c r="S107">
        <v>-364.8</v>
      </c>
    </row>
    <row r="108" spans="1:19" x14ac:dyDescent="0.25">
      <c r="A108" s="3">
        <v>260</v>
      </c>
      <c r="B108" s="3">
        <v>3</v>
      </c>
      <c r="C108">
        <v>0</v>
      </c>
      <c r="D108">
        <v>0</v>
      </c>
      <c r="F108" s="3">
        <v>260</v>
      </c>
      <c r="G108" s="3">
        <v>3</v>
      </c>
      <c r="H108">
        <v>0</v>
      </c>
      <c r="I108">
        <v>0</v>
      </c>
      <c r="K108" s="3">
        <v>260</v>
      </c>
      <c r="L108" s="3">
        <v>3</v>
      </c>
      <c r="M108">
        <v>-68.830799999999996</v>
      </c>
      <c r="N108">
        <v>-364.8</v>
      </c>
      <c r="P108" s="3">
        <v>260</v>
      </c>
      <c r="Q108" s="3">
        <v>3</v>
      </c>
      <c r="R108">
        <v>-68.830799999999996</v>
      </c>
      <c r="S108">
        <v>-364.8</v>
      </c>
    </row>
    <row r="109" spans="1:19" x14ac:dyDescent="0.25">
      <c r="A109" s="3">
        <v>260</v>
      </c>
      <c r="B109" s="3">
        <v>4</v>
      </c>
      <c r="C109">
        <v>0</v>
      </c>
      <c r="D109">
        <v>0</v>
      </c>
      <c r="F109" s="3">
        <v>260</v>
      </c>
      <c r="G109" s="3">
        <v>4</v>
      </c>
      <c r="H109">
        <v>0</v>
      </c>
      <c r="I109">
        <v>0</v>
      </c>
      <c r="K109" s="3">
        <v>260</v>
      </c>
      <c r="L109" s="3">
        <v>4</v>
      </c>
      <c r="M109">
        <v>-68.830799999999996</v>
      </c>
      <c r="N109">
        <v>-364.8</v>
      </c>
      <c r="P109" s="3">
        <v>260</v>
      </c>
      <c r="Q109" s="3">
        <v>4</v>
      </c>
      <c r="R109">
        <v>-68.830799999999996</v>
      </c>
      <c r="S109">
        <v>-364.8</v>
      </c>
    </row>
    <row r="110" spans="1:19" x14ac:dyDescent="0.25">
      <c r="A110" s="3">
        <v>260</v>
      </c>
      <c r="B110" s="3">
        <v>5</v>
      </c>
      <c r="C110">
        <v>0</v>
      </c>
      <c r="D110">
        <v>0</v>
      </c>
      <c r="F110" s="3">
        <v>260</v>
      </c>
      <c r="G110" s="3">
        <v>5</v>
      </c>
      <c r="H110">
        <v>0</v>
      </c>
      <c r="I110">
        <v>0</v>
      </c>
      <c r="K110" s="3">
        <v>260</v>
      </c>
      <c r="L110" s="3">
        <v>5</v>
      </c>
      <c r="M110">
        <v>287.44749999999999</v>
      </c>
      <c r="N110">
        <v>958.2</v>
      </c>
      <c r="P110" s="3">
        <v>260</v>
      </c>
      <c r="Q110" s="3">
        <v>5</v>
      </c>
      <c r="R110">
        <v>287.44749999999999</v>
      </c>
      <c r="S110">
        <v>958.2</v>
      </c>
    </row>
    <row r="111" spans="1:19" x14ac:dyDescent="0.25">
      <c r="A111" s="3">
        <v>280</v>
      </c>
      <c r="B111" s="3">
        <v>1</v>
      </c>
      <c r="C111">
        <v>4.5738770345973258E-5</v>
      </c>
      <c r="D111">
        <v>0</v>
      </c>
      <c r="F111" s="3">
        <v>280</v>
      </c>
      <c r="G111" s="3">
        <v>1</v>
      </c>
      <c r="H111">
        <v>-1.0000000003174141E-4</v>
      </c>
      <c r="I111">
        <v>0</v>
      </c>
      <c r="K111" s="3">
        <v>280</v>
      </c>
      <c r="L111" s="3">
        <v>1</v>
      </c>
      <c r="M111">
        <v>218.6328</v>
      </c>
      <c r="N111">
        <v>1158.5999999999999</v>
      </c>
      <c r="P111" s="3">
        <v>280</v>
      </c>
      <c r="Q111" s="3">
        <v>1</v>
      </c>
      <c r="R111">
        <v>218.63290000000001</v>
      </c>
      <c r="S111">
        <v>1158.5999999999999</v>
      </c>
    </row>
    <row r="112" spans="1:19" x14ac:dyDescent="0.25">
      <c r="A112" s="3">
        <v>280</v>
      </c>
      <c r="B112" s="3">
        <v>2</v>
      </c>
      <c r="C112">
        <v>4.3737516585260307E-4</v>
      </c>
      <c r="D112">
        <v>0</v>
      </c>
      <c r="F112" s="3">
        <v>280</v>
      </c>
      <c r="G112" s="3">
        <v>2</v>
      </c>
      <c r="H112">
        <v>-3.0000000000995902E-4</v>
      </c>
      <c r="I112">
        <v>0</v>
      </c>
      <c r="K112" s="3">
        <v>280</v>
      </c>
      <c r="L112" s="3">
        <v>2</v>
      </c>
      <c r="M112">
        <v>-68.591300000000004</v>
      </c>
      <c r="N112">
        <v>-363.5</v>
      </c>
      <c r="P112" s="3">
        <v>280</v>
      </c>
      <c r="Q112" s="3">
        <v>2</v>
      </c>
      <c r="R112">
        <v>-68.590999999999994</v>
      </c>
      <c r="S112">
        <v>-363.5</v>
      </c>
    </row>
    <row r="113" spans="1:19" x14ac:dyDescent="0.25">
      <c r="A113" s="3">
        <v>280</v>
      </c>
      <c r="B113" s="3">
        <v>3</v>
      </c>
      <c r="C113">
        <v>4.3737516585260307E-4</v>
      </c>
      <c r="D113">
        <v>0</v>
      </c>
      <c r="F113" s="3">
        <v>280</v>
      </c>
      <c r="G113" s="3">
        <v>3</v>
      </c>
      <c r="H113">
        <v>-3.0000000000995902E-4</v>
      </c>
      <c r="I113">
        <v>0</v>
      </c>
      <c r="K113" s="3">
        <v>280</v>
      </c>
      <c r="L113" s="3">
        <v>3</v>
      </c>
      <c r="M113">
        <v>-68.591300000000004</v>
      </c>
      <c r="N113">
        <v>-363.5</v>
      </c>
      <c r="P113" s="3">
        <v>280</v>
      </c>
      <c r="Q113" s="3">
        <v>3</v>
      </c>
      <c r="R113">
        <v>-68.590999999999994</v>
      </c>
      <c r="S113">
        <v>-363.5</v>
      </c>
    </row>
    <row r="114" spans="1:19" x14ac:dyDescent="0.25">
      <c r="A114" s="3">
        <v>280</v>
      </c>
      <c r="B114" s="3">
        <v>4</v>
      </c>
      <c r="C114">
        <v>4.3737516585260307E-4</v>
      </c>
      <c r="D114">
        <v>0</v>
      </c>
      <c r="F114" s="3">
        <v>280</v>
      </c>
      <c r="G114" s="3">
        <v>4</v>
      </c>
      <c r="H114">
        <v>-3.0000000000995902E-4</v>
      </c>
      <c r="I114">
        <v>0</v>
      </c>
      <c r="K114" s="3">
        <v>280</v>
      </c>
      <c r="L114" s="3">
        <v>4</v>
      </c>
      <c r="M114">
        <v>-68.591300000000004</v>
      </c>
      <c r="N114">
        <v>-363.5</v>
      </c>
      <c r="P114" s="3">
        <v>280</v>
      </c>
      <c r="Q114" s="3">
        <v>4</v>
      </c>
      <c r="R114">
        <v>-68.590999999999994</v>
      </c>
      <c r="S114">
        <v>-363.5</v>
      </c>
    </row>
    <row r="115" spans="1:19" x14ac:dyDescent="0.25">
      <c r="A115" s="3">
        <v>280</v>
      </c>
      <c r="B115" s="3">
        <v>5</v>
      </c>
      <c r="C115">
        <v>0</v>
      </c>
      <c r="D115">
        <v>0</v>
      </c>
      <c r="F115" s="3">
        <v>280</v>
      </c>
      <c r="G115" s="3">
        <v>5</v>
      </c>
      <c r="H115">
        <v>0</v>
      </c>
      <c r="I115">
        <v>0</v>
      </c>
      <c r="K115" s="3">
        <v>280</v>
      </c>
      <c r="L115" s="3">
        <v>5</v>
      </c>
      <c r="M115">
        <v>287.22399999999999</v>
      </c>
      <c r="N115">
        <v>957.4</v>
      </c>
      <c r="P115" s="3">
        <v>280</v>
      </c>
      <c r="Q115" s="3">
        <v>5</v>
      </c>
      <c r="R115">
        <v>287.22399999999999</v>
      </c>
      <c r="S115">
        <v>957.4</v>
      </c>
    </row>
    <row r="116" spans="1:19" x14ac:dyDescent="0.25">
      <c r="A116" s="3">
        <v>300</v>
      </c>
      <c r="B116" s="3">
        <v>1</v>
      </c>
      <c r="C116">
        <v>9.1466119580353128E-5</v>
      </c>
      <c r="D116">
        <v>0</v>
      </c>
      <c r="F116" s="3">
        <v>300</v>
      </c>
      <c r="G116" s="3">
        <v>1</v>
      </c>
      <c r="H116">
        <v>-2.0000000000663931E-4</v>
      </c>
      <c r="I116">
        <v>0</v>
      </c>
      <c r="K116" s="3">
        <v>300</v>
      </c>
      <c r="L116" s="3">
        <v>1</v>
      </c>
      <c r="M116">
        <v>218.66</v>
      </c>
      <c r="N116">
        <v>1158.8</v>
      </c>
      <c r="P116" s="3">
        <v>300</v>
      </c>
      <c r="Q116" s="3">
        <v>1</v>
      </c>
      <c r="R116">
        <v>218.6602</v>
      </c>
      <c r="S116">
        <v>1158.8</v>
      </c>
    </row>
    <row r="117" spans="1:19" x14ac:dyDescent="0.25">
      <c r="A117" s="3">
        <v>300</v>
      </c>
      <c r="B117" s="3">
        <v>2</v>
      </c>
      <c r="C117">
        <v>1.4623260929179499E-4</v>
      </c>
      <c r="D117">
        <v>0</v>
      </c>
      <c r="F117" s="3">
        <v>300</v>
      </c>
      <c r="G117" s="3">
        <v>2</v>
      </c>
      <c r="H117">
        <v>-1.000000000033197E-4</v>
      </c>
      <c r="I117">
        <v>0</v>
      </c>
      <c r="K117" s="3">
        <v>300</v>
      </c>
      <c r="L117" s="3">
        <v>2</v>
      </c>
      <c r="M117">
        <v>-68.384299999999996</v>
      </c>
      <c r="N117">
        <v>-362.4</v>
      </c>
      <c r="P117" s="3">
        <v>300</v>
      </c>
      <c r="Q117" s="3">
        <v>2</v>
      </c>
      <c r="R117">
        <v>-68.384199999999993</v>
      </c>
      <c r="S117">
        <v>-362.4</v>
      </c>
    </row>
    <row r="118" spans="1:19" x14ac:dyDescent="0.25">
      <c r="A118" s="3">
        <v>300</v>
      </c>
      <c r="B118" s="3">
        <v>3</v>
      </c>
      <c r="C118">
        <v>1.4623260929179499E-4</v>
      </c>
      <c r="D118">
        <v>0</v>
      </c>
      <c r="F118" s="3">
        <v>300</v>
      </c>
      <c r="G118" s="3">
        <v>3</v>
      </c>
      <c r="H118">
        <v>-1.000000000033197E-4</v>
      </c>
      <c r="I118">
        <v>0</v>
      </c>
      <c r="K118" s="3">
        <v>300</v>
      </c>
      <c r="L118" s="3">
        <v>3</v>
      </c>
      <c r="M118">
        <v>-68.384299999999996</v>
      </c>
      <c r="N118">
        <v>-362.4</v>
      </c>
      <c r="P118" s="3">
        <v>300</v>
      </c>
      <c r="Q118" s="3">
        <v>3</v>
      </c>
      <c r="R118">
        <v>-68.384199999999993</v>
      </c>
      <c r="S118">
        <v>-362.4</v>
      </c>
    </row>
    <row r="119" spans="1:19" x14ac:dyDescent="0.25">
      <c r="A119" s="3">
        <v>300</v>
      </c>
      <c r="B119" s="3">
        <v>4</v>
      </c>
      <c r="C119">
        <v>1.4623260929179499E-4</v>
      </c>
      <c r="D119">
        <v>0</v>
      </c>
      <c r="F119" s="3">
        <v>300</v>
      </c>
      <c r="G119" s="3">
        <v>4</v>
      </c>
      <c r="H119">
        <v>-1.000000000033197E-4</v>
      </c>
      <c r="I119">
        <v>0</v>
      </c>
      <c r="K119" s="3">
        <v>300</v>
      </c>
      <c r="L119" s="3">
        <v>4</v>
      </c>
      <c r="M119">
        <v>-68.384299999999996</v>
      </c>
      <c r="N119">
        <v>-362.4</v>
      </c>
      <c r="P119" s="3">
        <v>300</v>
      </c>
      <c r="Q119" s="3">
        <v>4</v>
      </c>
      <c r="R119">
        <v>-68.384199999999993</v>
      </c>
      <c r="S119">
        <v>-362.4</v>
      </c>
    </row>
    <row r="120" spans="1:19" x14ac:dyDescent="0.25">
      <c r="A120" s="3">
        <v>300</v>
      </c>
      <c r="B120" s="3">
        <v>5</v>
      </c>
      <c r="C120">
        <v>0</v>
      </c>
      <c r="D120">
        <v>0</v>
      </c>
      <c r="F120" s="3">
        <v>300</v>
      </c>
      <c r="G120" s="3">
        <v>5</v>
      </c>
      <c r="H120">
        <v>0</v>
      </c>
      <c r="I120">
        <v>0</v>
      </c>
      <c r="K120" s="3">
        <v>300</v>
      </c>
      <c r="L120" s="3">
        <v>5</v>
      </c>
      <c r="M120">
        <v>287.0444</v>
      </c>
      <c r="N120">
        <v>956.8</v>
      </c>
      <c r="P120" s="3">
        <v>300</v>
      </c>
      <c r="Q120" s="3">
        <v>5</v>
      </c>
      <c r="R120">
        <v>287.0444</v>
      </c>
      <c r="S120">
        <v>956.8</v>
      </c>
    </row>
    <row r="121" spans="1:19" x14ac:dyDescent="0.25">
      <c r="A121" s="3">
        <v>350</v>
      </c>
      <c r="B121" s="3">
        <v>1</v>
      </c>
      <c r="C121">
        <v>4.5716166622508523E-5</v>
      </c>
      <c r="D121">
        <v>0</v>
      </c>
      <c r="F121" s="3">
        <v>350</v>
      </c>
      <c r="G121" s="3">
        <v>1</v>
      </c>
      <c r="H121">
        <v>-1.0000000003174141E-4</v>
      </c>
      <c r="I121">
        <v>0</v>
      </c>
      <c r="K121" s="3">
        <v>350</v>
      </c>
      <c r="L121" s="3">
        <v>1</v>
      </c>
      <c r="M121">
        <v>218.74090000000001</v>
      </c>
      <c r="N121">
        <v>1159.2</v>
      </c>
      <c r="P121" s="3">
        <v>350</v>
      </c>
      <c r="Q121" s="3">
        <v>1</v>
      </c>
      <c r="R121">
        <v>218.74100000000001</v>
      </c>
      <c r="S121">
        <v>1159.2</v>
      </c>
    </row>
    <row r="122" spans="1:19" x14ac:dyDescent="0.25">
      <c r="A122" s="3">
        <v>350</v>
      </c>
      <c r="B122" s="3">
        <v>2</v>
      </c>
      <c r="C122">
        <v>1.471733156957527E-4</v>
      </c>
      <c r="D122">
        <v>0</v>
      </c>
      <c r="F122" s="3">
        <v>350</v>
      </c>
      <c r="G122" s="3">
        <v>2</v>
      </c>
      <c r="H122">
        <v>-9.9999999989108801E-5</v>
      </c>
      <c r="I122">
        <v>0</v>
      </c>
      <c r="K122" s="3">
        <v>350</v>
      </c>
      <c r="L122" s="3">
        <v>2</v>
      </c>
      <c r="M122">
        <v>-67.947199999999995</v>
      </c>
      <c r="N122">
        <v>-360.1</v>
      </c>
      <c r="P122" s="3">
        <v>350</v>
      </c>
      <c r="Q122" s="3">
        <v>2</v>
      </c>
      <c r="R122">
        <v>-67.947100000000006</v>
      </c>
      <c r="S122">
        <v>-360.1</v>
      </c>
    </row>
    <row r="123" spans="1:19" x14ac:dyDescent="0.25">
      <c r="A123" s="3">
        <v>350</v>
      </c>
      <c r="B123" s="3">
        <v>3</v>
      </c>
      <c r="C123">
        <v>1.471733156957527E-4</v>
      </c>
      <c r="D123">
        <v>0</v>
      </c>
      <c r="F123" s="3">
        <v>350</v>
      </c>
      <c r="G123" s="3">
        <v>3</v>
      </c>
      <c r="H123">
        <v>-9.9999999989108801E-5</v>
      </c>
      <c r="I123">
        <v>0</v>
      </c>
      <c r="K123" s="3">
        <v>350</v>
      </c>
      <c r="L123" s="3">
        <v>3</v>
      </c>
      <c r="M123">
        <v>-67.947199999999995</v>
      </c>
      <c r="N123">
        <v>-360.1</v>
      </c>
      <c r="P123" s="3">
        <v>350</v>
      </c>
      <c r="Q123" s="3">
        <v>3</v>
      </c>
      <c r="R123">
        <v>-67.947100000000006</v>
      </c>
      <c r="S123">
        <v>-360.1</v>
      </c>
    </row>
    <row r="124" spans="1:19" x14ac:dyDescent="0.25">
      <c r="A124" s="3">
        <v>350</v>
      </c>
      <c r="B124" s="3">
        <v>4</v>
      </c>
      <c r="C124">
        <v>1.471733156957527E-4</v>
      </c>
      <c r="D124">
        <v>0</v>
      </c>
      <c r="F124" s="3">
        <v>350</v>
      </c>
      <c r="G124" s="3">
        <v>4</v>
      </c>
      <c r="H124">
        <v>-9.9999999989108801E-5</v>
      </c>
      <c r="I124">
        <v>0</v>
      </c>
      <c r="K124" s="3">
        <v>350</v>
      </c>
      <c r="L124" s="3">
        <v>4</v>
      </c>
      <c r="M124">
        <v>-67.947199999999995</v>
      </c>
      <c r="N124">
        <v>-360.1</v>
      </c>
      <c r="P124" s="3">
        <v>350</v>
      </c>
      <c r="Q124" s="3">
        <v>4</v>
      </c>
      <c r="R124">
        <v>-67.947100000000006</v>
      </c>
      <c r="S124">
        <v>-360.1</v>
      </c>
    </row>
    <row r="125" spans="1:19" x14ac:dyDescent="0.25">
      <c r="A125" s="3">
        <v>350</v>
      </c>
      <c r="B125" s="3">
        <v>5</v>
      </c>
      <c r="C125">
        <v>0</v>
      </c>
      <c r="D125">
        <v>0</v>
      </c>
      <c r="F125" s="3">
        <v>350</v>
      </c>
      <c r="G125" s="3">
        <v>5</v>
      </c>
      <c r="H125">
        <v>0</v>
      </c>
      <c r="I125">
        <v>0</v>
      </c>
      <c r="K125" s="3">
        <v>350</v>
      </c>
      <c r="L125" s="3">
        <v>5</v>
      </c>
      <c r="M125">
        <v>286.68810000000002</v>
      </c>
      <c r="N125">
        <v>955.6</v>
      </c>
      <c r="P125" s="3">
        <v>350</v>
      </c>
      <c r="Q125" s="3">
        <v>5</v>
      </c>
      <c r="R125">
        <v>286.68810000000002</v>
      </c>
      <c r="S125">
        <v>955.6</v>
      </c>
    </row>
    <row r="126" spans="1:19" x14ac:dyDescent="0.25">
      <c r="A126" s="3">
        <v>400</v>
      </c>
      <c r="B126" s="3">
        <v>1</v>
      </c>
      <c r="C126">
        <v>0</v>
      </c>
      <c r="D126">
        <v>0</v>
      </c>
      <c r="F126" s="3">
        <v>400</v>
      </c>
      <c r="G126" s="3">
        <v>1</v>
      </c>
      <c r="H126">
        <v>0</v>
      </c>
      <c r="I126">
        <v>0</v>
      </c>
      <c r="K126" s="3">
        <v>400</v>
      </c>
      <c r="L126" s="3">
        <v>1</v>
      </c>
      <c r="M126">
        <v>218.82589999999999</v>
      </c>
      <c r="N126">
        <v>1159.5999999999999</v>
      </c>
      <c r="P126" s="3">
        <v>400</v>
      </c>
      <c r="Q126" s="3">
        <v>1</v>
      </c>
      <c r="R126">
        <v>218.82589999999999</v>
      </c>
      <c r="S126">
        <v>1159.5999999999999</v>
      </c>
    </row>
    <row r="127" spans="1:19" x14ac:dyDescent="0.25">
      <c r="A127" s="3">
        <v>400</v>
      </c>
      <c r="B127" s="3">
        <v>2</v>
      </c>
      <c r="C127">
        <v>1.4796992657600369E-4</v>
      </c>
      <c r="D127">
        <v>0</v>
      </c>
      <c r="F127" s="3">
        <v>400</v>
      </c>
      <c r="G127" s="3">
        <v>2</v>
      </c>
      <c r="H127">
        <v>-9.9999999989108801E-5</v>
      </c>
      <c r="I127">
        <v>0</v>
      </c>
      <c r="K127" s="3">
        <v>400</v>
      </c>
      <c r="L127" s="3">
        <v>2</v>
      </c>
      <c r="M127">
        <v>-67.581399999999988</v>
      </c>
      <c r="N127">
        <v>-358.1</v>
      </c>
      <c r="P127" s="3">
        <v>400</v>
      </c>
      <c r="Q127" s="3">
        <v>2</v>
      </c>
      <c r="R127">
        <v>-67.581299999999999</v>
      </c>
      <c r="S127">
        <v>-358.1</v>
      </c>
    </row>
    <row r="128" spans="1:19" x14ac:dyDescent="0.25">
      <c r="A128" s="3">
        <v>400</v>
      </c>
      <c r="B128" s="3">
        <v>3</v>
      </c>
      <c r="C128">
        <v>1.4796992657600369E-4</v>
      </c>
      <c r="D128">
        <v>0</v>
      </c>
      <c r="F128" s="3">
        <v>400</v>
      </c>
      <c r="G128" s="3">
        <v>3</v>
      </c>
      <c r="H128">
        <v>-9.9999999989108801E-5</v>
      </c>
      <c r="I128">
        <v>0</v>
      </c>
      <c r="K128" s="3">
        <v>400</v>
      </c>
      <c r="L128" s="3">
        <v>3</v>
      </c>
      <c r="M128">
        <v>-67.581399999999988</v>
      </c>
      <c r="N128">
        <v>-358.1</v>
      </c>
      <c r="P128" s="3">
        <v>400</v>
      </c>
      <c r="Q128" s="3">
        <v>3</v>
      </c>
      <c r="R128">
        <v>-67.581299999999999</v>
      </c>
      <c r="S128">
        <v>-358.1</v>
      </c>
    </row>
    <row r="129" spans="1:19" x14ac:dyDescent="0.25">
      <c r="A129" s="3">
        <v>400</v>
      </c>
      <c r="B129" s="3">
        <v>4</v>
      </c>
      <c r="C129">
        <v>1.4796992657600369E-4</v>
      </c>
      <c r="D129">
        <v>0</v>
      </c>
      <c r="F129" s="3">
        <v>400</v>
      </c>
      <c r="G129" s="3">
        <v>4</v>
      </c>
      <c r="H129">
        <v>-9.9999999989108801E-5</v>
      </c>
      <c r="I129">
        <v>0</v>
      </c>
      <c r="K129" s="3">
        <v>400</v>
      </c>
      <c r="L129" s="3">
        <v>4</v>
      </c>
      <c r="M129">
        <v>-67.581399999999988</v>
      </c>
      <c r="N129">
        <v>-358.1</v>
      </c>
      <c r="P129" s="3">
        <v>400</v>
      </c>
      <c r="Q129" s="3">
        <v>4</v>
      </c>
      <c r="R129">
        <v>-67.581299999999999</v>
      </c>
      <c r="S129">
        <v>-358.1</v>
      </c>
    </row>
    <row r="130" spans="1:19" x14ac:dyDescent="0.25">
      <c r="A130" s="3">
        <v>400</v>
      </c>
      <c r="B130" s="3">
        <v>5</v>
      </c>
      <c r="C130">
        <v>0</v>
      </c>
      <c r="D130">
        <v>0</v>
      </c>
      <c r="F130" s="3">
        <v>400</v>
      </c>
      <c r="G130" s="3">
        <v>5</v>
      </c>
      <c r="H130">
        <v>0</v>
      </c>
      <c r="I130">
        <v>0</v>
      </c>
      <c r="K130" s="3">
        <v>400</v>
      </c>
      <c r="L130" s="3">
        <v>5</v>
      </c>
      <c r="M130">
        <v>286.40719999999999</v>
      </c>
      <c r="N130">
        <v>954.7</v>
      </c>
      <c r="P130" s="3">
        <v>400</v>
      </c>
      <c r="Q130" s="3">
        <v>5</v>
      </c>
      <c r="R130">
        <v>286.40719999999999</v>
      </c>
      <c r="S130">
        <v>954.7</v>
      </c>
    </row>
    <row r="131" spans="1:19" x14ac:dyDescent="0.25">
      <c r="A131" s="3">
        <v>450</v>
      </c>
      <c r="B131" s="3">
        <v>1</v>
      </c>
      <c r="C131">
        <v>4.5680289126491442E-5</v>
      </c>
      <c r="D131">
        <v>0</v>
      </c>
      <c r="F131" s="3">
        <v>450</v>
      </c>
      <c r="G131" s="3">
        <v>1</v>
      </c>
      <c r="H131">
        <v>-9.9999999974897946E-5</v>
      </c>
      <c r="I131">
        <v>0</v>
      </c>
      <c r="K131" s="3">
        <v>450</v>
      </c>
      <c r="L131" s="3">
        <v>1</v>
      </c>
      <c r="M131">
        <v>218.9127</v>
      </c>
      <c r="N131">
        <v>1160.0999999999999</v>
      </c>
      <c r="P131" s="3">
        <v>450</v>
      </c>
      <c r="Q131" s="3">
        <v>1</v>
      </c>
      <c r="R131">
        <v>218.9128</v>
      </c>
      <c r="S131">
        <v>1160.0999999999999</v>
      </c>
    </row>
    <row r="132" spans="1:19" x14ac:dyDescent="0.25">
      <c r="A132" s="3">
        <v>450</v>
      </c>
      <c r="B132" s="3">
        <v>2</v>
      </c>
      <c r="C132">
        <v>1.4867412416566999E-4</v>
      </c>
      <c r="D132">
        <v>0</v>
      </c>
      <c r="F132" s="3">
        <v>450</v>
      </c>
      <c r="G132" s="3">
        <v>2</v>
      </c>
      <c r="H132">
        <v>-1.000000000033197E-4</v>
      </c>
      <c r="I132">
        <v>0</v>
      </c>
      <c r="K132" s="3">
        <v>450</v>
      </c>
      <c r="L132" s="3">
        <v>2</v>
      </c>
      <c r="M132">
        <v>-67.261300000000006</v>
      </c>
      <c r="N132">
        <v>-356.4</v>
      </c>
      <c r="P132" s="3">
        <v>450</v>
      </c>
      <c r="Q132" s="3">
        <v>2</v>
      </c>
      <c r="R132">
        <v>-67.261200000000002</v>
      </c>
      <c r="S132">
        <v>-356.4</v>
      </c>
    </row>
    <row r="133" spans="1:19" x14ac:dyDescent="0.25">
      <c r="A133" s="3">
        <v>450</v>
      </c>
      <c r="B133" s="3">
        <v>3</v>
      </c>
      <c r="C133">
        <v>1.4867412416566999E-4</v>
      </c>
      <c r="D133">
        <v>0</v>
      </c>
      <c r="F133" s="3">
        <v>450</v>
      </c>
      <c r="G133" s="3">
        <v>3</v>
      </c>
      <c r="H133">
        <v>-1.000000000033197E-4</v>
      </c>
      <c r="I133">
        <v>0</v>
      </c>
      <c r="K133" s="3">
        <v>450</v>
      </c>
      <c r="L133" s="3">
        <v>3</v>
      </c>
      <c r="M133">
        <v>-67.261300000000006</v>
      </c>
      <c r="N133">
        <v>-356.4</v>
      </c>
      <c r="P133" s="3">
        <v>450</v>
      </c>
      <c r="Q133" s="3">
        <v>3</v>
      </c>
      <c r="R133">
        <v>-67.261200000000002</v>
      </c>
      <c r="S133">
        <v>-356.4</v>
      </c>
    </row>
    <row r="134" spans="1:19" x14ac:dyDescent="0.25">
      <c r="A134" s="3">
        <v>450</v>
      </c>
      <c r="B134" s="3">
        <v>4</v>
      </c>
      <c r="C134">
        <v>1.4867412416566999E-4</v>
      </c>
      <c r="D134">
        <v>0</v>
      </c>
      <c r="F134" s="3">
        <v>450</v>
      </c>
      <c r="G134" s="3">
        <v>4</v>
      </c>
      <c r="H134">
        <v>-1.000000000033197E-4</v>
      </c>
      <c r="I134">
        <v>0</v>
      </c>
      <c r="K134" s="3">
        <v>450</v>
      </c>
      <c r="L134" s="3">
        <v>4</v>
      </c>
      <c r="M134">
        <v>-67.261300000000006</v>
      </c>
      <c r="N134">
        <v>-356.4</v>
      </c>
      <c r="P134" s="3">
        <v>450</v>
      </c>
      <c r="Q134" s="3">
        <v>4</v>
      </c>
      <c r="R134">
        <v>-67.261200000000002</v>
      </c>
      <c r="S134">
        <v>-356.4</v>
      </c>
    </row>
    <row r="135" spans="1:19" x14ac:dyDescent="0.25">
      <c r="A135" s="3">
        <v>450</v>
      </c>
      <c r="B135" s="3">
        <v>5</v>
      </c>
      <c r="C135">
        <v>0</v>
      </c>
      <c r="D135">
        <v>0</v>
      </c>
      <c r="F135" s="3">
        <v>450</v>
      </c>
      <c r="G135" s="3">
        <v>5</v>
      </c>
      <c r="H135">
        <v>0</v>
      </c>
      <c r="I135">
        <v>0</v>
      </c>
      <c r="K135" s="3">
        <v>450</v>
      </c>
      <c r="L135" s="3">
        <v>5</v>
      </c>
      <c r="M135">
        <v>286.17399999999998</v>
      </c>
      <c r="N135">
        <v>953.9</v>
      </c>
      <c r="P135" s="3">
        <v>450</v>
      </c>
      <c r="Q135" s="3">
        <v>5</v>
      </c>
      <c r="R135">
        <v>286.17399999999998</v>
      </c>
      <c r="S135">
        <v>953.9</v>
      </c>
    </row>
    <row r="136" spans="1:19" x14ac:dyDescent="0.25">
      <c r="A136" s="3">
        <v>500</v>
      </c>
      <c r="B136" s="3">
        <v>1</v>
      </c>
      <c r="C136">
        <v>0</v>
      </c>
      <c r="D136">
        <v>0</v>
      </c>
      <c r="F136" s="3">
        <v>500</v>
      </c>
      <c r="G136" s="3">
        <v>1</v>
      </c>
      <c r="H136">
        <v>0</v>
      </c>
      <c r="I136">
        <v>0</v>
      </c>
      <c r="K136" s="3">
        <v>500</v>
      </c>
      <c r="L136" s="3">
        <v>1</v>
      </c>
      <c r="M136">
        <v>218.99879999999999</v>
      </c>
      <c r="N136">
        <v>1160.5999999999999</v>
      </c>
      <c r="P136" s="3">
        <v>500</v>
      </c>
      <c r="Q136" s="3">
        <v>1</v>
      </c>
      <c r="R136">
        <v>218.99879999999999</v>
      </c>
      <c r="S136">
        <v>1160.5999999999999</v>
      </c>
    </row>
    <row r="137" spans="1:19" x14ac:dyDescent="0.25">
      <c r="A137" s="3">
        <v>500</v>
      </c>
      <c r="B137" s="3">
        <v>2</v>
      </c>
      <c r="C137">
        <v>2.9863493967936838E-4</v>
      </c>
      <c r="D137">
        <v>0</v>
      </c>
      <c r="F137" s="3">
        <v>500</v>
      </c>
      <c r="G137" s="3">
        <v>2</v>
      </c>
      <c r="H137">
        <v>1.9999999999242851E-4</v>
      </c>
      <c r="I137">
        <v>0</v>
      </c>
      <c r="K137" s="3">
        <v>500</v>
      </c>
      <c r="L137" s="3">
        <v>2</v>
      </c>
      <c r="M137">
        <v>-66.971199999999996</v>
      </c>
      <c r="N137">
        <v>-354.9</v>
      </c>
      <c r="P137" s="3">
        <v>500</v>
      </c>
      <c r="Q137" s="3">
        <v>2</v>
      </c>
      <c r="R137">
        <v>-66.971399999999988</v>
      </c>
      <c r="S137">
        <v>-354.9</v>
      </c>
    </row>
    <row r="138" spans="1:19" x14ac:dyDescent="0.25">
      <c r="A138" s="3">
        <v>500</v>
      </c>
      <c r="B138" s="3">
        <v>3</v>
      </c>
      <c r="C138">
        <v>2.9863493967936838E-4</v>
      </c>
      <c r="D138">
        <v>0</v>
      </c>
      <c r="F138" s="3">
        <v>500</v>
      </c>
      <c r="G138" s="3">
        <v>3</v>
      </c>
      <c r="H138">
        <v>1.9999999999242851E-4</v>
      </c>
      <c r="I138">
        <v>0</v>
      </c>
      <c r="K138" s="3">
        <v>500</v>
      </c>
      <c r="L138" s="3">
        <v>3</v>
      </c>
      <c r="M138">
        <v>-66.971199999999996</v>
      </c>
      <c r="N138">
        <v>-354.9</v>
      </c>
      <c r="P138" s="3">
        <v>500</v>
      </c>
      <c r="Q138" s="3">
        <v>3</v>
      </c>
      <c r="R138">
        <v>-66.971399999999988</v>
      </c>
      <c r="S138">
        <v>-354.9</v>
      </c>
    </row>
    <row r="139" spans="1:19" x14ac:dyDescent="0.25">
      <c r="A139" s="3">
        <v>500</v>
      </c>
      <c r="B139" s="3">
        <v>4</v>
      </c>
      <c r="C139">
        <v>2.9863493967936838E-4</v>
      </c>
      <c r="D139">
        <v>0</v>
      </c>
      <c r="F139" s="3">
        <v>500</v>
      </c>
      <c r="G139" s="3">
        <v>4</v>
      </c>
      <c r="H139">
        <v>1.9999999999242851E-4</v>
      </c>
      <c r="I139">
        <v>0</v>
      </c>
      <c r="K139" s="3">
        <v>500</v>
      </c>
      <c r="L139" s="3">
        <v>4</v>
      </c>
      <c r="M139">
        <v>-66.971199999999996</v>
      </c>
      <c r="N139">
        <v>-354.9</v>
      </c>
      <c r="P139" s="3">
        <v>500</v>
      </c>
      <c r="Q139" s="3">
        <v>4</v>
      </c>
      <c r="R139">
        <v>-66.971399999999988</v>
      </c>
      <c r="S139">
        <v>-354.9</v>
      </c>
    </row>
    <row r="140" spans="1:19" x14ac:dyDescent="0.25">
      <c r="A140" s="3">
        <v>500</v>
      </c>
      <c r="B140" s="3">
        <v>5</v>
      </c>
      <c r="C140">
        <v>0</v>
      </c>
      <c r="D140">
        <v>0</v>
      </c>
      <c r="F140" s="3">
        <v>500</v>
      </c>
      <c r="G140" s="3">
        <v>5</v>
      </c>
      <c r="H140">
        <v>0</v>
      </c>
      <c r="I140">
        <v>0</v>
      </c>
      <c r="K140" s="3">
        <v>500</v>
      </c>
      <c r="L140" s="3">
        <v>5</v>
      </c>
      <c r="M140">
        <v>285.9701</v>
      </c>
      <c r="N140">
        <v>953.2</v>
      </c>
      <c r="P140" s="3">
        <v>500</v>
      </c>
      <c r="Q140" s="3">
        <v>5</v>
      </c>
      <c r="R140">
        <v>285.9701</v>
      </c>
      <c r="S140">
        <v>953.2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65"/>
  <sheetViews>
    <sheetView tabSelected="1" workbookViewId="0"/>
  </sheetViews>
  <sheetFormatPr defaultRowHeight="15" x14ac:dyDescent="0.25"/>
  <sheetData>
    <row r="1" spans="1:43" x14ac:dyDescent="0.25">
      <c r="A1" s="1" t="s">
        <v>19</v>
      </c>
    </row>
    <row r="2" spans="1:43" x14ac:dyDescent="0.25">
      <c r="A2" s="2" t="s">
        <v>1</v>
      </c>
    </row>
    <row r="3" spans="1:43" x14ac:dyDescent="0.25">
      <c r="B3" t="s">
        <v>2</v>
      </c>
      <c r="L3" t="s">
        <v>3</v>
      </c>
    </row>
    <row r="4" spans="1:43" x14ac:dyDescent="0.25"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</row>
    <row r="5" spans="1:43" x14ac:dyDescent="0.25">
      <c r="C5" s="3" t="s">
        <v>6</v>
      </c>
      <c r="D5">
        <v>150</v>
      </c>
      <c r="E5">
        <v>150</v>
      </c>
      <c r="F5">
        <v>6</v>
      </c>
      <c r="G5">
        <v>6</v>
      </c>
      <c r="H5">
        <v>450</v>
      </c>
      <c r="I5">
        <v>373</v>
      </c>
      <c r="J5">
        <v>373</v>
      </c>
      <c r="N5" s="3" t="s">
        <v>6</v>
      </c>
      <c r="O5">
        <v>150</v>
      </c>
      <c r="P5">
        <v>150</v>
      </c>
      <c r="Q5">
        <v>28</v>
      </c>
      <c r="R5">
        <v>28</v>
      </c>
      <c r="S5">
        <v>450</v>
      </c>
      <c r="T5">
        <v>450</v>
      </c>
      <c r="U5">
        <v>450</v>
      </c>
    </row>
    <row r="6" spans="1:43" x14ac:dyDescent="0.25">
      <c r="C6" s="3" t="s">
        <v>7</v>
      </c>
      <c r="D6">
        <v>1.1091739784377819E-2</v>
      </c>
      <c r="E6">
        <v>9.2889756195472836E-2</v>
      </c>
      <c r="F6">
        <v>0</v>
      </c>
      <c r="G6">
        <v>0</v>
      </c>
      <c r="H6">
        <v>5.2312199204866473E-5</v>
      </c>
      <c r="I6">
        <v>0.26864567851716309</v>
      </c>
      <c r="J6">
        <v>9.3791790563732059E-4</v>
      </c>
      <c r="N6" s="3" t="s">
        <v>7</v>
      </c>
      <c r="O6">
        <v>3.6000000000013682E-3</v>
      </c>
      <c r="P6">
        <v>4.7999999999997474E-6</v>
      </c>
      <c r="Q6">
        <v>0</v>
      </c>
      <c r="R6">
        <v>0</v>
      </c>
      <c r="S6">
        <v>-2.2222222222227281E-4</v>
      </c>
      <c r="T6">
        <v>3.8888888900358583E-2</v>
      </c>
      <c r="U6">
        <v>-0.16644444444351769</v>
      </c>
    </row>
    <row r="7" spans="1:43" x14ac:dyDescent="0.25">
      <c r="C7" s="3" t="s">
        <v>8</v>
      </c>
      <c r="D7">
        <v>1.386221993274662E-2</v>
      </c>
      <c r="E7">
        <v>8.9911094554621249E-2</v>
      </c>
      <c r="F7">
        <v>0</v>
      </c>
      <c r="G7">
        <v>0</v>
      </c>
      <c r="H7">
        <v>1.10970932389628E-3</v>
      </c>
      <c r="I7">
        <v>5.1777762016854707</v>
      </c>
      <c r="J7">
        <v>5.4977728094637744E-3</v>
      </c>
      <c r="N7" s="3" t="s">
        <v>8</v>
      </c>
      <c r="O7">
        <v>2.0143112134000451E-2</v>
      </c>
      <c r="P7">
        <v>1.9754194185525842E-5</v>
      </c>
      <c r="Q7">
        <v>0</v>
      </c>
      <c r="R7">
        <v>0</v>
      </c>
      <c r="S7">
        <v>4.7140452079113973E-3</v>
      </c>
      <c r="T7">
        <v>1.426202024532784</v>
      </c>
      <c r="U7">
        <v>0.62273788598085078</v>
      </c>
    </row>
    <row r="8" spans="1:43" x14ac:dyDescent="0.25">
      <c r="C8" s="3" t="s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N8" s="3" t="s">
        <v>9</v>
      </c>
      <c r="O8">
        <v>-5.0000000000011369E-2</v>
      </c>
      <c r="P8">
        <v>-5.0000000000001432E-5</v>
      </c>
      <c r="Q8">
        <v>0</v>
      </c>
      <c r="R8">
        <v>0</v>
      </c>
      <c r="S8">
        <v>-0.1000000000000227</v>
      </c>
      <c r="T8">
        <v>-8.7999999998137355</v>
      </c>
      <c r="U8">
        <v>-6</v>
      </c>
    </row>
    <row r="9" spans="1:43" x14ac:dyDescent="0.25">
      <c r="C9" s="3" t="s">
        <v>10</v>
      </c>
      <c r="D9">
        <v>0</v>
      </c>
      <c r="E9">
        <v>6.4102564102561488E-2</v>
      </c>
      <c r="F9">
        <v>0</v>
      </c>
      <c r="G9">
        <v>0</v>
      </c>
      <c r="H9">
        <v>0</v>
      </c>
      <c r="I9">
        <v>2.0224051875105169E-5</v>
      </c>
      <c r="J9">
        <v>0</v>
      </c>
      <c r="N9" s="3" t="s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-0.20000000018626449</v>
      </c>
      <c r="U9">
        <v>-0.1000000000349246</v>
      </c>
    </row>
    <row r="10" spans="1:43" x14ac:dyDescent="0.25">
      <c r="C10" s="3" t="s">
        <v>11</v>
      </c>
      <c r="D10">
        <v>9.5606576196936299E-3</v>
      </c>
      <c r="E10">
        <v>6.451612903225544E-2</v>
      </c>
      <c r="F10">
        <v>0</v>
      </c>
      <c r="G10">
        <v>0</v>
      </c>
      <c r="H10">
        <v>0</v>
      </c>
      <c r="I10">
        <v>5.3852384155885839E-5</v>
      </c>
      <c r="J10">
        <v>3.6071054218013672E-5</v>
      </c>
      <c r="N10" s="3" t="s">
        <v>11</v>
      </c>
      <c r="O10">
        <v>0</v>
      </c>
      <c r="P10">
        <v>9.9999999999995925E-6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43" x14ac:dyDescent="0.25">
      <c r="C11" s="3" t="s">
        <v>12</v>
      </c>
      <c r="D11">
        <v>1.1764705882358961E-2</v>
      </c>
      <c r="E11">
        <v>0.128205128205123</v>
      </c>
      <c r="F11">
        <v>0</v>
      </c>
      <c r="G11">
        <v>0</v>
      </c>
      <c r="H11">
        <v>0</v>
      </c>
      <c r="I11">
        <v>1.318155215297835E-4</v>
      </c>
      <c r="J11">
        <v>8.6230424069385177E-5</v>
      </c>
      <c r="N11" s="3" t="s">
        <v>12</v>
      </c>
      <c r="O11">
        <v>1.0000000000005119E-2</v>
      </c>
      <c r="P11">
        <v>9.9999999999995925E-6</v>
      </c>
      <c r="Q11">
        <v>0</v>
      </c>
      <c r="R11">
        <v>0</v>
      </c>
      <c r="S11">
        <v>0</v>
      </c>
      <c r="T11">
        <v>0.40000000028157962</v>
      </c>
      <c r="U11">
        <v>0</v>
      </c>
    </row>
    <row r="12" spans="1:43" x14ac:dyDescent="0.25">
      <c r="C12" s="3" t="s">
        <v>13</v>
      </c>
      <c r="D12">
        <v>5.8823529411761361E-2</v>
      </c>
      <c r="E12">
        <v>0.3205128205128297</v>
      </c>
      <c r="F12">
        <v>0</v>
      </c>
      <c r="G12">
        <v>0</v>
      </c>
      <c r="H12">
        <v>2.354048964218991E-2</v>
      </c>
      <c r="I12">
        <v>100</v>
      </c>
      <c r="J12">
        <v>9.3109869646190432E-2</v>
      </c>
      <c r="N12" s="3" t="s">
        <v>13</v>
      </c>
      <c r="O12">
        <v>5.0000000000011369E-2</v>
      </c>
      <c r="P12">
        <v>5.0000000000001432E-5</v>
      </c>
      <c r="Q12">
        <v>0</v>
      </c>
      <c r="R12">
        <v>0</v>
      </c>
      <c r="S12">
        <v>0</v>
      </c>
      <c r="T12">
        <v>7</v>
      </c>
      <c r="U12">
        <v>1</v>
      </c>
    </row>
    <row r="13" spans="1:43" x14ac:dyDescent="0.25">
      <c r="A13" s="2" t="s">
        <v>14</v>
      </c>
    </row>
    <row r="14" spans="1:43" x14ac:dyDescent="0.25">
      <c r="A14" t="s">
        <v>2</v>
      </c>
      <c r="L14" t="s">
        <v>3</v>
      </c>
      <c r="W14" t="s">
        <v>15</v>
      </c>
      <c r="AH14" t="s">
        <v>16</v>
      </c>
    </row>
    <row r="15" spans="1:43" x14ac:dyDescent="0.25">
      <c r="A15" s="3" t="s">
        <v>17</v>
      </c>
      <c r="B15" s="3" t="s">
        <v>18</v>
      </c>
      <c r="C15" s="3" t="s">
        <v>27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25</v>
      </c>
      <c r="J15" s="3" t="s">
        <v>26</v>
      </c>
      <c r="L15" s="3" t="s">
        <v>17</v>
      </c>
      <c r="M15" s="3" t="s">
        <v>18</v>
      </c>
      <c r="N15" s="3" t="s">
        <v>27</v>
      </c>
      <c r="O15" s="3" t="s">
        <v>20</v>
      </c>
      <c r="P15" s="3" t="s">
        <v>21</v>
      </c>
      <c r="Q15" s="3" t="s">
        <v>22</v>
      </c>
      <c r="R15" s="3" t="s">
        <v>23</v>
      </c>
      <c r="S15" s="3" t="s">
        <v>24</v>
      </c>
      <c r="T15" s="3" t="s">
        <v>25</v>
      </c>
      <c r="U15" s="3" t="s">
        <v>26</v>
      </c>
      <c r="W15" s="3" t="s">
        <v>17</v>
      </c>
      <c r="X15" s="3" t="s">
        <v>18</v>
      </c>
      <c r="Y15" s="3" t="s">
        <v>27</v>
      </c>
      <c r="Z15" s="3" t="s">
        <v>20</v>
      </c>
      <c r="AA15" s="3" t="s">
        <v>21</v>
      </c>
      <c r="AB15" s="3" t="s">
        <v>22</v>
      </c>
      <c r="AC15" s="3" t="s">
        <v>23</v>
      </c>
      <c r="AD15" s="3" t="s">
        <v>24</v>
      </c>
      <c r="AE15" s="3" t="s">
        <v>25</v>
      </c>
      <c r="AF15" s="3" t="s">
        <v>26</v>
      </c>
      <c r="AH15" s="3" t="s">
        <v>17</v>
      </c>
      <c r="AI15" s="3" t="s">
        <v>18</v>
      </c>
      <c r="AJ15" s="3" t="s">
        <v>27</v>
      </c>
      <c r="AK15" s="3" t="s">
        <v>20</v>
      </c>
      <c r="AL15" s="3" t="s">
        <v>21</v>
      </c>
      <c r="AM15" s="3" t="s">
        <v>22</v>
      </c>
      <c r="AN15" s="3" t="s">
        <v>23</v>
      </c>
      <c r="AO15" s="3" t="s">
        <v>24</v>
      </c>
      <c r="AP15" s="3" t="s">
        <v>25</v>
      </c>
      <c r="AQ15" s="3" t="s">
        <v>26</v>
      </c>
    </row>
    <row r="16" spans="1:43" x14ac:dyDescent="0.25">
      <c r="A16" s="3">
        <v>0</v>
      </c>
      <c r="B16" s="3">
        <v>1</v>
      </c>
      <c r="C16" s="3">
        <v>1</v>
      </c>
      <c r="D16">
        <v>0</v>
      </c>
      <c r="E16">
        <v>0</v>
      </c>
      <c r="L16" s="3">
        <v>0</v>
      </c>
      <c r="M16" s="3">
        <v>1</v>
      </c>
      <c r="N16" s="3">
        <v>1</v>
      </c>
      <c r="O16">
        <v>0</v>
      </c>
      <c r="P16">
        <v>0</v>
      </c>
      <c r="Q16">
        <v>0</v>
      </c>
      <c r="R16">
        <v>0</v>
      </c>
      <c r="W16" s="3">
        <v>0</v>
      </c>
      <c r="X16" s="3">
        <v>1</v>
      </c>
      <c r="Y16" s="3">
        <v>1</v>
      </c>
      <c r="Z16">
        <v>85</v>
      </c>
      <c r="AA16">
        <v>1.5509999999999999E-2</v>
      </c>
      <c r="AB16">
        <v>0</v>
      </c>
      <c r="AC16">
        <v>0</v>
      </c>
      <c r="AH16" s="3">
        <v>0</v>
      </c>
      <c r="AI16" s="3">
        <v>1</v>
      </c>
      <c r="AJ16" s="3">
        <v>1</v>
      </c>
      <c r="AK16">
        <v>85</v>
      </c>
      <c r="AL16">
        <v>1.5509999999999999E-2</v>
      </c>
      <c r="AM16">
        <v>0</v>
      </c>
      <c r="AN16">
        <v>0</v>
      </c>
    </row>
    <row r="17" spans="1:43" x14ac:dyDescent="0.25">
      <c r="A17" s="3">
        <v>0</v>
      </c>
      <c r="B17" s="3">
        <v>1</v>
      </c>
      <c r="C17" s="3">
        <v>2</v>
      </c>
      <c r="D17">
        <v>0</v>
      </c>
      <c r="E17">
        <v>0</v>
      </c>
      <c r="L17" s="3">
        <v>0</v>
      </c>
      <c r="M17" s="3">
        <v>1</v>
      </c>
      <c r="N17" s="3">
        <v>2</v>
      </c>
      <c r="O17">
        <v>0</v>
      </c>
      <c r="P17">
        <v>0</v>
      </c>
      <c r="Q17">
        <v>0</v>
      </c>
      <c r="R17">
        <v>0</v>
      </c>
      <c r="W17" s="3">
        <v>0</v>
      </c>
      <c r="X17" s="3">
        <v>1</v>
      </c>
      <c r="Y17" s="3">
        <v>2</v>
      </c>
      <c r="Z17">
        <v>85</v>
      </c>
      <c r="AA17">
        <v>1.5509999999999999E-2</v>
      </c>
      <c r="AB17">
        <v>0</v>
      </c>
      <c r="AC17">
        <v>0</v>
      </c>
      <c r="AH17" s="3">
        <v>0</v>
      </c>
      <c r="AI17" s="3">
        <v>1</v>
      </c>
      <c r="AJ17" s="3">
        <v>2</v>
      </c>
      <c r="AK17">
        <v>85</v>
      </c>
      <c r="AL17">
        <v>1.5509999999999999E-2</v>
      </c>
      <c r="AM17">
        <v>0</v>
      </c>
      <c r="AN17">
        <v>0</v>
      </c>
    </row>
    <row r="18" spans="1:43" x14ac:dyDescent="0.25">
      <c r="A18" s="3">
        <v>0</v>
      </c>
      <c r="B18" s="3">
        <v>1</v>
      </c>
      <c r="C18" s="3">
        <v>3</v>
      </c>
      <c r="D18">
        <v>0</v>
      </c>
      <c r="E18">
        <v>0</v>
      </c>
      <c r="L18" s="3">
        <v>0</v>
      </c>
      <c r="M18" s="3">
        <v>1</v>
      </c>
      <c r="N18" s="3">
        <v>3</v>
      </c>
      <c r="O18">
        <v>0</v>
      </c>
      <c r="P18">
        <v>0</v>
      </c>
      <c r="Q18">
        <v>0</v>
      </c>
      <c r="R18">
        <v>0</v>
      </c>
      <c r="W18" s="3">
        <v>0</v>
      </c>
      <c r="X18" s="3">
        <v>1</v>
      </c>
      <c r="Y18" s="3">
        <v>3</v>
      </c>
      <c r="Z18">
        <v>85</v>
      </c>
      <c r="AA18">
        <v>1.5509999999999999E-2</v>
      </c>
      <c r="AB18">
        <v>0</v>
      </c>
      <c r="AC18">
        <v>0</v>
      </c>
      <c r="AH18" s="3">
        <v>0</v>
      </c>
      <c r="AI18" s="3">
        <v>1</v>
      </c>
      <c r="AJ18" s="3">
        <v>3</v>
      </c>
      <c r="AK18">
        <v>85</v>
      </c>
      <c r="AL18">
        <v>1.5509999999999999E-2</v>
      </c>
      <c r="AM18">
        <v>0</v>
      </c>
      <c r="AN18">
        <v>0</v>
      </c>
    </row>
    <row r="19" spans="1:43" x14ac:dyDescent="0.25">
      <c r="A19" s="3">
        <v>0</v>
      </c>
      <c r="B19" s="3">
        <v>1</v>
      </c>
      <c r="C19" s="3">
        <v>4</v>
      </c>
      <c r="D19">
        <v>0</v>
      </c>
      <c r="E19">
        <v>0</v>
      </c>
      <c r="L19" s="3">
        <v>0</v>
      </c>
      <c r="M19" s="3">
        <v>1</v>
      </c>
      <c r="N19" s="3">
        <v>4</v>
      </c>
      <c r="O19">
        <v>0</v>
      </c>
      <c r="P19">
        <v>0</v>
      </c>
      <c r="Q19">
        <v>0</v>
      </c>
      <c r="R19">
        <v>0</v>
      </c>
      <c r="W19" s="3">
        <v>0</v>
      </c>
      <c r="X19" s="3">
        <v>1</v>
      </c>
      <c r="Y19" s="3">
        <v>4</v>
      </c>
      <c r="Z19">
        <v>85</v>
      </c>
      <c r="AA19">
        <v>1.5509999999999999E-2</v>
      </c>
      <c r="AB19">
        <v>0</v>
      </c>
      <c r="AC19">
        <v>0</v>
      </c>
      <c r="AH19" s="3">
        <v>0</v>
      </c>
      <c r="AI19" s="3">
        <v>1</v>
      </c>
      <c r="AJ19" s="3">
        <v>4</v>
      </c>
      <c r="AK19">
        <v>85</v>
      </c>
      <c r="AL19">
        <v>1.5509999999999999E-2</v>
      </c>
      <c r="AM19">
        <v>0</v>
      </c>
      <c r="AN19">
        <v>0</v>
      </c>
    </row>
    <row r="20" spans="1:43" x14ac:dyDescent="0.25">
      <c r="A20" s="3">
        <v>0</v>
      </c>
      <c r="B20" s="3">
        <v>1</v>
      </c>
      <c r="C20" s="3">
        <v>5</v>
      </c>
      <c r="D20">
        <v>0</v>
      </c>
      <c r="E20">
        <v>0</v>
      </c>
      <c r="L20" s="3">
        <v>0</v>
      </c>
      <c r="M20" s="3">
        <v>1</v>
      </c>
      <c r="N20" s="3">
        <v>5</v>
      </c>
      <c r="O20">
        <v>0</v>
      </c>
      <c r="P20">
        <v>0</v>
      </c>
      <c r="Q20">
        <v>0</v>
      </c>
      <c r="R20">
        <v>0</v>
      </c>
      <c r="W20" s="3">
        <v>0</v>
      </c>
      <c r="X20" s="3">
        <v>1</v>
      </c>
      <c r="Y20" s="3">
        <v>5</v>
      </c>
      <c r="Z20">
        <v>85</v>
      </c>
      <c r="AA20">
        <v>1.5509999999999999E-2</v>
      </c>
      <c r="AB20">
        <v>0</v>
      </c>
      <c r="AC20">
        <v>0</v>
      </c>
      <c r="AH20" s="3">
        <v>0</v>
      </c>
      <c r="AI20" s="3">
        <v>1</v>
      </c>
      <c r="AJ20" s="3">
        <v>5</v>
      </c>
      <c r="AK20">
        <v>85</v>
      </c>
      <c r="AL20">
        <v>1.5509999999999999E-2</v>
      </c>
      <c r="AM20">
        <v>0</v>
      </c>
      <c r="AN20">
        <v>0</v>
      </c>
    </row>
    <row r="21" spans="1:43" x14ac:dyDescent="0.25">
      <c r="A21" s="3">
        <v>0</v>
      </c>
      <c r="B21" s="3">
        <v>1</v>
      </c>
      <c r="C21" s="3">
        <v>6</v>
      </c>
      <c r="D21">
        <v>0</v>
      </c>
      <c r="E21">
        <v>0</v>
      </c>
      <c r="L21" s="3">
        <v>0</v>
      </c>
      <c r="M21" s="3">
        <v>1</v>
      </c>
      <c r="N21" s="3">
        <v>6</v>
      </c>
      <c r="O21">
        <v>0</v>
      </c>
      <c r="P21">
        <v>0</v>
      </c>
      <c r="Q21">
        <v>0</v>
      </c>
      <c r="R21">
        <v>0</v>
      </c>
      <c r="W21" s="3">
        <v>0</v>
      </c>
      <c r="X21" s="3">
        <v>1</v>
      </c>
      <c r="Y21" s="3">
        <v>6</v>
      </c>
      <c r="Z21">
        <v>85</v>
      </c>
      <c r="AA21">
        <v>1.5509999999999999E-2</v>
      </c>
      <c r="AB21">
        <v>0</v>
      </c>
      <c r="AC21">
        <v>0</v>
      </c>
      <c r="AH21" s="3">
        <v>0</v>
      </c>
      <c r="AI21" s="3">
        <v>1</v>
      </c>
      <c r="AJ21" s="3">
        <v>6</v>
      </c>
      <c r="AK21">
        <v>85</v>
      </c>
      <c r="AL21">
        <v>1.5509999999999999E-2</v>
      </c>
      <c r="AM21">
        <v>0</v>
      </c>
      <c r="AN21">
        <v>0</v>
      </c>
    </row>
    <row r="22" spans="1:43" x14ac:dyDescent="0.25">
      <c r="A22" s="3">
        <v>0</v>
      </c>
      <c r="B22" s="3">
        <v>1</v>
      </c>
      <c r="C22" s="3">
        <v>7</v>
      </c>
      <c r="D22">
        <v>0</v>
      </c>
      <c r="E22">
        <v>0</v>
      </c>
      <c r="L22" s="3">
        <v>0</v>
      </c>
      <c r="M22" s="3">
        <v>1</v>
      </c>
      <c r="N22" s="3">
        <v>7</v>
      </c>
      <c r="O22">
        <v>0</v>
      </c>
      <c r="P22">
        <v>0</v>
      </c>
      <c r="Q22">
        <v>0</v>
      </c>
      <c r="R22">
        <v>0</v>
      </c>
      <c r="W22" s="3">
        <v>0</v>
      </c>
      <c r="X22" s="3">
        <v>1</v>
      </c>
      <c r="Y22" s="3">
        <v>7</v>
      </c>
      <c r="Z22">
        <v>85</v>
      </c>
      <c r="AA22">
        <v>1.5509999999999999E-2</v>
      </c>
      <c r="AB22">
        <v>0</v>
      </c>
      <c r="AC22">
        <v>0</v>
      </c>
      <c r="AH22" s="3">
        <v>0</v>
      </c>
      <c r="AI22" s="3">
        <v>1</v>
      </c>
      <c r="AJ22" s="3">
        <v>7</v>
      </c>
      <c r="AK22">
        <v>85</v>
      </c>
      <c r="AL22">
        <v>1.5509999999999999E-2</v>
      </c>
      <c r="AM22">
        <v>0</v>
      </c>
      <c r="AN22">
        <v>0</v>
      </c>
    </row>
    <row r="23" spans="1:43" x14ac:dyDescent="0.25">
      <c r="A23" s="3">
        <v>0</v>
      </c>
      <c r="B23" s="3">
        <v>1</v>
      </c>
      <c r="C23" s="3">
        <v>8</v>
      </c>
      <c r="D23">
        <v>0</v>
      </c>
      <c r="E23">
        <v>0</v>
      </c>
      <c r="L23" s="3">
        <v>0</v>
      </c>
      <c r="M23" s="3">
        <v>1</v>
      </c>
      <c r="N23" s="3">
        <v>8</v>
      </c>
      <c r="O23">
        <v>0</v>
      </c>
      <c r="P23">
        <v>0</v>
      </c>
      <c r="Q23">
        <v>0</v>
      </c>
      <c r="R23">
        <v>0</v>
      </c>
      <c r="W23" s="3">
        <v>0</v>
      </c>
      <c r="X23" s="3">
        <v>1</v>
      </c>
      <c r="Y23" s="3">
        <v>8</v>
      </c>
      <c r="Z23">
        <v>85</v>
      </c>
      <c r="AA23">
        <v>1.5509999999999999E-2</v>
      </c>
      <c r="AB23">
        <v>0</v>
      </c>
      <c r="AC23">
        <v>0</v>
      </c>
      <c r="AH23" s="3">
        <v>0</v>
      </c>
      <c r="AI23" s="3">
        <v>1</v>
      </c>
      <c r="AJ23" s="3">
        <v>8</v>
      </c>
      <c r="AK23">
        <v>85</v>
      </c>
      <c r="AL23">
        <v>1.5509999999999999E-2</v>
      </c>
      <c r="AM23">
        <v>0</v>
      </c>
      <c r="AN23">
        <v>0</v>
      </c>
    </row>
    <row r="24" spans="1:43" x14ac:dyDescent="0.25">
      <c r="A24" s="3">
        <v>0</v>
      </c>
      <c r="B24" s="3">
        <v>1</v>
      </c>
      <c r="C24" s="3">
        <v>9</v>
      </c>
      <c r="D24">
        <v>0</v>
      </c>
      <c r="E24">
        <v>0</v>
      </c>
      <c r="L24" s="3">
        <v>0</v>
      </c>
      <c r="M24" s="3">
        <v>1</v>
      </c>
      <c r="N24" s="3">
        <v>9</v>
      </c>
      <c r="O24">
        <v>0</v>
      </c>
      <c r="P24">
        <v>0</v>
      </c>
      <c r="Q24">
        <v>0</v>
      </c>
      <c r="R24">
        <v>0</v>
      </c>
      <c r="W24" s="3">
        <v>0</v>
      </c>
      <c r="X24" s="3">
        <v>1</v>
      </c>
      <c r="Y24" s="3">
        <v>9</v>
      </c>
      <c r="Z24">
        <v>85</v>
      </c>
      <c r="AA24">
        <v>1.5509999999999999E-2</v>
      </c>
      <c r="AB24">
        <v>0</v>
      </c>
      <c r="AC24">
        <v>0</v>
      </c>
      <c r="AH24" s="3">
        <v>0</v>
      </c>
      <c r="AI24" s="3">
        <v>1</v>
      </c>
      <c r="AJ24" s="3">
        <v>9</v>
      </c>
      <c r="AK24">
        <v>85</v>
      </c>
      <c r="AL24">
        <v>1.5509999999999999E-2</v>
      </c>
      <c r="AM24">
        <v>0</v>
      </c>
      <c r="AN24">
        <v>0</v>
      </c>
    </row>
    <row r="25" spans="1:43" x14ac:dyDescent="0.25">
      <c r="A25" s="3">
        <v>0</v>
      </c>
      <c r="B25" s="3">
        <v>1</v>
      </c>
      <c r="C25" s="3">
        <v>10</v>
      </c>
      <c r="D25">
        <v>0</v>
      </c>
      <c r="E25">
        <v>0</v>
      </c>
      <c r="L25" s="3">
        <v>0</v>
      </c>
      <c r="M25" s="3">
        <v>1</v>
      </c>
      <c r="N25" s="3">
        <v>10</v>
      </c>
      <c r="O25">
        <v>0</v>
      </c>
      <c r="P25">
        <v>0</v>
      </c>
      <c r="Q25">
        <v>0</v>
      </c>
      <c r="R25">
        <v>0</v>
      </c>
      <c r="W25" s="3">
        <v>0</v>
      </c>
      <c r="X25" s="3">
        <v>1</v>
      </c>
      <c r="Y25" s="3">
        <v>10</v>
      </c>
      <c r="Z25">
        <v>85</v>
      </c>
      <c r="AA25">
        <v>1.5509999999999999E-2</v>
      </c>
      <c r="AB25">
        <v>0</v>
      </c>
      <c r="AC25">
        <v>0</v>
      </c>
      <c r="AH25" s="3">
        <v>0</v>
      </c>
      <c r="AI25" s="3">
        <v>1</v>
      </c>
      <c r="AJ25" s="3">
        <v>10</v>
      </c>
      <c r="AK25">
        <v>85</v>
      </c>
      <c r="AL25">
        <v>1.5509999999999999E-2</v>
      </c>
      <c r="AM25">
        <v>0</v>
      </c>
      <c r="AN25">
        <v>0</v>
      </c>
    </row>
    <row r="26" spans="1:43" x14ac:dyDescent="0.25">
      <c r="A26" s="3">
        <v>0</v>
      </c>
      <c r="B26" s="3">
        <v>2</v>
      </c>
      <c r="C26" s="3">
        <v>1</v>
      </c>
      <c r="D26">
        <v>0</v>
      </c>
      <c r="E26">
        <v>0</v>
      </c>
      <c r="H26">
        <v>0</v>
      </c>
      <c r="L26" s="3">
        <v>0</v>
      </c>
      <c r="M26" s="3">
        <v>2</v>
      </c>
      <c r="N26" s="3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 s="3">
        <v>0</v>
      </c>
      <c r="X26" s="3">
        <v>2</v>
      </c>
      <c r="Y26" s="3">
        <v>1</v>
      </c>
      <c r="Z26">
        <v>85</v>
      </c>
      <c r="AA26">
        <v>1.5509999999999999E-2</v>
      </c>
      <c r="AB26">
        <v>0</v>
      </c>
      <c r="AC26">
        <v>0</v>
      </c>
      <c r="AD26">
        <v>85</v>
      </c>
      <c r="AE26">
        <v>0</v>
      </c>
      <c r="AF26">
        <v>0</v>
      </c>
      <c r="AH26" s="3">
        <v>0</v>
      </c>
      <c r="AI26" s="3">
        <v>2</v>
      </c>
      <c r="AJ26" s="3">
        <v>1</v>
      </c>
      <c r="AK26">
        <v>85</v>
      </c>
      <c r="AL26">
        <v>1.5509999999999999E-2</v>
      </c>
      <c r="AM26">
        <v>0</v>
      </c>
      <c r="AN26">
        <v>0</v>
      </c>
      <c r="AO26">
        <v>85</v>
      </c>
      <c r="AP26">
        <v>0</v>
      </c>
      <c r="AQ26">
        <v>0</v>
      </c>
    </row>
    <row r="27" spans="1:43" x14ac:dyDescent="0.25">
      <c r="A27" s="3">
        <v>0</v>
      </c>
      <c r="B27" s="3">
        <v>2</v>
      </c>
      <c r="C27" s="3">
        <v>2</v>
      </c>
      <c r="D27">
        <v>0</v>
      </c>
      <c r="E27">
        <v>0</v>
      </c>
      <c r="H27">
        <v>0</v>
      </c>
      <c r="L27" s="3">
        <v>0</v>
      </c>
      <c r="M27" s="3">
        <v>2</v>
      </c>
      <c r="N27" s="3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 s="3">
        <v>0</v>
      </c>
      <c r="X27" s="3">
        <v>2</v>
      </c>
      <c r="Y27" s="3">
        <v>2</v>
      </c>
      <c r="Z27">
        <v>85</v>
      </c>
      <c r="AA27">
        <v>1.5509999999999999E-2</v>
      </c>
      <c r="AB27">
        <v>0</v>
      </c>
      <c r="AC27">
        <v>0</v>
      </c>
      <c r="AD27">
        <v>85</v>
      </c>
      <c r="AE27">
        <v>0</v>
      </c>
      <c r="AF27">
        <v>0</v>
      </c>
      <c r="AH27" s="3">
        <v>0</v>
      </c>
      <c r="AI27" s="3">
        <v>2</v>
      </c>
      <c r="AJ27" s="3">
        <v>2</v>
      </c>
      <c r="AK27">
        <v>85</v>
      </c>
      <c r="AL27">
        <v>1.5509999999999999E-2</v>
      </c>
      <c r="AM27">
        <v>0</v>
      </c>
      <c r="AN27">
        <v>0</v>
      </c>
      <c r="AO27">
        <v>85</v>
      </c>
      <c r="AP27">
        <v>0</v>
      </c>
      <c r="AQ27">
        <v>0</v>
      </c>
    </row>
    <row r="28" spans="1:43" x14ac:dyDescent="0.25">
      <c r="A28" s="3">
        <v>0</v>
      </c>
      <c r="B28" s="3">
        <v>3</v>
      </c>
      <c r="C28" s="3">
        <v>1</v>
      </c>
      <c r="D28">
        <v>0</v>
      </c>
      <c r="E28">
        <v>0</v>
      </c>
      <c r="H28">
        <v>0</v>
      </c>
      <c r="L28" s="3">
        <v>0</v>
      </c>
      <c r="M28" s="3">
        <v>3</v>
      </c>
      <c r="N28" s="3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 s="3">
        <v>0</v>
      </c>
      <c r="X28" s="3">
        <v>3</v>
      </c>
      <c r="Y28" s="3">
        <v>1</v>
      </c>
      <c r="Z28">
        <v>85</v>
      </c>
      <c r="AA28">
        <v>1.5509999999999999E-2</v>
      </c>
      <c r="AB28">
        <v>0</v>
      </c>
      <c r="AC28">
        <v>0</v>
      </c>
      <c r="AD28">
        <v>85</v>
      </c>
      <c r="AE28">
        <v>0</v>
      </c>
      <c r="AF28">
        <v>0</v>
      </c>
      <c r="AH28" s="3">
        <v>0</v>
      </c>
      <c r="AI28" s="3">
        <v>3</v>
      </c>
      <c r="AJ28" s="3">
        <v>1</v>
      </c>
      <c r="AK28">
        <v>85</v>
      </c>
      <c r="AL28">
        <v>1.5509999999999999E-2</v>
      </c>
      <c r="AM28">
        <v>0</v>
      </c>
      <c r="AN28">
        <v>0</v>
      </c>
      <c r="AO28">
        <v>85</v>
      </c>
      <c r="AP28">
        <v>0</v>
      </c>
      <c r="AQ28">
        <v>0</v>
      </c>
    </row>
    <row r="29" spans="1:43" x14ac:dyDescent="0.25">
      <c r="A29" s="3">
        <v>0</v>
      </c>
      <c r="B29" s="3">
        <v>3</v>
      </c>
      <c r="C29" s="3">
        <v>2</v>
      </c>
      <c r="D29">
        <v>0</v>
      </c>
      <c r="E29">
        <v>0</v>
      </c>
      <c r="H29">
        <v>0</v>
      </c>
      <c r="L29" s="3">
        <v>0</v>
      </c>
      <c r="M29" s="3">
        <v>3</v>
      </c>
      <c r="N29" s="3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 s="3">
        <v>0</v>
      </c>
      <c r="X29" s="3">
        <v>3</v>
      </c>
      <c r="Y29" s="3">
        <v>2</v>
      </c>
      <c r="Z29">
        <v>85</v>
      </c>
      <c r="AA29">
        <v>1.5509999999999999E-2</v>
      </c>
      <c r="AB29">
        <v>0</v>
      </c>
      <c r="AC29">
        <v>0</v>
      </c>
      <c r="AD29">
        <v>85</v>
      </c>
      <c r="AE29">
        <v>0</v>
      </c>
      <c r="AF29">
        <v>0</v>
      </c>
      <c r="AH29" s="3">
        <v>0</v>
      </c>
      <c r="AI29" s="3">
        <v>3</v>
      </c>
      <c r="AJ29" s="3">
        <v>2</v>
      </c>
      <c r="AK29">
        <v>85</v>
      </c>
      <c r="AL29">
        <v>1.5509999999999999E-2</v>
      </c>
      <c r="AM29">
        <v>0</v>
      </c>
      <c r="AN29">
        <v>0</v>
      </c>
      <c r="AO29">
        <v>85</v>
      </c>
      <c r="AP29">
        <v>0</v>
      </c>
      <c r="AQ29">
        <v>0</v>
      </c>
    </row>
    <row r="30" spans="1:43" x14ac:dyDescent="0.25">
      <c r="A30" s="3">
        <v>0</v>
      </c>
      <c r="B30" s="3">
        <v>3</v>
      </c>
      <c r="C30" s="3">
        <v>3</v>
      </c>
      <c r="D30">
        <v>0</v>
      </c>
      <c r="E30">
        <v>0</v>
      </c>
      <c r="H30">
        <v>0</v>
      </c>
      <c r="L30" s="3">
        <v>0</v>
      </c>
      <c r="M30" s="3">
        <v>3</v>
      </c>
      <c r="N30" s="3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 s="3">
        <v>0</v>
      </c>
      <c r="X30" s="3">
        <v>3</v>
      </c>
      <c r="Y30" s="3">
        <v>3</v>
      </c>
      <c r="Z30">
        <v>85</v>
      </c>
      <c r="AA30">
        <v>1.5509999999999999E-2</v>
      </c>
      <c r="AB30">
        <v>0</v>
      </c>
      <c r="AC30">
        <v>0</v>
      </c>
      <c r="AD30">
        <v>85</v>
      </c>
      <c r="AE30">
        <v>0</v>
      </c>
      <c r="AF30">
        <v>0</v>
      </c>
      <c r="AH30" s="3">
        <v>0</v>
      </c>
      <c r="AI30" s="3">
        <v>3</v>
      </c>
      <c r="AJ30" s="3">
        <v>3</v>
      </c>
      <c r="AK30">
        <v>85</v>
      </c>
      <c r="AL30">
        <v>1.5509999999999999E-2</v>
      </c>
      <c r="AM30">
        <v>0</v>
      </c>
      <c r="AN30">
        <v>0</v>
      </c>
      <c r="AO30">
        <v>85</v>
      </c>
      <c r="AP30">
        <v>0</v>
      </c>
      <c r="AQ30">
        <v>0</v>
      </c>
    </row>
    <row r="31" spans="1:43" x14ac:dyDescent="0.25">
      <c r="A31" s="3">
        <v>0</v>
      </c>
      <c r="B31" s="3">
        <v>3</v>
      </c>
      <c r="C31" s="3">
        <v>4</v>
      </c>
      <c r="D31">
        <v>0</v>
      </c>
      <c r="E31">
        <v>0</v>
      </c>
      <c r="H31">
        <v>0</v>
      </c>
      <c r="L31" s="3">
        <v>0</v>
      </c>
      <c r="M31" s="3">
        <v>3</v>
      </c>
      <c r="N31" s="3">
        <v>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 s="3">
        <v>0</v>
      </c>
      <c r="X31" s="3">
        <v>3</v>
      </c>
      <c r="Y31" s="3">
        <v>4</v>
      </c>
      <c r="Z31">
        <v>85</v>
      </c>
      <c r="AA31">
        <v>1.5509999999999999E-2</v>
      </c>
      <c r="AB31">
        <v>0</v>
      </c>
      <c r="AC31">
        <v>0</v>
      </c>
      <c r="AD31">
        <v>85</v>
      </c>
      <c r="AE31">
        <v>0</v>
      </c>
      <c r="AF31">
        <v>0</v>
      </c>
      <c r="AH31" s="3">
        <v>0</v>
      </c>
      <c r="AI31" s="3">
        <v>3</v>
      </c>
      <c r="AJ31" s="3">
        <v>4</v>
      </c>
      <c r="AK31">
        <v>85</v>
      </c>
      <c r="AL31">
        <v>1.5509999999999999E-2</v>
      </c>
      <c r="AM31">
        <v>0</v>
      </c>
      <c r="AN31">
        <v>0</v>
      </c>
      <c r="AO31">
        <v>85</v>
      </c>
      <c r="AP31">
        <v>0</v>
      </c>
      <c r="AQ31">
        <v>0</v>
      </c>
    </row>
    <row r="32" spans="1:43" x14ac:dyDescent="0.25">
      <c r="A32" s="3">
        <v>0</v>
      </c>
      <c r="B32" s="3">
        <v>3</v>
      </c>
      <c r="C32" s="3">
        <v>5</v>
      </c>
      <c r="D32">
        <v>0</v>
      </c>
      <c r="E32">
        <v>0</v>
      </c>
      <c r="H32">
        <v>0</v>
      </c>
      <c r="L32" s="3">
        <v>0</v>
      </c>
      <c r="M32" s="3">
        <v>3</v>
      </c>
      <c r="N32" s="3">
        <v>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 s="3">
        <v>0</v>
      </c>
      <c r="X32" s="3">
        <v>3</v>
      </c>
      <c r="Y32" s="3">
        <v>5</v>
      </c>
      <c r="Z32">
        <v>85</v>
      </c>
      <c r="AA32">
        <v>1.5509999999999999E-2</v>
      </c>
      <c r="AB32">
        <v>0</v>
      </c>
      <c r="AC32">
        <v>0</v>
      </c>
      <c r="AD32">
        <v>85</v>
      </c>
      <c r="AE32">
        <v>0</v>
      </c>
      <c r="AF32">
        <v>0</v>
      </c>
      <c r="AH32" s="3">
        <v>0</v>
      </c>
      <c r="AI32" s="3">
        <v>3</v>
      </c>
      <c r="AJ32" s="3">
        <v>5</v>
      </c>
      <c r="AK32">
        <v>85</v>
      </c>
      <c r="AL32">
        <v>1.5509999999999999E-2</v>
      </c>
      <c r="AM32">
        <v>0</v>
      </c>
      <c r="AN32">
        <v>0</v>
      </c>
      <c r="AO32">
        <v>85</v>
      </c>
      <c r="AP32">
        <v>0</v>
      </c>
      <c r="AQ32">
        <v>0</v>
      </c>
    </row>
    <row r="33" spans="1:43" x14ac:dyDescent="0.25">
      <c r="A33" s="3">
        <v>0</v>
      </c>
      <c r="B33" s="3">
        <v>3</v>
      </c>
      <c r="C33" s="3">
        <v>6</v>
      </c>
      <c r="D33">
        <v>0</v>
      </c>
      <c r="E33">
        <v>0</v>
      </c>
      <c r="H33">
        <v>0</v>
      </c>
      <c r="L33" s="3">
        <v>0</v>
      </c>
      <c r="M33" s="3">
        <v>3</v>
      </c>
      <c r="N33" s="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 s="3">
        <v>0</v>
      </c>
      <c r="X33" s="3">
        <v>3</v>
      </c>
      <c r="Y33" s="3">
        <v>6</v>
      </c>
      <c r="Z33">
        <v>85</v>
      </c>
      <c r="AA33">
        <v>1.5509999999999999E-2</v>
      </c>
      <c r="AB33">
        <v>0</v>
      </c>
      <c r="AC33">
        <v>0</v>
      </c>
      <c r="AD33">
        <v>85</v>
      </c>
      <c r="AE33">
        <v>0</v>
      </c>
      <c r="AF33">
        <v>0</v>
      </c>
      <c r="AH33" s="3">
        <v>0</v>
      </c>
      <c r="AI33" s="3">
        <v>3</v>
      </c>
      <c r="AJ33" s="3">
        <v>6</v>
      </c>
      <c r="AK33">
        <v>85</v>
      </c>
      <c r="AL33">
        <v>1.5509999999999999E-2</v>
      </c>
      <c r="AM33">
        <v>0</v>
      </c>
      <c r="AN33">
        <v>0</v>
      </c>
      <c r="AO33">
        <v>85</v>
      </c>
      <c r="AP33">
        <v>0</v>
      </c>
      <c r="AQ33">
        <v>0</v>
      </c>
    </row>
    <row r="34" spans="1:43" x14ac:dyDescent="0.25">
      <c r="A34" s="3">
        <v>0</v>
      </c>
      <c r="B34" s="3">
        <v>3</v>
      </c>
      <c r="C34" s="3">
        <v>7</v>
      </c>
      <c r="D34">
        <v>0</v>
      </c>
      <c r="E34">
        <v>0</v>
      </c>
      <c r="H34">
        <v>0</v>
      </c>
      <c r="L34" s="3">
        <v>0</v>
      </c>
      <c r="M34" s="3">
        <v>3</v>
      </c>
      <c r="N34" s="3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 s="3">
        <v>0</v>
      </c>
      <c r="X34" s="3">
        <v>3</v>
      </c>
      <c r="Y34" s="3">
        <v>7</v>
      </c>
      <c r="Z34">
        <v>85</v>
      </c>
      <c r="AA34">
        <v>1.5509999999999999E-2</v>
      </c>
      <c r="AB34">
        <v>0</v>
      </c>
      <c r="AC34">
        <v>0</v>
      </c>
      <c r="AD34">
        <v>85</v>
      </c>
      <c r="AE34">
        <v>0</v>
      </c>
      <c r="AF34">
        <v>0</v>
      </c>
      <c r="AH34" s="3">
        <v>0</v>
      </c>
      <c r="AI34" s="3">
        <v>3</v>
      </c>
      <c r="AJ34" s="3">
        <v>7</v>
      </c>
      <c r="AK34">
        <v>85</v>
      </c>
      <c r="AL34">
        <v>1.5509999999999999E-2</v>
      </c>
      <c r="AM34">
        <v>0</v>
      </c>
      <c r="AN34">
        <v>0</v>
      </c>
      <c r="AO34">
        <v>85</v>
      </c>
      <c r="AP34">
        <v>0</v>
      </c>
      <c r="AQ34">
        <v>0</v>
      </c>
    </row>
    <row r="35" spans="1:43" x14ac:dyDescent="0.25">
      <c r="A35" s="3">
        <v>0</v>
      </c>
      <c r="B35" s="3">
        <v>3</v>
      </c>
      <c r="C35" s="3">
        <v>8</v>
      </c>
      <c r="D35">
        <v>0</v>
      </c>
      <c r="E35">
        <v>0</v>
      </c>
      <c r="H35">
        <v>0</v>
      </c>
      <c r="L35" s="3">
        <v>0</v>
      </c>
      <c r="M35" s="3">
        <v>3</v>
      </c>
      <c r="N35" s="3">
        <v>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 s="3">
        <v>0</v>
      </c>
      <c r="X35" s="3">
        <v>3</v>
      </c>
      <c r="Y35" s="3">
        <v>8</v>
      </c>
      <c r="Z35">
        <v>85</v>
      </c>
      <c r="AA35">
        <v>1.5509999999999999E-2</v>
      </c>
      <c r="AB35">
        <v>0</v>
      </c>
      <c r="AC35">
        <v>0</v>
      </c>
      <c r="AD35">
        <v>85</v>
      </c>
      <c r="AE35">
        <v>0</v>
      </c>
      <c r="AF35">
        <v>0</v>
      </c>
      <c r="AH35" s="3">
        <v>0</v>
      </c>
      <c r="AI35" s="3">
        <v>3</v>
      </c>
      <c r="AJ35" s="3">
        <v>8</v>
      </c>
      <c r="AK35">
        <v>85</v>
      </c>
      <c r="AL35">
        <v>1.5509999999999999E-2</v>
      </c>
      <c r="AM35">
        <v>0</v>
      </c>
      <c r="AN35">
        <v>0</v>
      </c>
      <c r="AO35">
        <v>85</v>
      </c>
      <c r="AP35">
        <v>0</v>
      </c>
      <c r="AQ35">
        <v>0</v>
      </c>
    </row>
    <row r="36" spans="1:43" x14ac:dyDescent="0.25">
      <c r="A36" s="3">
        <v>0</v>
      </c>
      <c r="B36" s="3">
        <v>3</v>
      </c>
      <c r="C36" s="3">
        <v>9</v>
      </c>
      <c r="D36">
        <v>0</v>
      </c>
      <c r="E36">
        <v>0</v>
      </c>
      <c r="F36">
        <v>0</v>
      </c>
      <c r="G36">
        <v>0</v>
      </c>
      <c r="H36">
        <v>0</v>
      </c>
      <c r="L36" s="3">
        <v>0</v>
      </c>
      <c r="M36" s="3">
        <v>3</v>
      </c>
      <c r="N36" s="3">
        <v>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 s="3">
        <v>0</v>
      </c>
      <c r="X36" s="3">
        <v>3</v>
      </c>
      <c r="Y36" s="3">
        <v>9</v>
      </c>
      <c r="Z36">
        <v>85</v>
      </c>
      <c r="AA36">
        <v>1.5509999999999999E-2</v>
      </c>
      <c r="AB36">
        <v>31.3</v>
      </c>
      <c r="AC36">
        <v>4.5</v>
      </c>
      <c r="AD36">
        <v>85</v>
      </c>
      <c r="AE36">
        <v>0</v>
      </c>
      <c r="AF36">
        <v>0</v>
      </c>
      <c r="AH36" s="3">
        <v>0</v>
      </c>
      <c r="AI36" s="3">
        <v>3</v>
      </c>
      <c r="AJ36" s="3">
        <v>9</v>
      </c>
      <c r="AK36">
        <v>85</v>
      </c>
      <c r="AL36">
        <v>1.5509999999999999E-2</v>
      </c>
      <c r="AM36">
        <v>31.3</v>
      </c>
      <c r="AN36">
        <v>4.5</v>
      </c>
      <c r="AO36">
        <v>85</v>
      </c>
      <c r="AP36">
        <v>0</v>
      </c>
      <c r="AQ36">
        <v>0</v>
      </c>
    </row>
    <row r="37" spans="1:43" x14ac:dyDescent="0.25">
      <c r="A37" s="3">
        <v>0</v>
      </c>
      <c r="B37" s="3">
        <v>3</v>
      </c>
      <c r="C37" s="3">
        <v>10</v>
      </c>
      <c r="D37">
        <v>0</v>
      </c>
      <c r="E37">
        <v>0</v>
      </c>
      <c r="F37">
        <v>0</v>
      </c>
      <c r="G37">
        <v>0</v>
      </c>
      <c r="H37">
        <v>0</v>
      </c>
      <c r="L37" s="3">
        <v>0</v>
      </c>
      <c r="M37" s="3">
        <v>3</v>
      </c>
      <c r="N37" s="3">
        <v>10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 s="3">
        <v>0</v>
      </c>
      <c r="X37" s="3">
        <v>3</v>
      </c>
      <c r="Y37" s="3">
        <v>10</v>
      </c>
      <c r="Z37">
        <v>85</v>
      </c>
      <c r="AA37">
        <v>1.5509999999999999E-2</v>
      </c>
      <c r="AB37">
        <v>35</v>
      </c>
      <c r="AC37">
        <v>5.0999999999999996</v>
      </c>
      <c r="AD37">
        <v>85</v>
      </c>
      <c r="AE37">
        <v>0</v>
      </c>
      <c r="AF37">
        <v>0</v>
      </c>
      <c r="AH37" s="3">
        <v>0</v>
      </c>
      <c r="AI37" s="3">
        <v>3</v>
      </c>
      <c r="AJ37" s="3">
        <v>10</v>
      </c>
      <c r="AK37">
        <v>85</v>
      </c>
      <c r="AL37">
        <v>1.5509999999999999E-2</v>
      </c>
      <c r="AM37">
        <v>35</v>
      </c>
      <c r="AN37">
        <v>5.0999999999999996</v>
      </c>
      <c r="AO37">
        <v>85</v>
      </c>
      <c r="AP37">
        <v>0</v>
      </c>
      <c r="AQ37">
        <v>0</v>
      </c>
    </row>
    <row r="38" spans="1:43" x14ac:dyDescent="0.25">
      <c r="A38" s="3">
        <v>0</v>
      </c>
      <c r="B38" s="3">
        <v>3</v>
      </c>
      <c r="C38" s="3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100</v>
      </c>
      <c r="J38">
        <v>0</v>
      </c>
      <c r="L38" s="3">
        <v>0</v>
      </c>
      <c r="M38" s="3">
        <v>3</v>
      </c>
      <c r="N38" s="3">
        <v>11</v>
      </c>
      <c r="O38">
        <v>0</v>
      </c>
      <c r="P38">
        <v>0</v>
      </c>
      <c r="Q38">
        <v>0</v>
      </c>
      <c r="R38">
        <v>0</v>
      </c>
      <c r="S38">
        <v>0</v>
      </c>
      <c r="T38">
        <v>0.1</v>
      </c>
      <c r="U38">
        <v>0</v>
      </c>
      <c r="W38" s="3">
        <v>0</v>
      </c>
      <c r="X38" s="3">
        <v>3</v>
      </c>
      <c r="Y38" s="3">
        <v>11</v>
      </c>
      <c r="Z38">
        <v>85</v>
      </c>
      <c r="AA38">
        <v>1.5509999999999999E-2</v>
      </c>
      <c r="AB38">
        <v>13368.3</v>
      </c>
      <c r="AC38">
        <v>5.0999999999999996</v>
      </c>
      <c r="AD38">
        <v>85</v>
      </c>
      <c r="AE38">
        <v>0</v>
      </c>
      <c r="AF38">
        <v>11993855</v>
      </c>
      <c r="AH38" s="3">
        <v>0</v>
      </c>
      <c r="AI38" s="3">
        <v>3</v>
      </c>
      <c r="AJ38" s="3">
        <v>11</v>
      </c>
      <c r="AK38">
        <v>85</v>
      </c>
      <c r="AL38">
        <v>1.5509999999999999E-2</v>
      </c>
      <c r="AM38">
        <v>13368.3</v>
      </c>
      <c r="AN38">
        <v>5.0999999999999996</v>
      </c>
      <c r="AO38">
        <v>85</v>
      </c>
      <c r="AP38">
        <v>-0.1</v>
      </c>
      <c r="AQ38">
        <v>11993855</v>
      </c>
    </row>
    <row r="39" spans="1:43" x14ac:dyDescent="0.25">
      <c r="A39" s="3">
        <v>0</v>
      </c>
      <c r="B39" s="3">
        <v>3</v>
      </c>
      <c r="C39" s="3">
        <v>12</v>
      </c>
      <c r="D39">
        <v>0</v>
      </c>
      <c r="E39">
        <v>0</v>
      </c>
      <c r="F39">
        <v>0</v>
      </c>
      <c r="G39">
        <v>0</v>
      </c>
      <c r="H39">
        <v>0</v>
      </c>
      <c r="L39" s="3">
        <v>0</v>
      </c>
      <c r="M39" s="3">
        <v>3</v>
      </c>
      <c r="N39" s="3">
        <v>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 s="3">
        <v>0</v>
      </c>
      <c r="X39" s="3">
        <v>3</v>
      </c>
      <c r="Y39" s="3">
        <v>12</v>
      </c>
      <c r="Z39">
        <v>85</v>
      </c>
      <c r="AA39">
        <v>1.5509999999999999E-2</v>
      </c>
      <c r="AB39">
        <v>35</v>
      </c>
      <c r="AC39">
        <v>5.0999999999999996</v>
      </c>
      <c r="AD39">
        <v>85</v>
      </c>
      <c r="AE39">
        <v>0</v>
      </c>
      <c r="AF39">
        <v>0</v>
      </c>
      <c r="AH39" s="3">
        <v>0</v>
      </c>
      <c r="AI39" s="3">
        <v>3</v>
      </c>
      <c r="AJ39" s="3">
        <v>12</v>
      </c>
      <c r="AK39">
        <v>85</v>
      </c>
      <c r="AL39">
        <v>1.5509999999999999E-2</v>
      </c>
      <c r="AM39">
        <v>35</v>
      </c>
      <c r="AN39">
        <v>5.0999999999999996</v>
      </c>
      <c r="AO39">
        <v>85</v>
      </c>
      <c r="AP39">
        <v>0</v>
      </c>
      <c r="AQ39">
        <v>0</v>
      </c>
    </row>
    <row r="40" spans="1:43" x14ac:dyDescent="0.25">
      <c r="A40" s="3">
        <v>0</v>
      </c>
      <c r="B40" s="3">
        <v>3</v>
      </c>
      <c r="C40" s="3">
        <v>13</v>
      </c>
      <c r="D40">
        <v>0</v>
      </c>
      <c r="E40">
        <v>0</v>
      </c>
      <c r="F40">
        <v>0</v>
      </c>
      <c r="G40">
        <v>0</v>
      </c>
      <c r="H40">
        <v>0</v>
      </c>
      <c r="L40" s="3">
        <v>0</v>
      </c>
      <c r="M40" s="3">
        <v>3</v>
      </c>
      <c r="N40" s="3">
        <v>13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 s="3">
        <v>0</v>
      </c>
      <c r="X40" s="3">
        <v>3</v>
      </c>
      <c r="Y40" s="3">
        <v>13</v>
      </c>
      <c r="Z40">
        <v>85</v>
      </c>
      <c r="AA40">
        <v>1.5509999999999999E-2</v>
      </c>
      <c r="AB40">
        <v>35</v>
      </c>
      <c r="AC40">
        <v>5.0999999999999996</v>
      </c>
      <c r="AD40">
        <v>85</v>
      </c>
      <c r="AE40">
        <v>0</v>
      </c>
      <c r="AF40">
        <v>0</v>
      </c>
      <c r="AH40" s="3">
        <v>0</v>
      </c>
      <c r="AI40" s="3">
        <v>3</v>
      </c>
      <c r="AJ40" s="3">
        <v>13</v>
      </c>
      <c r="AK40">
        <v>85</v>
      </c>
      <c r="AL40">
        <v>1.5509999999999999E-2</v>
      </c>
      <c r="AM40">
        <v>35</v>
      </c>
      <c r="AN40">
        <v>5.0999999999999996</v>
      </c>
      <c r="AO40">
        <v>85</v>
      </c>
      <c r="AP40">
        <v>0</v>
      </c>
      <c r="AQ40">
        <v>0</v>
      </c>
    </row>
    <row r="41" spans="1:43" x14ac:dyDescent="0.25">
      <c r="A41" s="3">
        <v>0</v>
      </c>
      <c r="B41" s="3">
        <v>3</v>
      </c>
      <c r="C41" s="3">
        <v>14</v>
      </c>
      <c r="D41">
        <v>0</v>
      </c>
      <c r="E41">
        <v>0</v>
      </c>
      <c r="F41">
        <v>0</v>
      </c>
      <c r="G41">
        <v>0</v>
      </c>
      <c r="H41">
        <v>0</v>
      </c>
      <c r="L41" s="3">
        <v>0</v>
      </c>
      <c r="M41" s="3">
        <v>3</v>
      </c>
      <c r="N41" s="3">
        <v>14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 s="3">
        <v>0</v>
      </c>
      <c r="X41" s="3">
        <v>3</v>
      </c>
      <c r="Y41" s="3">
        <v>14</v>
      </c>
      <c r="Z41">
        <v>85</v>
      </c>
      <c r="AA41">
        <v>1.5509999999999999E-2</v>
      </c>
      <c r="AB41">
        <v>34.5</v>
      </c>
      <c r="AC41">
        <v>5</v>
      </c>
      <c r="AD41">
        <v>85</v>
      </c>
      <c r="AE41">
        <v>0</v>
      </c>
      <c r="AF41">
        <v>0</v>
      </c>
      <c r="AH41" s="3">
        <v>0</v>
      </c>
      <c r="AI41" s="3">
        <v>3</v>
      </c>
      <c r="AJ41" s="3">
        <v>14</v>
      </c>
      <c r="AK41">
        <v>85</v>
      </c>
      <c r="AL41">
        <v>1.5509999999999999E-2</v>
      </c>
      <c r="AM41">
        <v>34.5</v>
      </c>
      <c r="AN41">
        <v>5</v>
      </c>
      <c r="AO41">
        <v>85</v>
      </c>
      <c r="AP41">
        <v>0</v>
      </c>
      <c r="AQ41">
        <v>0</v>
      </c>
    </row>
    <row r="42" spans="1:43" x14ac:dyDescent="0.25">
      <c r="A42" s="3">
        <v>0</v>
      </c>
      <c r="B42" s="3">
        <v>4</v>
      </c>
      <c r="C42" s="3">
        <v>1</v>
      </c>
      <c r="D42">
        <v>0</v>
      </c>
      <c r="E42">
        <v>0</v>
      </c>
      <c r="H42">
        <v>0</v>
      </c>
      <c r="L42" s="3">
        <v>0</v>
      </c>
      <c r="M42" s="3">
        <v>4</v>
      </c>
      <c r="N42" s="3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 s="3">
        <v>0</v>
      </c>
      <c r="X42" s="3">
        <v>4</v>
      </c>
      <c r="Y42" s="3">
        <v>1</v>
      </c>
      <c r="Z42">
        <v>85</v>
      </c>
      <c r="AA42">
        <v>1.5509999999999999E-2</v>
      </c>
      <c r="AB42">
        <v>0</v>
      </c>
      <c r="AC42">
        <v>0</v>
      </c>
      <c r="AD42">
        <v>85</v>
      </c>
      <c r="AE42">
        <v>0</v>
      </c>
      <c r="AF42">
        <v>0</v>
      </c>
      <c r="AH42" s="3">
        <v>0</v>
      </c>
      <c r="AI42" s="3">
        <v>4</v>
      </c>
      <c r="AJ42" s="3">
        <v>1</v>
      </c>
      <c r="AK42">
        <v>85</v>
      </c>
      <c r="AL42">
        <v>1.5509999999999999E-2</v>
      </c>
      <c r="AM42">
        <v>0</v>
      </c>
      <c r="AN42">
        <v>0</v>
      </c>
      <c r="AO42">
        <v>85</v>
      </c>
      <c r="AP42">
        <v>0</v>
      </c>
      <c r="AQ42">
        <v>0</v>
      </c>
    </row>
    <row r="43" spans="1:43" x14ac:dyDescent="0.25">
      <c r="A43" s="3">
        <v>0</v>
      </c>
      <c r="B43" s="3">
        <v>4</v>
      </c>
      <c r="C43" s="3">
        <v>2</v>
      </c>
      <c r="D43">
        <v>0</v>
      </c>
      <c r="E43">
        <v>0</v>
      </c>
      <c r="H43">
        <v>0</v>
      </c>
      <c r="L43" s="3">
        <v>0</v>
      </c>
      <c r="M43" s="3">
        <v>4</v>
      </c>
      <c r="N43" s="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 s="3">
        <v>0</v>
      </c>
      <c r="X43" s="3">
        <v>4</v>
      </c>
      <c r="Y43" s="3">
        <v>2</v>
      </c>
      <c r="Z43">
        <v>85</v>
      </c>
      <c r="AA43">
        <v>1.5509999999999999E-2</v>
      </c>
      <c r="AB43">
        <v>0</v>
      </c>
      <c r="AC43">
        <v>0</v>
      </c>
      <c r="AD43">
        <v>85</v>
      </c>
      <c r="AE43">
        <v>0</v>
      </c>
      <c r="AF43">
        <v>0</v>
      </c>
      <c r="AH43" s="3">
        <v>0</v>
      </c>
      <c r="AI43" s="3">
        <v>4</v>
      </c>
      <c r="AJ43" s="3">
        <v>2</v>
      </c>
      <c r="AK43">
        <v>85</v>
      </c>
      <c r="AL43">
        <v>1.5509999999999999E-2</v>
      </c>
      <c r="AM43">
        <v>0</v>
      </c>
      <c r="AN43">
        <v>0</v>
      </c>
      <c r="AO43">
        <v>85</v>
      </c>
      <c r="AP43">
        <v>0</v>
      </c>
      <c r="AQ43">
        <v>0</v>
      </c>
    </row>
    <row r="44" spans="1:43" x14ac:dyDescent="0.25">
      <c r="A44" s="3">
        <v>0</v>
      </c>
      <c r="B44" s="3">
        <v>5</v>
      </c>
      <c r="C44" s="3">
        <v>1</v>
      </c>
      <c r="D44">
        <v>0</v>
      </c>
      <c r="E44">
        <v>0</v>
      </c>
      <c r="L44" s="3">
        <v>0</v>
      </c>
      <c r="M44" s="3">
        <v>5</v>
      </c>
      <c r="N44" s="3">
        <v>1</v>
      </c>
      <c r="O44">
        <v>0</v>
      </c>
      <c r="P44">
        <v>0</v>
      </c>
      <c r="W44" s="3">
        <v>0</v>
      </c>
      <c r="X44" s="3">
        <v>5</v>
      </c>
      <c r="Y44" s="3">
        <v>1</v>
      </c>
      <c r="Z44">
        <v>85</v>
      </c>
      <c r="AA44">
        <v>1.5509999999999999E-2</v>
      </c>
      <c r="AH44" s="3">
        <v>0</v>
      </c>
      <c r="AI44" s="3">
        <v>5</v>
      </c>
      <c r="AJ44" s="3">
        <v>1</v>
      </c>
      <c r="AK44">
        <v>85</v>
      </c>
      <c r="AL44">
        <v>1.5509999999999999E-2</v>
      </c>
    </row>
    <row r="45" spans="1:43" x14ac:dyDescent="0.25">
      <c r="A45" s="3">
        <v>0</v>
      </c>
      <c r="B45" s="3">
        <v>5</v>
      </c>
      <c r="C45" s="3">
        <v>2</v>
      </c>
      <c r="D45">
        <v>0</v>
      </c>
      <c r="E45">
        <v>0</v>
      </c>
      <c r="L45" s="3">
        <v>0</v>
      </c>
      <c r="M45" s="3">
        <v>5</v>
      </c>
      <c r="N45" s="3">
        <v>2</v>
      </c>
      <c r="O45">
        <v>0</v>
      </c>
      <c r="P45">
        <v>0</v>
      </c>
      <c r="W45" s="3">
        <v>0</v>
      </c>
      <c r="X45" s="3">
        <v>5</v>
      </c>
      <c r="Y45" s="3">
        <v>2</v>
      </c>
      <c r="Z45">
        <v>85</v>
      </c>
      <c r="AA45">
        <v>1.5509999999999999E-2</v>
      </c>
      <c r="AH45" s="3">
        <v>0</v>
      </c>
      <c r="AI45" s="3">
        <v>5</v>
      </c>
      <c r="AJ45" s="3">
        <v>2</v>
      </c>
      <c r="AK45">
        <v>85</v>
      </c>
      <c r="AL45">
        <v>1.5509999999999999E-2</v>
      </c>
    </row>
    <row r="46" spans="1:43" x14ac:dyDescent="0.25">
      <c r="A46" s="3">
        <v>10</v>
      </c>
      <c r="B46" s="3">
        <v>1</v>
      </c>
      <c r="C46" s="3">
        <v>1</v>
      </c>
      <c r="D46">
        <v>0</v>
      </c>
      <c r="E46">
        <v>6.451612903225544E-2</v>
      </c>
      <c r="L46" s="3">
        <v>10</v>
      </c>
      <c r="M46" s="3">
        <v>1</v>
      </c>
      <c r="N46" s="3">
        <v>1</v>
      </c>
      <c r="O46">
        <v>0</v>
      </c>
      <c r="P46">
        <v>9.9999999999995925E-6</v>
      </c>
      <c r="W46" s="3">
        <v>10</v>
      </c>
      <c r="X46" s="3">
        <v>1</v>
      </c>
      <c r="Y46" s="3">
        <v>1</v>
      </c>
      <c r="Z46">
        <v>85</v>
      </c>
      <c r="AA46">
        <v>1.5509999999999999E-2</v>
      </c>
      <c r="AB46">
        <v>0.3</v>
      </c>
      <c r="AC46">
        <v>0</v>
      </c>
      <c r="AH46" s="3">
        <v>10</v>
      </c>
      <c r="AI46" s="3">
        <v>1</v>
      </c>
      <c r="AJ46" s="3">
        <v>1</v>
      </c>
      <c r="AK46">
        <v>85</v>
      </c>
      <c r="AL46">
        <v>1.55E-2</v>
      </c>
    </row>
    <row r="47" spans="1:43" x14ac:dyDescent="0.25">
      <c r="A47" s="3">
        <v>10</v>
      </c>
      <c r="B47" s="3">
        <v>1</v>
      </c>
      <c r="C47" s="3">
        <v>2</v>
      </c>
      <c r="L47" s="3">
        <v>10</v>
      </c>
      <c r="M47" s="3">
        <v>1</v>
      </c>
      <c r="N47" s="3">
        <v>2</v>
      </c>
      <c r="W47" s="3">
        <v>10</v>
      </c>
      <c r="X47" s="3">
        <v>1</v>
      </c>
      <c r="Y47" s="3">
        <v>2</v>
      </c>
      <c r="Z47">
        <v>85</v>
      </c>
      <c r="AA47">
        <v>1.5509999999999999E-2</v>
      </c>
      <c r="AB47">
        <v>0.3</v>
      </c>
      <c r="AC47">
        <v>0</v>
      </c>
      <c r="AH47" s="3">
        <v>10</v>
      </c>
      <c r="AI47" s="3">
        <v>2</v>
      </c>
      <c r="AJ47" s="3">
        <v>1</v>
      </c>
      <c r="AK47">
        <v>85</v>
      </c>
      <c r="AL47">
        <v>1.55E-2</v>
      </c>
      <c r="AO47">
        <v>85</v>
      </c>
      <c r="AP47">
        <v>0</v>
      </c>
      <c r="AQ47">
        <v>0</v>
      </c>
    </row>
    <row r="48" spans="1:43" x14ac:dyDescent="0.25">
      <c r="A48" s="3">
        <v>10</v>
      </c>
      <c r="B48" s="3">
        <v>1</v>
      </c>
      <c r="C48" s="3">
        <v>3</v>
      </c>
      <c r="L48" s="3">
        <v>10</v>
      </c>
      <c r="M48" s="3">
        <v>1</v>
      </c>
      <c r="N48" s="3">
        <v>3</v>
      </c>
      <c r="W48" s="3">
        <v>10</v>
      </c>
      <c r="X48" s="3">
        <v>1</v>
      </c>
      <c r="Y48" s="3">
        <v>3</v>
      </c>
      <c r="Z48">
        <v>85</v>
      </c>
      <c r="AA48">
        <v>1.5509999999999999E-2</v>
      </c>
      <c r="AB48">
        <v>0.3</v>
      </c>
      <c r="AC48">
        <v>0</v>
      </c>
      <c r="AH48" s="3">
        <v>10</v>
      </c>
      <c r="AI48" s="3">
        <v>2</v>
      </c>
      <c r="AJ48" s="3">
        <v>2</v>
      </c>
      <c r="AO48">
        <v>85</v>
      </c>
      <c r="AP48">
        <v>0</v>
      </c>
      <c r="AQ48">
        <v>0</v>
      </c>
    </row>
    <row r="49" spans="1:43" x14ac:dyDescent="0.25">
      <c r="A49" s="3">
        <v>10</v>
      </c>
      <c r="B49" s="3">
        <v>1</v>
      </c>
      <c r="C49" s="3">
        <v>4</v>
      </c>
      <c r="L49" s="3">
        <v>10</v>
      </c>
      <c r="M49" s="3">
        <v>1</v>
      </c>
      <c r="N49" s="3">
        <v>4</v>
      </c>
      <c r="W49" s="3">
        <v>10</v>
      </c>
      <c r="X49" s="3">
        <v>1</v>
      </c>
      <c r="Y49" s="3">
        <v>4</v>
      </c>
      <c r="Z49">
        <v>85</v>
      </c>
      <c r="AA49">
        <v>1.5509999999999999E-2</v>
      </c>
      <c r="AB49">
        <v>0.3</v>
      </c>
      <c r="AC49">
        <v>0</v>
      </c>
      <c r="AH49" s="3">
        <v>10</v>
      </c>
      <c r="AI49" s="3">
        <v>3</v>
      </c>
      <c r="AJ49" s="3">
        <v>1</v>
      </c>
      <c r="AK49">
        <v>85</v>
      </c>
      <c r="AL49">
        <v>1.55E-2</v>
      </c>
      <c r="AO49">
        <v>85</v>
      </c>
      <c r="AP49">
        <v>0</v>
      </c>
      <c r="AQ49">
        <v>0</v>
      </c>
    </row>
    <row r="50" spans="1:43" x14ac:dyDescent="0.25">
      <c r="A50" s="3">
        <v>10</v>
      </c>
      <c r="B50" s="3">
        <v>1</v>
      </c>
      <c r="C50" s="3">
        <v>5</v>
      </c>
      <c r="L50" s="3">
        <v>10</v>
      </c>
      <c r="M50" s="3">
        <v>1</v>
      </c>
      <c r="N50" s="3">
        <v>5</v>
      </c>
      <c r="W50" s="3">
        <v>10</v>
      </c>
      <c r="X50" s="3">
        <v>1</v>
      </c>
      <c r="Y50" s="3">
        <v>5</v>
      </c>
      <c r="Z50">
        <v>85</v>
      </c>
      <c r="AA50">
        <v>1.5509999999999999E-2</v>
      </c>
      <c r="AB50">
        <v>0.3</v>
      </c>
      <c r="AC50">
        <v>0</v>
      </c>
      <c r="AH50" s="3">
        <v>10</v>
      </c>
      <c r="AI50" s="3">
        <v>3</v>
      </c>
      <c r="AJ50" s="3">
        <v>2</v>
      </c>
      <c r="AO50">
        <v>85</v>
      </c>
      <c r="AP50">
        <v>0</v>
      </c>
      <c r="AQ50">
        <v>0</v>
      </c>
    </row>
    <row r="51" spans="1:43" x14ac:dyDescent="0.25">
      <c r="A51" s="3">
        <v>10</v>
      </c>
      <c r="B51" s="3">
        <v>1</v>
      </c>
      <c r="C51" s="3">
        <v>6</v>
      </c>
      <c r="L51" s="3">
        <v>10</v>
      </c>
      <c r="M51" s="3">
        <v>1</v>
      </c>
      <c r="N51" s="3">
        <v>6</v>
      </c>
      <c r="W51" s="3">
        <v>10</v>
      </c>
      <c r="X51" s="3">
        <v>1</v>
      </c>
      <c r="Y51" s="3">
        <v>6</v>
      </c>
      <c r="Z51">
        <v>85</v>
      </c>
      <c r="AA51">
        <v>1.5509999999999999E-2</v>
      </c>
      <c r="AB51">
        <v>0.3</v>
      </c>
      <c r="AC51">
        <v>0</v>
      </c>
      <c r="AH51" s="3">
        <v>10</v>
      </c>
      <c r="AI51" s="3">
        <v>3</v>
      </c>
      <c r="AJ51" s="3">
        <v>3</v>
      </c>
      <c r="AO51">
        <v>85</v>
      </c>
      <c r="AP51">
        <v>0</v>
      </c>
      <c r="AQ51">
        <v>0</v>
      </c>
    </row>
    <row r="52" spans="1:43" x14ac:dyDescent="0.25">
      <c r="A52" s="3">
        <v>10</v>
      </c>
      <c r="B52" s="3">
        <v>1</v>
      </c>
      <c r="C52" s="3">
        <v>7</v>
      </c>
      <c r="L52" s="3">
        <v>10</v>
      </c>
      <c r="M52" s="3">
        <v>1</v>
      </c>
      <c r="N52" s="3">
        <v>7</v>
      </c>
      <c r="W52" s="3">
        <v>10</v>
      </c>
      <c r="X52" s="3">
        <v>1</v>
      </c>
      <c r="Y52" s="3">
        <v>7</v>
      </c>
      <c r="Z52">
        <v>85</v>
      </c>
      <c r="AA52">
        <v>1.5509999999999999E-2</v>
      </c>
      <c r="AB52">
        <v>0.3</v>
      </c>
      <c r="AC52">
        <v>0</v>
      </c>
      <c r="AH52" s="3">
        <v>10</v>
      </c>
      <c r="AI52" s="3">
        <v>3</v>
      </c>
      <c r="AJ52" s="3">
        <v>4</v>
      </c>
      <c r="AO52">
        <v>85</v>
      </c>
      <c r="AP52">
        <v>0</v>
      </c>
      <c r="AQ52">
        <v>0</v>
      </c>
    </row>
    <row r="53" spans="1:43" x14ac:dyDescent="0.25">
      <c r="A53" s="3">
        <v>10</v>
      </c>
      <c r="B53" s="3">
        <v>1</v>
      </c>
      <c r="C53" s="3">
        <v>8</v>
      </c>
      <c r="L53" s="3">
        <v>10</v>
      </c>
      <c r="M53" s="3">
        <v>1</v>
      </c>
      <c r="N53" s="3">
        <v>8</v>
      </c>
      <c r="W53" s="3">
        <v>10</v>
      </c>
      <c r="X53" s="3">
        <v>1</v>
      </c>
      <c r="Y53" s="3">
        <v>8</v>
      </c>
      <c r="Z53">
        <v>85</v>
      </c>
      <c r="AA53">
        <v>1.5509999999999999E-2</v>
      </c>
      <c r="AB53">
        <v>0.3</v>
      </c>
      <c r="AC53">
        <v>0</v>
      </c>
      <c r="AH53" s="3">
        <v>10</v>
      </c>
      <c r="AI53" s="3">
        <v>3</v>
      </c>
      <c r="AJ53" s="3">
        <v>5</v>
      </c>
      <c r="AO53">
        <v>85</v>
      </c>
      <c r="AP53">
        <v>0</v>
      </c>
      <c r="AQ53">
        <v>0</v>
      </c>
    </row>
    <row r="54" spans="1:43" x14ac:dyDescent="0.25">
      <c r="A54" s="3">
        <v>10</v>
      </c>
      <c r="B54" s="3">
        <v>1</v>
      </c>
      <c r="C54" s="3">
        <v>9</v>
      </c>
      <c r="L54" s="3">
        <v>10</v>
      </c>
      <c r="M54" s="3">
        <v>1</v>
      </c>
      <c r="N54" s="3">
        <v>9</v>
      </c>
      <c r="W54" s="3">
        <v>10</v>
      </c>
      <c r="X54" s="3">
        <v>1</v>
      </c>
      <c r="Y54" s="3">
        <v>9</v>
      </c>
      <c r="Z54">
        <v>85</v>
      </c>
      <c r="AA54">
        <v>1.5509999999999999E-2</v>
      </c>
      <c r="AB54">
        <v>0.3</v>
      </c>
      <c r="AC54">
        <v>0</v>
      </c>
      <c r="AH54" s="3">
        <v>10</v>
      </c>
      <c r="AI54" s="3">
        <v>3</v>
      </c>
      <c r="AJ54" s="3">
        <v>6</v>
      </c>
      <c r="AO54">
        <v>85</v>
      </c>
      <c r="AP54">
        <v>1022.6</v>
      </c>
      <c r="AQ54">
        <v>108.5</v>
      </c>
    </row>
    <row r="55" spans="1:43" x14ac:dyDescent="0.25">
      <c r="A55" s="3">
        <v>10</v>
      </c>
      <c r="B55" s="3">
        <v>1</v>
      </c>
      <c r="C55" s="3">
        <v>10</v>
      </c>
      <c r="L55" s="3">
        <v>10</v>
      </c>
      <c r="M55" s="3">
        <v>1</v>
      </c>
      <c r="N55" s="3">
        <v>10</v>
      </c>
      <c r="W55" s="3">
        <v>10</v>
      </c>
      <c r="X55" s="3">
        <v>1</v>
      </c>
      <c r="Y55" s="3">
        <v>10</v>
      </c>
      <c r="Z55">
        <v>85</v>
      </c>
      <c r="AA55">
        <v>1.5509999999999999E-2</v>
      </c>
      <c r="AB55">
        <v>0.3</v>
      </c>
      <c r="AC55">
        <v>0</v>
      </c>
      <c r="AH55" s="3">
        <v>10</v>
      </c>
      <c r="AI55" s="3">
        <v>3</v>
      </c>
      <c r="AJ55" s="3">
        <v>7</v>
      </c>
      <c r="AO55">
        <v>85</v>
      </c>
      <c r="AP55">
        <v>12069.7</v>
      </c>
      <c r="AQ55">
        <v>1284.3</v>
      </c>
    </row>
    <row r="56" spans="1:43" x14ac:dyDescent="0.25">
      <c r="A56" s="3">
        <v>10</v>
      </c>
      <c r="B56" s="3">
        <v>2</v>
      </c>
      <c r="C56" s="3">
        <v>1</v>
      </c>
      <c r="D56">
        <v>0</v>
      </c>
      <c r="E56">
        <v>6.451612903225544E-2</v>
      </c>
      <c r="H56">
        <v>0</v>
      </c>
      <c r="L56" s="3">
        <v>10</v>
      </c>
      <c r="M56" s="3">
        <v>2</v>
      </c>
      <c r="N56" s="3">
        <v>1</v>
      </c>
      <c r="O56">
        <v>0</v>
      </c>
      <c r="P56">
        <v>9.9999999999995925E-6</v>
      </c>
      <c r="S56">
        <v>0</v>
      </c>
      <c r="T56">
        <v>0</v>
      </c>
      <c r="U56">
        <v>0</v>
      </c>
      <c r="W56" s="3">
        <v>10</v>
      </c>
      <c r="X56" s="3">
        <v>2</v>
      </c>
      <c r="Y56" s="3">
        <v>1</v>
      </c>
      <c r="Z56">
        <v>85</v>
      </c>
      <c r="AA56">
        <v>1.5509999999999999E-2</v>
      </c>
      <c r="AB56">
        <v>0.2</v>
      </c>
      <c r="AC56">
        <v>0</v>
      </c>
      <c r="AD56">
        <v>85</v>
      </c>
      <c r="AE56">
        <v>0</v>
      </c>
      <c r="AF56">
        <v>0</v>
      </c>
      <c r="AH56" s="3">
        <v>10</v>
      </c>
      <c r="AI56" s="3">
        <v>3</v>
      </c>
      <c r="AJ56" s="3">
        <v>8</v>
      </c>
      <c r="AO56">
        <v>85.2</v>
      </c>
      <c r="AP56">
        <v>112605.3</v>
      </c>
      <c r="AQ56">
        <v>12317</v>
      </c>
    </row>
    <row r="57" spans="1:43" x14ac:dyDescent="0.25">
      <c r="A57" s="3">
        <v>10</v>
      </c>
      <c r="B57" s="3">
        <v>2</v>
      </c>
      <c r="C57" s="3">
        <v>2</v>
      </c>
      <c r="H57">
        <v>0</v>
      </c>
      <c r="L57" s="3">
        <v>10</v>
      </c>
      <c r="M57" s="3">
        <v>2</v>
      </c>
      <c r="N57" s="3">
        <v>2</v>
      </c>
      <c r="S57">
        <v>0</v>
      </c>
      <c r="T57">
        <v>0</v>
      </c>
      <c r="U57">
        <v>0</v>
      </c>
      <c r="W57" s="3">
        <v>10</v>
      </c>
      <c r="X57" s="3">
        <v>2</v>
      </c>
      <c r="Y57" s="3">
        <v>2</v>
      </c>
      <c r="Z57">
        <v>85</v>
      </c>
      <c r="AA57">
        <v>1.5509999999999999E-2</v>
      </c>
      <c r="AB57">
        <v>0.2</v>
      </c>
      <c r="AC57">
        <v>0</v>
      </c>
      <c r="AD57">
        <v>85</v>
      </c>
      <c r="AE57">
        <v>0</v>
      </c>
      <c r="AF57">
        <v>0</v>
      </c>
      <c r="AH57" s="3">
        <v>10</v>
      </c>
      <c r="AI57" s="3">
        <v>3</v>
      </c>
      <c r="AJ57" s="3">
        <v>9</v>
      </c>
      <c r="AO57">
        <v>87.7</v>
      </c>
      <c r="AP57">
        <v>1627993.5</v>
      </c>
      <c r="AQ57">
        <v>103102.6</v>
      </c>
    </row>
    <row r="58" spans="1:43" x14ac:dyDescent="0.25">
      <c r="A58" s="3">
        <v>10</v>
      </c>
      <c r="B58" s="3">
        <v>3</v>
      </c>
      <c r="C58" s="3">
        <v>1</v>
      </c>
      <c r="D58">
        <v>0</v>
      </c>
      <c r="E58">
        <v>6.451612903225544E-2</v>
      </c>
      <c r="H58">
        <v>0</v>
      </c>
      <c r="L58" s="3">
        <v>10</v>
      </c>
      <c r="M58" s="3">
        <v>3</v>
      </c>
      <c r="N58" s="3">
        <v>1</v>
      </c>
      <c r="O58">
        <v>0</v>
      </c>
      <c r="P58">
        <v>9.9999999999995925E-6</v>
      </c>
      <c r="S58">
        <v>0</v>
      </c>
      <c r="T58">
        <v>0</v>
      </c>
      <c r="U58">
        <v>0</v>
      </c>
      <c r="W58" s="3">
        <v>10</v>
      </c>
      <c r="X58" s="3">
        <v>3</v>
      </c>
      <c r="Y58" s="3">
        <v>1</v>
      </c>
      <c r="Z58">
        <v>85</v>
      </c>
      <c r="AA58">
        <v>1.5509999999999999E-2</v>
      </c>
      <c r="AB58">
        <v>0</v>
      </c>
      <c r="AC58">
        <v>0</v>
      </c>
      <c r="AD58">
        <v>85</v>
      </c>
      <c r="AE58">
        <v>0</v>
      </c>
      <c r="AF58">
        <v>0</v>
      </c>
      <c r="AH58" s="3">
        <v>10</v>
      </c>
      <c r="AI58" s="3">
        <v>3</v>
      </c>
      <c r="AJ58" s="3">
        <v>10</v>
      </c>
      <c r="AO58">
        <v>94.4</v>
      </c>
      <c r="AP58">
        <v>4748086</v>
      </c>
      <c r="AQ58">
        <v>413813.9</v>
      </c>
    </row>
    <row r="59" spans="1:43" x14ac:dyDescent="0.25">
      <c r="A59" s="3">
        <v>10</v>
      </c>
      <c r="B59" s="3">
        <v>3</v>
      </c>
      <c r="C59" s="3">
        <v>2</v>
      </c>
      <c r="H59">
        <v>0</v>
      </c>
      <c r="L59" s="3">
        <v>10</v>
      </c>
      <c r="M59" s="3">
        <v>3</v>
      </c>
      <c r="N59" s="3">
        <v>2</v>
      </c>
      <c r="S59">
        <v>0</v>
      </c>
      <c r="T59">
        <v>0</v>
      </c>
      <c r="U59">
        <v>0</v>
      </c>
      <c r="W59" s="3">
        <v>10</v>
      </c>
      <c r="X59" s="3">
        <v>3</v>
      </c>
      <c r="Y59" s="3">
        <v>2</v>
      </c>
      <c r="Z59">
        <v>85</v>
      </c>
      <c r="AA59">
        <v>1.5509999999999999E-2</v>
      </c>
      <c r="AB59">
        <v>0</v>
      </c>
      <c r="AC59">
        <v>0</v>
      </c>
      <c r="AD59">
        <v>85</v>
      </c>
      <c r="AE59">
        <v>0</v>
      </c>
      <c r="AF59">
        <v>0</v>
      </c>
      <c r="AH59" s="3">
        <v>10</v>
      </c>
      <c r="AI59" s="3">
        <v>3</v>
      </c>
      <c r="AJ59" s="3">
        <v>11</v>
      </c>
      <c r="AO59">
        <v>155.30000000000001</v>
      </c>
      <c r="AP59">
        <v>6303781</v>
      </c>
      <c r="AQ59">
        <v>12773211</v>
      </c>
    </row>
    <row r="60" spans="1:43" x14ac:dyDescent="0.25">
      <c r="A60" s="3">
        <v>10</v>
      </c>
      <c r="B60" s="3">
        <v>3</v>
      </c>
      <c r="C60" s="3">
        <v>3</v>
      </c>
      <c r="H60">
        <v>0</v>
      </c>
      <c r="L60" s="3">
        <v>10</v>
      </c>
      <c r="M60" s="3">
        <v>3</v>
      </c>
      <c r="N60" s="3">
        <v>3</v>
      </c>
      <c r="S60">
        <v>0</v>
      </c>
      <c r="T60">
        <v>0</v>
      </c>
      <c r="U60">
        <v>0</v>
      </c>
      <c r="W60" s="3">
        <v>10</v>
      </c>
      <c r="X60" s="3">
        <v>3</v>
      </c>
      <c r="Y60" s="3">
        <v>3</v>
      </c>
      <c r="Z60">
        <v>85</v>
      </c>
      <c r="AA60">
        <v>1.5509999999999999E-2</v>
      </c>
      <c r="AB60">
        <v>0</v>
      </c>
      <c r="AC60">
        <v>0</v>
      </c>
      <c r="AD60">
        <v>85</v>
      </c>
      <c r="AE60">
        <v>0</v>
      </c>
      <c r="AF60">
        <v>0</v>
      </c>
      <c r="AH60" s="3">
        <v>10</v>
      </c>
      <c r="AI60" s="3">
        <v>3</v>
      </c>
      <c r="AJ60" s="3">
        <v>12</v>
      </c>
      <c r="AO60">
        <v>85.3</v>
      </c>
      <c r="AP60">
        <v>129424.8</v>
      </c>
      <c r="AQ60">
        <v>6228.1</v>
      </c>
    </row>
    <row r="61" spans="1:43" x14ac:dyDescent="0.25">
      <c r="A61" s="3">
        <v>10</v>
      </c>
      <c r="B61" s="3">
        <v>3</v>
      </c>
      <c r="C61" s="3">
        <v>4</v>
      </c>
      <c r="H61">
        <v>0</v>
      </c>
      <c r="L61" s="3">
        <v>10</v>
      </c>
      <c r="M61" s="3">
        <v>3</v>
      </c>
      <c r="N61" s="3">
        <v>4</v>
      </c>
      <c r="S61">
        <v>0</v>
      </c>
      <c r="T61">
        <v>0</v>
      </c>
      <c r="U61">
        <v>0</v>
      </c>
      <c r="W61" s="3">
        <v>10</v>
      </c>
      <c r="X61" s="3">
        <v>3</v>
      </c>
      <c r="Y61" s="3">
        <v>4</v>
      </c>
      <c r="Z61">
        <v>85</v>
      </c>
      <c r="AA61">
        <v>1.5509999999999999E-2</v>
      </c>
      <c r="AB61">
        <v>0</v>
      </c>
      <c r="AC61">
        <v>0</v>
      </c>
      <c r="AD61">
        <v>85</v>
      </c>
      <c r="AE61">
        <v>0</v>
      </c>
      <c r="AF61">
        <v>0</v>
      </c>
      <c r="AH61" s="3">
        <v>10</v>
      </c>
      <c r="AI61" s="3">
        <v>3</v>
      </c>
      <c r="AJ61" s="3">
        <v>13</v>
      </c>
      <c r="AO61">
        <v>85.3</v>
      </c>
      <c r="AP61">
        <v>113942.3</v>
      </c>
      <c r="AQ61">
        <v>5472.5</v>
      </c>
    </row>
    <row r="62" spans="1:43" x14ac:dyDescent="0.25">
      <c r="A62" s="3">
        <v>10</v>
      </c>
      <c r="B62" s="3">
        <v>3</v>
      </c>
      <c r="C62" s="3">
        <v>5</v>
      </c>
      <c r="H62">
        <v>0</v>
      </c>
      <c r="L62" s="3">
        <v>10</v>
      </c>
      <c r="M62" s="3">
        <v>3</v>
      </c>
      <c r="N62" s="3">
        <v>5</v>
      </c>
      <c r="S62">
        <v>0</v>
      </c>
      <c r="T62">
        <v>0</v>
      </c>
      <c r="U62">
        <v>0</v>
      </c>
      <c r="W62" s="3">
        <v>10</v>
      </c>
      <c r="X62" s="3">
        <v>3</v>
      </c>
      <c r="Y62" s="3">
        <v>5</v>
      </c>
      <c r="Z62">
        <v>85.04</v>
      </c>
      <c r="AA62">
        <v>1.5509999999999999E-2</v>
      </c>
      <c r="AB62">
        <v>0</v>
      </c>
      <c r="AC62">
        <v>0</v>
      </c>
      <c r="AD62">
        <v>85</v>
      </c>
      <c r="AE62">
        <v>0</v>
      </c>
      <c r="AF62">
        <v>0</v>
      </c>
      <c r="AH62" s="3">
        <v>10</v>
      </c>
      <c r="AI62" s="3">
        <v>3</v>
      </c>
      <c r="AJ62" s="3">
        <v>14</v>
      </c>
      <c r="AO62">
        <v>85.2</v>
      </c>
      <c r="AP62">
        <v>71546.7</v>
      </c>
      <c r="AQ62">
        <v>3444.9</v>
      </c>
    </row>
    <row r="63" spans="1:43" x14ac:dyDescent="0.25">
      <c r="A63" s="3">
        <v>10</v>
      </c>
      <c r="B63" s="3">
        <v>3</v>
      </c>
      <c r="C63" s="3">
        <v>6</v>
      </c>
      <c r="H63">
        <v>0</v>
      </c>
      <c r="I63">
        <v>0</v>
      </c>
      <c r="J63">
        <v>0</v>
      </c>
      <c r="L63" s="3">
        <v>10</v>
      </c>
      <c r="M63" s="3">
        <v>3</v>
      </c>
      <c r="N63" s="3">
        <v>6</v>
      </c>
      <c r="S63">
        <v>0</v>
      </c>
      <c r="T63">
        <v>0</v>
      </c>
      <c r="U63">
        <v>0</v>
      </c>
      <c r="W63" s="3">
        <v>10</v>
      </c>
      <c r="X63" s="3">
        <v>3</v>
      </c>
      <c r="Y63" s="3">
        <v>6</v>
      </c>
      <c r="Z63">
        <v>85.44</v>
      </c>
      <c r="AA63">
        <v>1.5509999999999999E-2</v>
      </c>
      <c r="AB63">
        <v>0</v>
      </c>
      <c r="AC63">
        <v>0</v>
      </c>
      <c r="AD63">
        <v>85</v>
      </c>
      <c r="AE63">
        <v>1022.6</v>
      </c>
      <c r="AF63">
        <v>108.5</v>
      </c>
      <c r="AH63" s="3">
        <v>10</v>
      </c>
      <c r="AI63" s="3">
        <v>4</v>
      </c>
      <c r="AJ63" s="3">
        <v>1</v>
      </c>
      <c r="AK63">
        <v>85</v>
      </c>
      <c r="AL63">
        <v>1.55E-2</v>
      </c>
      <c r="AO63">
        <v>85</v>
      </c>
      <c r="AP63">
        <v>0</v>
      </c>
      <c r="AQ63">
        <v>0</v>
      </c>
    </row>
    <row r="64" spans="1:43" x14ac:dyDescent="0.25">
      <c r="A64" s="3">
        <v>10</v>
      </c>
      <c r="B64" s="3">
        <v>3</v>
      </c>
      <c r="C64" s="3">
        <v>7</v>
      </c>
      <c r="H64">
        <v>0</v>
      </c>
      <c r="I64">
        <v>8.2852100715315039E-4</v>
      </c>
      <c r="J64">
        <v>7.7863427548186901E-3</v>
      </c>
      <c r="L64" s="3">
        <v>10</v>
      </c>
      <c r="M64" s="3">
        <v>3</v>
      </c>
      <c r="N64" s="3">
        <v>7</v>
      </c>
      <c r="S64">
        <v>0</v>
      </c>
      <c r="T64">
        <v>-0.1000000000003638</v>
      </c>
      <c r="U64">
        <v>0.1000000000001364</v>
      </c>
      <c r="W64" s="3">
        <v>10</v>
      </c>
      <c r="X64" s="3">
        <v>3</v>
      </c>
      <c r="Y64" s="3">
        <v>7</v>
      </c>
      <c r="Z64">
        <v>88.8</v>
      </c>
      <c r="AA64">
        <v>1.5520000000000001E-2</v>
      </c>
      <c r="AB64">
        <v>0</v>
      </c>
      <c r="AC64">
        <v>0</v>
      </c>
      <c r="AD64">
        <v>85</v>
      </c>
      <c r="AE64">
        <v>12069.6</v>
      </c>
      <c r="AF64">
        <v>1284.4000000000001</v>
      </c>
      <c r="AH64" s="3">
        <v>10</v>
      </c>
      <c r="AI64" s="3">
        <v>4</v>
      </c>
      <c r="AJ64" s="3">
        <v>2</v>
      </c>
      <c r="AO64">
        <v>85</v>
      </c>
      <c r="AP64">
        <v>0</v>
      </c>
      <c r="AQ64">
        <v>0</v>
      </c>
    </row>
    <row r="65" spans="1:43" x14ac:dyDescent="0.25">
      <c r="A65" s="3">
        <v>10</v>
      </c>
      <c r="B65" s="3">
        <v>3</v>
      </c>
      <c r="C65" s="3">
        <v>8</v>
      </c>
      <c r="H65">
        <v>0</v>
      </c>
      <c r="I65">
        <v>0</v>
      </c>
      <c r="J65">
        <v>0</v>
      </c>
      <c r="L65" s="3">
        <v>10</v>
      </c>
      <c r="M65" s="3">
        <v>3</v>
      </c>
      <c r="N65" s="3">
        <v>8</v>
      </c>
      <c r="S65">
        <v>0</v>
      </c>
      <c r="T65">
        <v>0</v>
      </c>
      <c r="U65">
        <v>0</v>
      </c>
      <c r="W65" s="3">
        <v>10</v>
      </c>
      <c r="X65" s="3">
        <v>3</v>
      </c>
      <c r="Y65" s="3">
        <v>8</v>
      </c>
      <c r="Z65">
        <v>110.85</v>
      </c>
      <c r="AA65">
        <v>1.554E-2</v>
      </c>
      <c r="AB65">
        <v>0</v>
      </c>
      <c r="AC65">
        <v>0</v>
      </c>
      <c r="AD65">
        <v>85.2</v>
      </c>
      <c r="AE65">
        <v>112605.3</v>
      </c>
      <c r="AF65">
        <v>12317</v>
      </c>
      <c r="AH65" s="3">
        <v>10</v>
      </c>
      <c r="AI65" s="3">
        <v>5</v>
      </c>
      <c r="AJ65" s="3">
        <v>1</v>
      </c>
      <c r="AK65">
        <v>85</v>
      </c>
      <c r="AL65">
        <v>1.55E-2</v>
      </c>
    </row>
    <row r="66" spans="1:43" x14ac:dyDescent="0.25">
      <c r="A66" s="3">
        <v>10</v>
      </c>
      <c r="B66" s="3">
        <v>3</v>
      </c>
      <c r="C66" s="3">
        <v>9</v>
      </c>
      <c r="H66">
        <v>0</v>
      </c>
      <c r="I66">
        <v>1.8427592004916861E-5</v>
      </c>
      <c r="J66">
        <v>9.699076454504616E-5</v>
      </c>
      <c r="L66" s="3">
        <v>10</v>
      </c>
      <c r="M66" s="3">
        <v>3</v>
      </c>
      <c r="N66" s="3">
        <v>9</v>
      </c>
      <c r="S66">
        <v>0</v>
      </c>
      <c r="T66">
        <v>-0.30000000004656607</v>
      </c>
      <c r="U66">
        <v>-0.10000000000582079</v>
      </c>
      <c r="W66" s="3">
        <v>10</v>
      </c>
      <c r="X66" s="3">
        <v>3</v>
      </c>
      <c r="Y66" s="3">
        <v>9</v>
      </c>
      <c r="Z66">
        <v>218.35</v>
      </c>
      <c r="AA66">
        <v>1.5610000000000001E-2</v>
      </c>
      <c r="AB66">
        <v>107.8</v>
      </c>
      <c r="AC66">
        <v>4.5</v>
      </c>
      <c r="AD66">
        <v>87.7</v>
      </c>
      <c r="AE66">
        <v>1627993.2</v>
      </c>
      <c r="AF66">
        <v>103102.5</v>
      </c>
      <c r="AH66" s="3">
        <v>20</v>
      </c>
      <c r="AI66" s="3">
        <v>1</v>
      </c>
      <c r="AJ66" s="3">
        <v>1</v>
      </c>
      <c r="AK66">
        <v>85</v>
      </c>
      <c r="AL66">
        <v>1.55E-2</v>
      </c>
    </row>
    <row r="67" spans="1:43" x14ac:dyDescent="0.25">
      <c r="A67" s="3">
        <v>10</v>
      </c>
      <c r="B67" s="3">
        <v>3</v>
      </c>
      <c r="C67" s="3">
        <v>10</v>
      </c>
      <c r="H67">
        <v>0</v>
      </c>
      <c r="I67">
        <v>1.0530559050531101E-5</v>
      </c>
      <c r="J67">
        <v>0</v>
      </c>
      <c r="L67" s="3">
        <v>10</v>
      </c>
      <c r="M67" s="3">
        <v>3</v>
      </c>
      <c r="N67" s="3">
        <v>10</v>
      </c>
      <c r="S67">
        <v>0</v>
      </c>
      <c r="T67">
        <v>-0.5</v>
      </c>
      <c r="U67">
        <v>0</v>
      </c>
      <c r="W67" s="3">
        <v>10</v>
      </c>
      <c r="X67" s="3">
        <v>3</v>
      </c>
      <c r="Y67" s="3">
        <v>10</v>
      </c>
      <c r="Z67">
        <v>361.61</v>
      </c>
      <c r="AA67">
        <v>1.5630000000000002E-2</v>
      </c>
      <c r="AB67">
        <v>120.6</v>
      </c>
      <c r="AC67">
        <v>5.0999999999999996</v>
      </c>
      <c r="AD67">
        <v>94.4</v>
      </c>
      <c r="AE67">
        <v>4748085.5</v>
      </c>
      <c r="AF67">
        <v>413813.9</v>
      </c>
      <c r="AH67" s="3">
        <v>20</v>
      </c>
      <c r="AI67" s="3">
        <v>2</v>
      </c>
      <c r="AJ67" s="3">
        <v>1</v>
      </c>
      <c r="AK67">
        <v>85</v>
      </c>
      <c r="AL67">
        <v>1.55E-2</v>
      </c>
      <c r="AO67">
        <v>85</v>
      </c>
      <c r="AP67">
        <v>0</v>
      </c>
      <c r="AQ67">
        <v>0</v>
      </c>
    </row>
    <row r="68" spans="1:43" x14ac:dyDescent="0.25">
      <c r="A68" s="3">
        <v>10</v>
      </c>
      <c r="B68" s="3">
        <v>3</v>
      </c>
      <c r="C68" s="3">
        <v>11</v>
      </c>
      <c r="H68">
        <v>0</v>
      </c>
      <c r="I68">
        <v>2.3795242886769069E-5</v>
      </c>
      <c r="J68">
        <v>0</v>
      </c>
      <c r="L68" s="3">
        <v>10</v>
      </c>
      <c r="M68" s="3">
        <v>3</v>
      </c>
      <c r="N68" s="3">
        <v>11</v>
      </c>
      <c r="S68">
        <v>0</v>
      </c>
      <c r="T68">
        <v>-1.5</v>
      </c>
      <c r="U68">
        <v>0</v>
      </c>
      <c r="W68" s="3">
        <v>10</v>
      </c>
      <c r="X68" s="3">
        <v>3</v>
      </c>
      <c r="Y68" s="3">
        <v>11</v>
      </c>
      <c r="Z68">
        <v>426.96</v>
      </c>
      <c r="AA68">
        <v>1.5630000000000002E-2</v>
      </c>
      <c r="AB68">
        <v>13454</v>
      </c>
      <c r="AC68">
        <v>5.0999999999999996</v>
      </c>
      <c r="AD68">
        <v>155.30000000000001</v>
      </c>
      <c r="AE68">
        <v>6303779.5</v>
      </c>
      <c r="AF68">
        <v>12773211</v>
      </c>
      <c r="AH68" s="3">
        <v>20</v>
      </c>
      <c r="AI68" s="3">
        <v>2</v>
      </c>
      <c r="AJ68" s="3">
        <v>2</v>
      </c>
      <c r="AO68">
        <v>85</v>
      </c>
      <c r="AP68">
        <v>0</v>
      </c>
      <c r="AQ68">
        <v>0</v>
      </c>
    </row>
    <row r="69" spans="1:43" x14ac:dyDescent="0.25">
      <c r="A69" s="3">
        <v>10</v>
      </c>
      <c r="B69" s="3">
        <v>3</v>
      </c>
      <c r="C69" s="3">
        <v>12</v>
      </c>
      <c r="H69">
        <v>0</v>
      </c>
      <c r="I69">
        <v>0</v>
      </c>
      <c r="J69">
        <v>0</v>
      </c>
      <c r="L69" s="3">
        <v>10</v>
      </c>
      <c r="M69" s="3">
        <v>3</v>
      </c>
      <c r="N69" s="3">
        <v>12</v>
      </c>
      <c r="S69">
        <v>0</v>
      </c>
      <c r="T69">
        <v>0</v>
      </c>
      <c r="U69">
        <v>0</v>
      </c>
      <c r="W69" s="3">
        <v>10</v>
      </c>
      <c r="X69" s="3">
        <v>3</v>
      </c>
      <c r="Y69" s="3">
        <v>12</v>
      </c>
      <c r="Z69">
        <v>92.85</v>
      </c>
      <c r="AA69">
        <v>1.5599999999999999E-2</v>
      </c>
      <c r="AB69">
        <v>120.6</v>
      </c>
      <c r="AC69">
        <v>5.0999999999999996</v>
      </c>
      <c r="AD69">
        <v>85.3</v>
      </c>
      <c r="AE69">
        <v>129424.8</v>
      </c>
      <c r="AF69">
        <v>6228.1</v>
      </c>
      <c r="AH69" s="3">
        <v>20</v>
      </c>
      <c r="AI69" s="3">
        <v>3</v>
      </c>
      <c r="AJ69" s="3">
        <v>1</v>
      </c>
      <c r="AK69">
        <v>85</v>
      </c>
      <c r="AL69">
        <v>1.55E-2</v>
      </c>
      <c r="AO69">
        <v>85</v>
      </c>
      <c r="AP69">
        <v>0</v>
      </c>
      <c r="AQ69">
        <v>0</v>
      </c>
    </row>
    <row r="70" spans="1:43" x14ac:dyDescent="0.25">
      <c r="A70" s="3">
        <v>10</v>
      </c>
      <c r="B70" s="3">
        <v>3</v>
      </c>
      <c r="C70" s="3">
        <v>13</v>
      </c>
      <c r="H70">
        <v>0</v>
      </c>
      <c r="I70">
        <v>0</v>
      </c>
      <c r="J70">
        <v>0</v>
      </c>
      <c r="L70" s="3">
        <v>10</v>
      </c>
      <c r="M70" s="3">
        <v>3</v>
      </c>
      <c r="N70" s="3">
        <v>13</v>
      </c>
      <c r="S70">
        <v>0</v>
      </c>
      <c r="T70">
        <v>0</v>
      </c>
      <c r="U70">
        <v>0</v>
      </c>
      <c r="W70" s="3">
        <v>10</v>
      </c>
      <c r="X70" s="3">
        <v>3</v>
      </c>
      <c r="Y70" s="3">
        <v>13</v>
      </c>
      <c r="Z70">
        <v>91.63</v>
      </c>
      <c r="AA70">
        <v>1.559E-2</v>
      </c>
      <c r="AB70">
        <v>120.6</v>
      </c>
      <c r="AC70">
        <v>5.0999999999999996</v>
      </c>
      <c r="AD70">
        <v>85.3</v>
      </c>
      <c r="AE70">
        <v>113942.3</v>
      </c>
      <c r="AF70">
        <v>5472.5</v>
      </c>
      <c r="AH70" s="3">
        <v>20</v>
      </c>
      <c r="AI70" s="3">
        <v>3</v>
      </c>
      <c r="AJ70" s="3">
        <v>2</v>
      </c>
      <c r="AO70">
        <v>85</v>
      </c>
      <c r="AP70">
        <v>955.5</v>
      </c>
      <c r="AQ70">
        <v>107.4</v>
      </c>
    </row>
    <row r="71" spans="1:43" x14ac:dyDescent="0.25">
      <c r="A71" s="3">
        <v>10</v>
      </c>
      <c r="B71" s="3">
        <v>3</v>
      </c>
      <c r="C71" s="3">
        <v>14</v>
      </c>
      <c r="H71">
        <v>0</v>
      </c>
      <c r="I71">
        <v>0</v>
      </c>
      <c r="J71">
        <v>0</v>
      </c>
      <c r="L71" s="3">
        <v>10</v>
      </c>
      <c r="M71" s="3">
        <v>3</v>
      </c>
      <c r="N71" s="3">
        <v>14</v>
      </c>
      <c r="S71">
        <v>0</v>
      </c>
      <c r="T71">
        <v>0</v>
      </c>
      <c r="U71">
        <v>0</v>
      </c>
      <c r="W71" s="3">
        <v>10</v>
      </c>
      <c r="X71" s="3">
        <v>3</v>
      </c>
      <c r="Y71" s="3">
        <v>14</v>
      </c>
      <c r="Z71">
        <v>88.93</v>
      </c>
      <c r="AA71">
        <v>1.5559999999999999E-2</v>
      </c>
      <c r="AB71">
        <v>118.9</v>
      </c>
      <c r="AC71">
        <v>5</v>
      </c>
      <c r="AD71">
        <v>85.2</v>
      </c>
      <c r="AE71">
        <v>71546.7</v>
      </c>
      <c r="AF71">
        <v>3444.9</v>
      </c>
      <c r="AH71" s="3">
        <v>20</v>
      </c>
      <c r="AI71" s="3">
        <v>3</v>
      </c>
      <c r="AJ71" s="3">
        <v>3</v>
      </c>
      <c r="AO71">
        <v>85</v>
      </c>
      <c r="AP71">
        <v>4629</v>
      </c>
      <c r="AQ71">
        <v>520.79999999999995</v>
      </c>
    </row>
    <row r="72" spans="1:43" x14ac:dyDescent="0.25">
      <c r="A72" s="3">
        <v>10</v>
      </c>
      <c r="B72" s="3">
        <v>4</v>
      </c>
      <c r="C72" s="3">
        <v>1</v>
      </c>
      <c r="D72">
        <v>0</v>
      </c>
      <c r="E72">
        <v>6.451612903225544E-2</v>
      </c>
      <c r="H72">
        <v>0</v>
      </c>
      <c r="L72" s="3">
        <v>10</v>
      </c>
      <c r="M72" s="3">
        <v>4</v>
      </c>
      <c r="N72" s="3">
        <v>1</v>
      </c>
      <c r="O72">
        <v>0</v>
      </c>
      <c r="P72">
        <v>9.9999999999995925E-6</v>
      </c>
      <c r="S72">
        <v>0</v>
      </c>
      <c r="T72">
        <v>0</v>
      </c>
      <c r="U72">
        <v>0</v>
      </c>
      <c r="W72" s="3">
        <v>10</v>
      </c>
      <c r="X72" s="3">
        <v>4</v>
      </c>
      <c r="Y72" s="3">
        <v>1</v>
      </c>
      <c r="Z72">
        <v>85</v>
      </c>
      <c r="AA72">
        <v>1.5509999999999999E-2</v>
      </c>
      <c r="AB72">
        <v>0.2</v>
      </c>
      <c r="AC72">
        <v>0</v>
      </c>
      <c r="AD72">
        <v>85</v>
      </c>
      <c r="AE72">
        <v>0</v>
      </c>
      <c r="AF72">
        <v>0</v>
      </c>
      <c r="AH72" s="3">
        <v>20</v>
      </c>
      <c r="AI72" s="3">
        <v>3</v>
      </c>
      <c r="AJ72" s="3">
        <v>4</v>
      </c>
      <c r="AO72">
        <v>85</v>
      </c>
      <c r="AP72">
        <v>20063.599999999999</v>
      </c>
      <c r="AQ72">
        <v>2267.9</v>
      </c>
    </row>
    <row r="73" spans="1:43" x14ac:dyDescent="0.25">
      <c r="A73" s="3">
        <v>10</v>
      </c>
      <c r="B73" s="3">
        <v>4</v>
      </c>
      <c r="C73" s="3">
        <v>2</v>
      </c>
      <c r="H73">
        <v>0</v>
      </c>
      <c r="L73" s="3">
        <v>10</v>
      </c>
      <c r="M73" s="3">
        <v>4</v>
      </c>
      <c r="N73" s="3">
        <v>2</v>
      </c>
      <c r="S73">
        <v>0</v>
      </c>
      <c r="T73">
        <v>0</v>
      </c>
      <c r="U73">
        <v>0</v>
      </c>
      <c r="W73" s="3">
        <v>10</v>
      </c>
      <c r="X73" s="3">
        <v>4</v>
      </c>
      <c r="Y73" s="3">
        <v>2</v>
      </c>
      <c r="Z73">
        <v>85</v>
      </c>
      <c r="AA73">
        <v>1.5509999999999999E-2</v>
      </c>
      <c r="AB73">
        <v>0.2</v>
      </c>
      <c r="AC73">
        <v>0</v>
      </c>
      <c r="AD73">
        <v>85</v>
      </c>
      <c r="AE73">
        <v>0</v>
      </c>
      <c r="AF73">
        <v>0</v>
      </c>
      <c r="AH73" s="3">
        <v>20</v>
      </c>
      <c r="AI73" s="3">
        <v>3</v>
      </c>
      <c r="AJ73" s="3">
        <v>5</v>
      </c>
      <c r="AO73">
        <v>85.2</v>
      </c>
      <c r="AP73">
        <v>75863.600000000006</v>
      </c>
      <c r="AQ73">
        <v>8717.7999999999993</v>
      </c>
    </row>
    <row r="74" spans="1:43" x14ac:dyDescent="0.25">
      <c r="A74" s="3">
        <v>10</v>
      </c>
      <c r="B74" s="3">
        <v>5</v>
      </c>
      <c r="C74" s="3">
        <v>1</v>
      </c>
      <c r="D74">
        <v>0</v>
      </c>
      <c r="E74">
        <v>6.451612903225544E-2</v>
      </c>
      <c r="L74" s="3">
        <v>10</v>
      </c>
      <c r="M74" s="3">
        <v>5</v>
      </c>
      <c r="N74" s="3">
        <v>1</v>
      </c>
      <c r="O74">
        <v>0</v>
      </c>
      <c r="P74">
        <v>9.9999999999995925E-6</v>
      </c>
      <c r="W74" s="3">
        <v>10</v>
      </c>
      <c r="X74" s="3">
        <v>5</v>
      </c>
      <c r="Y74" s="3">
        <v>1</v>
      </c>
      <c r="Z74">
        <v>85</v>
      </c>
      <c r="AA74">
        <v>1.5509999999999999E-2</v>
      </c>
      <c r="AH74" s="3">
        <v>20</v>
      </c>
      <c r="AI74" s="3">
        <v>3</v>
      </c>
      <c r="AJ74" s="3">
        <v>6</v>
      </c>
      <c r="AO74">
        <v>85.6</v>
      </c>
      <c r="AP74">
        <v>242225</v>
      </c>
      <c r="AQ74">
        <v>29438.400000000001</v>
      </c>
    </row>
    <row r="75" spans="1:43" x14ac:dyDescent="0.25">
      <c r="A75" s="3">
        <v>10</v>
      </c>
      <c r="B75" s="3">
        <v>5</v>
      </c>
      <c r="C75" s="3">
        <v>2</v>
      </c>
      <c r="L75" s="3">
        <v>10</v>
      </c>
      <c r="M75" s="3">
        <v>5</v>
      </c>
      <c r="N75" s="3">
        <v>2</v>
      </c>
      <c r="W75" s="3">
        <v>10</v>
      </c>
      <c r="X75" s="3">
        <v>5</v>
      </c>
      <c r="Y75" s="3">
        <v>2</v>
      </c>
      <c r="Z75">
        <v>85</v>
      </c>
      <c r="AA75">
        <v>1.5509999999999999E-2</v>
      </c>
      <c r="AH75" s="3">
        <v>20</v>
      </c>
      <c r="AI75" s="3">
        <v>3</v>
      </c>
      <c r="AJ75" s="3">
        <v>7</v>
      </c>
      <c r="AO75">
        <v>86.8</v>
      </c>
      <c r="AP75">
        <v>626047.1</v>
      </c>
      <c r="AQ75">
        <v>86225.3</v>
      </c>
    </row>
    <row r="76" spans="1:43" x14ac:dyDescent="0.25">
      <c r="A76" s="3">
        <v>20</v>
      </c>
      <c r="B76" s="3">
        <v>1</v>
      </c>
      <c r="C76" s="3">
        <v>1</v>
      </c>
      <c r="D76">
        <v>1.1764705882358961E-2</v>
      </c>
      <c r="E76">
        <v>6.451612903225544E-2</v>
      </c>
      <c r="L76" s="3">
        <v>20</v>
      </c>
      <c r="M76" s="3">
        <v>1</v>
      </c>
      <c r="N76" s="3">
        <v>1</v>
      </c>
      <c r="O76">
        <v>1.0000000000005119E-2</v>
      </c>
      <c r="P76">
        <v>9.9999999999995925E-6</v>
      </c>
      <c r="W76" s="3">
        <v>20</v>
      </c>
      <c r="X76" s="3">
        <v>1</v>
      </c>
      <c r="Y76" s="3">
        <v>1</v>
      </c>
      <c r="Z76">
        <v>85.01</v>
      </c>
      <c r="AA76">
        <v>1.5509999999999999E-2</v>
      </c>
      <c r="AB76">
        <v>0.7</v>
      </c>
      <c r="AC76">
        <v>0</v>
      </c>
      <c r="AH76" s="3">
        <v>20</v>
      </c>
      <c r="AI76" s="3">
        <v>3</v>
      </c>
      <c r="AJ76" s="3">
        <v>8</v>
      </c>
      <c r="AO76">
        <v>89.2</v>
      </c>
      <c r="AP76">
        <v>1213678.8999999999</v>
      </c>
      <c r="AQ76">
        <v>201474.9</v>
      </c>
    </row>
    <row r="77" spans="1:43" x14ac:dyDescent="0.25">
      <c r="A77" s="3">
        <v>20</v>
      </c>
      <c r="B77" s="3">
        <v>1</v>
      </c>
      <c r="C77" s="3">
        <v>2</v>
      </c>
      <c r="L77" s="3">
        <v>20</v>
      </c>
      <c r="M77" s="3">
        <v>1</v>
      </c>
      <c r="N77" s="3">
        <v>2</v>
      </c>
      <c r="W77" s="3">
        <v>20</v>
      </c>
      <c r="X77" s="3">
        <v>1</v>
      </c>
      <c r="Y77" s="3">
        <v>2</v>
      </c>
      <c r="Z77">
        <v>85.01</v>
      </c>
      <c r="AA77">
        <v>1.5509999999999999E-2</v>
      </c>
      <c r="AB77">
        <v>0.7</v>
      </c>
      <c r="AC77">
        <v>0</v>
      </c>
      <c r="AH77" s="3">
        <v>20</v>
      </c>
      <c r="AI77" s="3">
        <v>3</v>
      </c>
      <c r="AJ77" s="3">
        <v>9</v>
      </c>
      <c r="AO77">
        <v>99.5</v>
      </c>
      <c r="AP77">
        <v>3428360</v>
      </c>
      <c r="AQ77">
        <v>315470.3</v>
      </c>
    </row>
    <row r="78" spans="1:43" x14ac:dyDescent="0.25">
      <c r="A78" s="3">
        <v>20</v>
      </c>
      <c r="B78" s="3">
        <v>1</v>
      </c>
      <c r="C78" s="3">
        <v>3</v>
      </c>
      <c r="L78" s="3">
        <v>20</v>
      </c>
      <c r="M78" s="3">
        <v>1</v>
      </c>
      <c r="N78" s="3">
        <v>3</v>
      </c>
      <c r="W78" s="3">
        <v>20</v>
      </c>
      <c r="X78" s="3">
        <v>1</v>
      </c>
      <c r="Y78" s="3">
        <v>3</v>
      </c>
      <c r="Z78">
        <v>85.01</v>
      </c>
      <c r="AA78">
        <v>1.5509999999999999E-2</v>
      </c>
      <c r="AB78">
        <v>0.7</v>
      </c>
      <c r="AC78">
        <v>0</v>
      </c>
      <c r="AH78" s="3">
        <v>20</v>
      </c>
      <c r="AI78" s="3">
        <v>3</v>
      </c>
      <c r="AJ78" s="3">
        <v>10</v>
      </c>
      <c r="AO78">
        <v>105.7</v>
      </c>
      <c r="AP78">
        <v>4139638.3</v>
      </c>
      <c r="AQ78">
        <v>390669.3</v>
      </c>
    </row>
    <row r="79" spans="1:43" x14ac:dyDescent="0.25">
      <c r="A79" s="3">
        <v>20</v>
      </c>
      <c r="B79" s="3">
        <v>1</v>
      </c>
      <c r="C79" s="3">
        <v>4</v>
      </c>
      <c r="L79" s="3">
        <v>20</v>
      </c>
      <c r="M79" s="3">
        <v>1</v>
      </c>
      <c r="N79" s="3">
        <v>4</v>
      </c>
      <c r="W79" s="3">
        <v>20</v>
      </c>
      <c r="X79" s="3">
        <v>1</v>
      </c>
      <c r="Y79" s="3">
        <v>4</v>
      </c>
      <c r="Z79">
        <v>85.01</v>
      </c>
      <c r="AA79">
        <v>1.5509999999999999E-2</v>
      </c>
      <c r="AB79">
        <v>0.7</v>
      </c>
      <c r="AC79">
        <v>0</v>
      </c>
      <c r="AH79" s="3">
        <v>20</v>
      </c>
      <c r="AI79" s="3">
        <v>3</v>
      </c>
      <c r="AJ79" s="3">
        <v>11</v>
      </c>
      <c r="AO79">
        <v>175.9</v>
      </c>
      <c r="AP79">
        <v>3727065.8</v>
      </c>
      <c r="AQ79">
        <v>12405838</v>
      </c>
    </row>
    <row r="80" spans="1:43" x14ac:dyDescent="0.25">
      <c r="A80" s="3">
        <v>20</v>
      </c>
      <c r="B80" s="3">
        <v>1</v>
      </c>
      <c r="C80" s="3">
        <v>5</v>
      </c>
      <c r="L80" s="3">
        <v>20</v>
      </c>
      <c r="M80" s="3">
        <v>1</v>
      </c>
      <c r="N80" s="3">
        <v>5</v>
      </c>
      <c r="W80" s="3">
        <v>20</v>
      </c>
      <c r="X80" s="3">
        <v>1</v>
      </c>
      <c r="Y80" s="3">
        <v>5</v>
      </c>
      <c r="Z80">
        <v>85.01</v>
      </c>
      <c r="AA80">
        <v>1.5509999999999999E-2</v>
      </c>
      <c r="AB80">
        <v>0.7</v>
      </c>
      <c r="AC80">
        <v>0</v>
      </c>
      <c r="AH80" s="3">
        <v>20</v>
      </c>
      <c r="AI80" s="3">
        <v>3</v>
      </c>
      <c r="AJ80" s="3">
        <v>12</v>
      </c>
      <c r="AO80">
        <v>85.7</v>
      </c>
      <c r="AP80">
        <v>146801.79999999999</v>
      </c>
      <c r="AQ80">
        <v>6896.6</v>
      </c>
    </row>
    <row r="81" spans="1:43" x14ac:dyDescent="0.25">
      <c r="A81" s="3">
        <v>20</v>
      </c>
      <c r="B81" s="3">
        <v>1</v>
      </c>
      <c r="C81" s="3">
        <v>6</v>
      </c>
      <c r="L81" s="3">
        <v>20</v>
      </c>
      <c r="M81" s="3">
        <v>1</v>
      </c>
      <c r="N81" s="3">
        <v>6</v>
      </c>
      <c r="W81" s="3">
        <v>20</v>
      </c>
      <c r="X81" s="3">
        <v>1</v>
      </c>
      <c r="Y81" s="3">
        <v>6</v>
      </c>
      <c r="Z81">
        <v>85.01</v>
      </c>
      <c r="AA81">
        <v>1.5509999999999999E-2</v>
      </c>
      <c r="AB81">
        <v>0.7</v>
      </c>
      <c r="AC81">
        <v>0</v>
      </c>
      <c r="AH81" s="3">
        <v>20</v>
      </c>
      <c r="AI81" s="3">
        <v>3</v>
      </c>
      <c r="AJ81" s="3">
        <v>13</v>
      </c>
      <c r="AO81">
        <v>85.5</v>
      </c>
      <c r="AP81">
        <v>117016.5</v>
      </c>
      <c r="AQ81">
        <v>4833.8999999999996</v>
      </c>
    </row>
    <row r="82" spans="1:43" x14ac:dyDescent="0.25">
      <c r="A82" s="3">
        <v>20</v>
      </c>
      <c r="B82" s="3">
        <v>1</v>
      </c>
      <c r="C82" s="3">
        <v>7</v>
      </c>
      <c r="L82" s="3">
        <v>20</v>
      </c>
      <c r="M82" s="3">
        <v>1</v>
      </c>
      <c r="N82" s="3">
        <v>7</v>
      </c>
      <c r="W82" s="3">
        <v>20</v>
      </c>
      <c r="X82" s="3">
        <v>1</v>
      </c>
      <c r="Y82" s="3">
        <v>7</v>
      </c>
      <c r="Z82">
        <v>85.01</v>
      </c>
      <c r="AA82">
        <v>1.5509999999999999E-2</v>
      </c>
      <c r="AB82">
        <v>0.7</v>
      </c>
      <c r="AC82">
        <v>0</v>
      </c>
      <c r="AH82" s="3">
        <v>20</v>
      </c>
      <c r="AI82" s="3">
        <v>3</v>
      </c>
      <c r="AJ82" s="3">
        <v>14</v>
      </c>
      <c r="AO82">
        <v>85.3</v>
      </c>
      <c r="AP82">
        <v>72502.899999999994</v>
      </c>
      <c r="AQ82">
        <v>2488.6</v>
      </c>
    </row>
    <row r="83" spans="1:43" x14ac:dyDescent="0.25">
      <c r="A83" s="3">
        <v>20</v>
      </c>
      <c r="B83" s="3">
        <v>1</v>
      </c>
      <c r="C83" s="3">
        <v>8</v>
      </c>
      <c r="L83" s="3">
        <v>20</v>
      </c>
      <c r="M83" s="3">
        <v>1</v>
      </c>
      <c r="N83" s="3">
        <v>8</v>
      </c>
      <c r="W83" s="3">
        <v>20</v>
      </c>
      <c r="X83" s="3">
        <v>1</v>
      </c>
      <c r="Y83" s="3">
        <v>8</v>
      </c>
      <c r="Z83">
        <v>85.01</v>
      </c>
      <c r="AA83">
        <v>1.5509999999999999E-2</v>
      </c>
      <c r="AB83">
        <v>0.7</v>
      </c>
      <c r="AC83">
        <v>0</v>
      </c>
      <c r="AH83" s="3">
        <v>20</v>
      </c>
      <c r="AI83" s="3">
        <v>4</v>
      </c>
      <c r="AJ83" s="3">
        <v>1</v>
      </c>
      <c r="AK83">
        <v>85</v>
      </c>
      <c r="AL83">
        <v>1.55E-2</v>
      </c>
      <c r="AO83">
        <v>85</v>
      </c>
      <c r="AP83">
        <v>0</v>
      </c>
      <c r="AQ83">
        <v>0</v>
      </c>
    </row>
    <row r="84" spans="1:43" x14ac:dyDescent="0.25">
      <c r="A84" s="3">
        <v>20</v>
      </c>
      <c r="B84" s="3">
        <v>1</v>
      </c>
      <c r="C84" s="3">
        <v>9</v>
      </c>
      <c r="L84" s="3">
        <v>20</v>
      </c>
      <c r="M84" s="3">
        <v>1</v>
      </c>
      <c r="N84" s="3">
        <v>9</v>
      </c>
      <c r="W84" s="3">
        <v>20</v>
      </c>
      <c r="X84" s="3">
        <v>1</v>
      </c>
      <c r="Y84" s="3">
        <v>9</v>
      </c>
      <c r="Z84">
        <v>85.01</v>
      </c>
      <c r="AA84">
        <v>1.5509999999999999E-2</v>
      </c>
      <c r="AB84">
        <v>0.7</v>
      </c>
      <c r="AC84">
        <v>0</v>
      </c>
      <c r="AH84" s="3">
        <v>20</v>
      </c>
      <c r="AI84" s="3">
        <v>4</v>
      </c>
      <c r="AJ84" s="3">
        <v>2</v>
      </c>
      <c r="AO84">
        <v>85</v>
      </c>
      <c r="AP84">
        <v>0</v>
      </c>
      <c r="AQ84">
        <v>0</v>
      </c>
    </row>
    <row r="85" spans="1:43" x14ac:dyDescent="0.25">
      <c r="A85" s="3">
        <v>20</v>
      </c>
      <c r="B85" s="3">
        <v>1</v>
      </c>
      <c r="C85" s="3">
        <v>10</v>
      </c>
      <c r="L85" s="3">
        <v>20</v>
      </c>
      <c r="M85" s="3">
        <v>1</v>
      </c>
      <c r="N85" s="3">
        <v>10</v>
      </c>
      <c r="W85" s="3">
        <v>20</v>
      </c>
      <c r="X85" s="3">
        <v>1</v>
      </c>
      <c r="Y85" s="3">
        <v>10</v>
      </c>
      <c r="Z85">
        <v>85.01</v>
      </c>
      <c r="AA85">
        <v>1.5509999999999999E-2</v>
      </c>
      <c r="AB85">
        <v>0.7</v>
      </c>
      <c r="AC85">
        <v>0</v>
      </c>
      <c r="AH85" s="3">
        <v>20</v>
      </c>
      <c r="AI85" s="3">
        <v>5</v>
      </c>
      <c r="AJ85" s="3">
        <v>1</v>
      </c>
      <c r="AK85">
        <v>85</v>
      </c>
      <c r="AL85">
        <v>1.55E-2</v>
      </c>
    </row>
    <row r="86" spans="1:43" x14ac:dyDescent="0.25">
      <c r="A86" s="3">
        <v>20</v>
      </c>
      <c r="B86" s="3">
        <v>2</v>
      </c>
      <c r="C86" s="3">
        <v>1</v>
      </c>
      <c r="D86">
        <v>0</v>
      </c>
      <c r="E86">
        <v>6.451612903225544E-2</v>
      </c>
      <c r="H86">
        <v>0</v>
      </c>
      <c r="L86" s="3">
        <v>20</v>
      </c>
      <c r="M86" s="3">
        <v>2</v>
      </c>
      <c r="N86" s="3">
        <v>1</v>
      </c>
      <c r="O86">
        <v>0</v>
      </c>
      <c r="P86">
        <v>9.9999999999995925E-6</v>
      </c>
      <c r="S86">
        <v>0</v>
      </c>
      <c r="T86">
        <v>0</v>
      </c>
      <c r="U86">
        <v>0</v>
      </c>
      <c r="W86" s="3">
        <v>20</v>
      </c>
      <c r="X86" s="3">
        <v>2</v>
      </c>
      <c r="Y86" s="3">
        <v>1</v>
      </c>
      <c r="Z86">
        <v>85</v>
      </c>
      <c r="AA86">
        <v>1.5509999999999999E-2</v>
      </c>
      <c r="AB86">
        <v>0.1</v>
      </c>
      <c r="AC86">
        <v>0</v>
      </c>
      <c r="AD86">
        <v>85</v>
      </c>
      <c r="AE86">
        <v>0</v>
      </c>
      <c r="AF86">
        <v>0</v>
      </c>
      <c r="AH86" s="3">
        <v>30</v>
      </c>
      <c r="AI86" s="3">
        <v>1</v>
      </c>
      <c r="AJ86" s="3">
        <v>1</v>
      </c>
      <c r="AK86">
        <v>85</v>
      </c>
      <c r="AL86">
        <v>1.55E-2</v>
      </c>
    </row>
    <row r="87" spans="1:43" x14ac:dyDescent="0.25">
      <c r="A87" s="3">
        <v>20</v>
      </c>
      <c r="B87" s="3">
        <v>2</v>
      </c>
      <c r="C87" s="3">
        <v>2</v>
      </c>
      <c r="H87">
        <v>0</v>
      </c>
      <c r="L87" s="3">
        <v>20</v>
      </c>
      <c r="M87" s="3">
        <v>2</v>
      </c>
      <c r="N87" s="3">
        <v>2</v>
      </c>
      <c r="S87">
        <v>0</v>
      </c>
      <c r="T87">
        <v>0</v>
      </c>
      <c r="U87">
        <v>0</v>
      </c>
      <c r="W87" s="3">
        <v>20</v>
      </c>
      <c r="X87" s="3">
        <v>2</v>
      </c>
      <c r="Y87" s="3">
        <v>2</v>
      </c>
      <c r="Z87">
        <v>85</v>
      </c>
      <c r="AA87">
        <v>1.5509999999999999E-2</v>
      </c>
      <c r="AB87">
        <v>0.1</v>
      </c>
      <c r="AC87">
        <v>0</v>
      </c>
      <c r="AD87">
        <v>85</v>
      </c>
      <c r="AE87">
        <v>0</v>
      </c>
      <c r="AF87">
        <v>0</v>
      </c>
      <c r="AH87" s="3">
        <v>30</v>
      </c>
      <c r="AI87" s="3">
        <v>2</v>
      </c>
      <c r="AJ87" s="3">
        <v>1</v>
      </c>
      <c r="AK87">
        <v>85</v>
      </c>
      <c r="AL87">
        <v>1.55E-2</v>
      </c>
      <c r="AO87">
        <v>85</v>
      </c>
      <c r="AP87">
        <v>0</v>
      </c>
      <c r="AQ87">
        <v>0</v>
      </c>
    </row>
    <row r="88" spans="1:43" x14ac:dyDescent="0.25">
      <c r="A88" s="3">
        <v>20</v>
      </c>
      <c r="B88" s="3">
        <v>3</v>
      </c>
      <c r="C88" s="3">
        <v>1</v>
      </c>
      <c r="D88">
        <v>4.7058823529419119E-2</v>
      </c>
      <c r="E88">
        <v>6.451612903225544E-2</v>
      </c>
      <c r="H88">
        <v>0</v>
      </c>
      <c r="L88" s="3">
        <v>20</v>
      </c>
      <c r="M88" s="3">
        <v>3</v>
      </c>
      <c r="N88" s="3">
        <v>1</v>
      </c>
      <c r="O88">
        <v>4.0000000000006253E-2</v>
      </c>
      <c r="P88">
        <v>9.9999999999995925E-6</v>
      </c>
      <c r="S88">
        <v>0</v>
      </c>
      <c r="T88">
        <v>0</v>
      </c>
      <c r="U88">
        <v>0</v>
      </c>
      <c r="W88" s="3">
        <v>20</v>
      </c>
      <c r="X88" s="3">
        <v>3</v>
      </c>
      <c r="Y88" s="3">
        <v>1</v>
      </c>
      <c r="Z88">
        <v>85.04</v>
      </c>
      <c r="AA88">
        <v>1.5509999999999999E-2</v>
      </c>
      <c r="AB88">
        <v>0</v>
      </c>
      <c r="AC88">
        <v>0</v>
      </c>
      <c r="AD88">
        <v>85</v>
      </c>
      <c r="AE88">
        <v>0</v>
      </c>
      <c r="AF88">
        <v>0</v>
      </c>
      <c r="AH88" s="3">
        <v>30</v>
      </c>
      <c r="AI88" s="3">
        <v>2</v>
      </c>
      <c r="AJ88" s="3">
        <v>2</v>
      </c>
      <c r="AO88">
        <v>85</v>
      </c>
      <c r="AP88">
        <v>0</v>
      </c>
      <c r="AQ88">
        <v>0</v>
      </c>
    </row>
    <row r="89" spans="1:43" x14ac:dyDescent="0.25">
      <c r="A89" s="3">
        <v>20</v>
      </c>
      <c r="B89" s="3">
        <v>3</v>
      </c>
      <c r="C89" s="3">
        <v>2</v>
      </c>
      <c r="H89">
        <v>0</v>
      </c>
      <c r="I89">
        <v>1.046572475144142E-2</v>
      </c>
      <c r="J89">
        <v>9.3109869646190432E-2</v>
      </c>
      <c r="L89" s="3">
        <v>20</v>
      </c>
      <c r="M89" s="3">
        <v>3</v>
      </c>
      <c r="N89" s="3">
        <v>2</v>
      </c>
      <c r="S89">
        <v>0</v>
      </c>
      <c r="T89">
        <v>-0.1000000000000227</v>
      </c>
      <c r="U89">
        <v>-0.1000000000000085</v>
      </c>
      <c r="W89" s="3">
        <v>20</v>
      </c>
      <c r="X89" s="3">
        <v>3</v>
      </c>
      <c r="Y89" s="3">
        <v>2</v>
      </c>
      <c r="Z89">
        <v>85.2</v>
      </c>
      <c r="AA89">
        <v>1.5509999999999999E-2</v>
      </c>
      <c r="AB89">
        <v>0</v>
      </c>
      <c r="AC89">
        <v>0</v>
      </c>
      <c r="AD89">
        <v>85</v>
      </c>
      <c r="AE89">
        <v>955.4</v>
      </c>
      <c r="AF89">
        <v>107.3</v>
      </c>
      <c r="AH89" s="3">
        <v>30</v>
      </c>
      <c r="AI89" s="3">
        <v>3</v>
      </c>
      <c r="AJ89" s="3">
        <v>1</v>
      </c>
      <c r="AK89">
        <v>86.3</v>
      </c>
      <c r="AL89">
        <v>1.55E-2</v>
      </c>
      <c r="AO89">
        <v>85</v>
      </c>
      <c r="AP89">
        <v>6734.2</v>
      </c>
      <c r="AQ89">
        <v>829.4</v>
      </c>
    </row>
    <row r="90" spans="1:43" x14ac:dyDescent="0.25">
      <c r="A90" s="3">
        <v>20</v>
      </c>
      <c r="B90" s="3">
        <v>3</v>
      </c>
      <c r="C90" s="3">
        <v>3</v>
      </c>
      <c r="H90">
        <v>0</v>
      </c>
      <c r="I90">
        <v>0</v>
      </c>
      <c r="J90">
        <v>0</v>
      </c>
      <c r="L90" s="3">
        <v>20</v>
      </c>
      <c r="M90" s="3">
        <v>3</v>
      </c>
      <c r="N90" s="3">
        <v>3</v>
      </c>
      <c r="S90">
        <v>0</v>
      </c>
      <c r="T90">
        <v>0</v>
      </c>
      <c r="U90">
        <v>0</v>
      </c>
      <c r="W90" s="3">
        <v>20</v>
      </c>
      <c r="X90" s="3">
        <v>3</v>
      </c>
      <c r="Y90" s="3">
        <v>3</v>
      </c>
      <c r="Z90">
        <v>85.92</v>
      </c>
      <c r="AA90">
        <v>1.5509999999999999E-2</v>
      </c>
      <c r="AB90">
        <v>0</v>
      </c>
      <c r="AC90">
        <v>0</v>
      </c>
      <c r="AD90">
        <v>85</v>
      </c>
      <c r="AE90">
        <v>4629</v>
      </c>
      <c r="AF90">
        <v>520.79999999999995</v>
      </c>
      <c r="AH90" s="3">
        <v>30</v>
      </c>
      <c r="AI90" s="3">
        <v>3</v>
      </c>
      <c r="AJ90" s="3">
        <v>2</v>
      </c>
      <c r="AO90">
        <v>85.1</v>
      </c>
      <c r="AP90">
        <v>21899.5</v>
      </c>
      <c r="AQ90">
        <v>2710.6</v>
      </c>
    </row>
    <row r="91" spans="1:43" x14ac:dyDescent="0.25">
      <c r="A91" s="3">
        <v>20</v>
      </c>
      <c r="B91" s="3">
        <v>3</v>
      </c>
      <c r="C91" s="3">
        <v>4</v>
      </c>
      <c r="H91">
        <v>0</v>
      </c>
      <c r="I91">
        <v>9.9683008034813112E-4</v>
      </c>
      <c r="J91">
        <v>0</v>
      </c>
      <c r="L91" s="3">
        <v>20</v>
      </c>
      <c r="M91" s="3">
        <v>3</v>
      </c>
      <c r="N91" s="3">
        <v>4</v>
      </c>
      <c r="S91">
        <v>0</v>
      </c>
      <c r="T91">
        <v>0.2000000000007276</v>
      </c>
      <c r="U91">
        <v>0</v>
      </c>
      <c r="W91" s="3">
        <v>20</v>
      </c>
      <c r="X91" s="3">
        <v>3</v>
      </c>
      <c r="Y91" s="3">
        <v>4</v>
      </c>
      <c r="Z91">
        <v>88.72</v>
      </c>
      <c r="AA91">
        <v>1.5509999999999999E-2</v>
      </c>
      <c r="AB91">
        <v>0</v>
      </c>
      <c r="AC91">
        <v>0</v>
      </c>
      <c r="AD91">
        <v>85</v>
      </c>
      <c r="AE91">
        <v>20063.8</v>
      </c>
      <c r="AF91">
        <v>2267.9</v>
      </c>
      <c r="AH91" s="3">
        <v>30</v>
      </c>
      <c r="AI91" s="3">
        <v>3</v>
      </c>
      <c r="AJ91" s="3">
        <v>3</v>
      </c>
      <c r="AO91">
        <v>85.2</v>
      </c>
      <c r="AP91">
        <v>64143.9</v>
      </c>
      <c r="AQ91">
        <v>8049.8</v>
      </c>
    </row>
    <row r="92" spans="1:43" x14ac:dyDescent="0.25">
      <c r="A92" s="3">
        <v>20</v>
      </c>
      <c r="B92" s="3">
        <v>3</v>
      </c>
      <c r="C92" s="3">
        <v>5</v>
      </c>
      <c r="H92">
        <v>0</v>
      </c>
      <c r="I92">
        <v>1.318155215297835E-4</v>
      </c>
      <c r="J92">
        <v>0</v>
      </c>
      <c r="L92" s="3">
        <v>20</v>
      </c>
      <c r="M92" s="3">
        <v>3</v>
      </c>
      <c r="N92" s="3">
        <v>5</v>
      </c>
      <c r="S92">
        <v>0</v>
      </c>
      <c r="T92">
        <v>9.9999999991268851E-2</v>
      </c>
      <c r="U92">
        <v>0</v>
      </c>
      <c r="W92" s="3">
        <v>20</v>
      </c>
      <c r="X92" s="3">
        <v>3</v>
      </c>
      <c r="Y92" s="3">
        <v>5</v>
      </c>
      <c r="Z92">
        <v>98.1</v>
      </c>
      <c r="AA92">
        <v>1.5520000000000001E-2</v>
      </c>
      <c r="AB92">
        <v>0</v>
      </c>
      <c r="AC92">
        <v>0</v>
      </c>
      <c r="AD92">
        <v>85.2</v>
      </c>
      <c r="AE92">
        <v>75863.7</v>
      </c>
      <c r="AF92">
        <v>8717.7999999999993</v>
      </c>
      <c r="AH92" s="3">
        <v>30</v>
      </c>
      <c r="AI92" s="3">
        <v>3</v>
      </c>
      <c r="AJ92" s="3">
        <v>4</v>
      </c>
      <c r="AO92">
        <v>85.5</v>
      </c>
      <c r="AP92">
        <v>166062.70000000001</v>
      </c>
      <c r="AQ92">
        <v>21628.799999999999</v>
      </c>
    </row>
    <row r="93" spans="1:43" x14ac:dyDescent="0.25">
      <c r="A93" s="3">
        <v>20</v>
      </c>
      <c r="B93" s="3">
        <v>3</v>
      </c>
      <c r="C93" s="3">
        <v>6</v>
      </c>
      <c r="H93">
        <v>0</v>
      </c>
      <c r="I93">
        <v>1.2385179068566759E-4</v>
      </c>
      <c r="J93">
        <v>0</v>
      </c>
      <c r="L93" s="3">
        <v>20</v>
      </c>
      <c r="M93" s="3">
        <v>3</v>
      </c>
      <c r="N93" s="3">
        <v>6</v>
      </c>
      <c r="S93">
        <v>0</v>
      </c>
      <c r="T93">
        <v>0.29999999998835852</v>
      </c>
      <c r="U93">
        <v>0</v>
      </c>
      <c r="W93" s="3">
        <v>20</v>
      </c>
      <c r="X93" s="3">
        <v>3</v>
      </c>
      <c r="Y93" s="3">
        <v>6</v>
      </c>
      <c r="Z93">
        <v>123.88</v>
      </c>
      <c r="AA93">
        <v>1.555E-2</v>
      </c>
      <c r="AB93">
        <v>0</v>
      </c>
      <c r="AC93">
        <v>0</v>
      </c>
      <c r="AD93">
        <v>85.6</v>
      </c>
      <c r="AE93">
        <v>242225.3</v>
      </c>
      <c r="AF93">
        <v>29438.400000000001</v>
      </c>
      <c r="AH93" s="3">
        <v>30</v>
      </c>
      <c r="AI93" s="3">
        <v>3</v>
      </c>
      <c r="AJ93" s="3">
        <v>5</v>
      </c>
      <c r="AO93">
        <v>86.3</v>
      </c>
      <c r="AP93">
        <v>371385.59999999998</v>
      </c>
      <c r="AQ93">
        <v>52235</v>
      </c>
    </row>
    <row r="94" spans="1:43" x14ac:dyDescent="0.25">
      <c r="A94" s="3">
        <v>20</v>
      </c>
      <c r="B94" s="3">
        <v>3</v>
      </c>
      <c r="C94" s="3">
        <v>7</v>
      </c>
      <c r="H94">
        <v>0</v>
      </c>
      <c r="I94">
        <v>3.1946478159526529E-5</v>
      </c>
      <c r="J94">
        <v>0</v>
      </c>
      <c r="L94" s="3">
        <v>20</v>
      </c>
      <c r="M94" s="3">
        <v>3</v>
      </c>
      <c r="N94" s="3">
        <v>7</v>
      </c>
      <c r="S94">
        <v>0</v>
      </c>
      <c r="T94">
        <v>0.20000000006984919</v>
      </c>
      <c r="U94">
        <v>0</v>
      </c>
      <c r="W94" s="3">
        <v>20</v>
      </c>
      <c r="X94" s="3">
        <v>3</v>
      </c>
      <c r="Y94" s="3">
        <v>7</v>
      </c>
      <c r="Z94">
        <v>177.59</v>
      </c>
      <c r="AA94">
        <v>1.559E-2</v>
      </c>
      <c r="AB94">
        <v>0</v>
      </c>
      <c r="AC94">
        <v>0</v>
      </c>
      <c r="AD94">
        <v>86.8</v>
      </c>
      <c r="AE94">
        <v>626047.30000000005</v>
      </c>
      <c r="AF94">
        <v>86225.3</v>
      </c>
      <c r="AH94" s="3">
        <v>30</v>
      </c>
      <c r="AI94" s="3">
        <v>3</v>
      </c>
      <c r="AJ94" s="3">
        <v>6</v>
      </c>
      <c r="AO94">
        <v>87.8</v>
      </c>
      <c r="AP94">
        <v>701173.5</v>
      </c>
      <c r="AQ94">
        <v>110574.1</v>
      </c>
    </row>
    <row r="95" spans="1:43" x14ac:dyDescent="0.25">
      <c r="A95" s="3">
        <v>20</v>
      </c>
      <c r="B95" s="3">
        <v>3</v>
      </c>
      <c r="C95" s="3">
        <v>8</v>
      </c>
      <c r="H95">
        <v>0</v>
      </c>
      <c r="I95">
        <v>4.9436469571410712E-5</v>
      </c>
      <c r="J95">
        <v>4.9633974259731989E-5</v>
      </c>
      <c r="L95" s="3">
        <v>20</v>
      </c>
      <c r="M95" s="3">
        <v>3</v>
      </c>
      <c r="N95" s="3">
        <v>8</v>
      </c>
      <c r="S95">
        <v>0</v>
      </c>
      <c r="T95">
        <v>0.60000000009313226</v>
      </c>
      <c r="U95">
        <v>-0.10000000000582079</v>
      </c>
      <c r="W95" s="3">
        <v>20</v>
      </c>
      <c r="X95" s="3">
        <v>3</v>
      </c>
      <c r="Y95" s="3">
        <v>8</v>
      </c>
      <c r="Z95">
        <v>250.81</v>
      </c>
      <c r="AA95">
        <v>1.5650000000000001E-2</v>
      </c>
      <c r="AB95">
        <v>0.1</v>
      </c>
      <c r="AC95">
        <v>0</v>
      </c>
      <c r="AD95">
        <v>89.2</v>
      </c>
      <c r="AE95">
        <v>1213679.5</v>
      </c>
      <c r="AF95">
        <v>201474.8</v>
      </c>
      <c r="AH95" s="3">
        <v>30</v>
      </c>
      <c r="AI95" s="3">
        <v>3</v>
      </c>
      <c r="AJ95" s="3">
        <v>7</v>
      </c>
      <c r="AO95">
        <v>90</v>
      </c>
      <c r="AP95">
        <v>1081736.3</v>
      </c>
      <c r="AQ95">
        <v>195551.9</v>
      </c>
    </row>
    <row r="96" spans="1:43" x14ac:dyDescent="0.25">
      <c r="A96" s="3">
        <v>20</v>
      </c>
      <c r="B96" s="3">
        <v>3</v>
      </c>
      <c r="C96" s="3">
        <v>9</v>
      </c>
      <c r="H96">
        <v>0</v>
      </c>
      <c r="I96">
        <v>3.5002158471871823E-5</v>
      </c>
      <c r="J96">
        <v>6.3397410156088078E-5</v>
      </c>
      <c r="L96" s="3">
        <v>20</v>
      </c>
      <c r="M96" s="3">
        <v>3</v>
      </c>
      <c r="N96" s="3">
        <v>9</v>
      </c>
      <c r="S96">
        <v>0</v>
      </c>
      <c r="T96">
        <v>1.200000000186265</v>
      </c>
      <c r="U96">
        <v>-0.2000000000116415</v>
      </c>
      <c r="W96" s="3">
        <v>20</v>
      </c>
      <c r="X96" s="3">
        <v>3</v>
      </c>
      <c r="Y96" s="3">
        <v>9</v>
      </c>
      <c r="Z96">
        <v>303.8</v>
      </c>
      <c r="AA96">
        <v>1.5709999999999998E-2</v>
      </c>
      <c r="AB96">
        <v>101.9</v>
      </c>
      <c r="AC96">
        <v>4.5</v>
      </c>
      <c r="AD96">
        <v>99.5</v>
      </c>
      <c r="AE96">
        <v>3428361.2</v>
      </c>
      <c r="AF96">
        <v>315470.09999999998</v>
      </c>
      <c r="AH96" s="3">
        <v>30</v>
      </c>
      <c r="AI96" s="3">
        <v>3</v>
      </c>
      <c r="AJ96" s="3">
        <v>8</v>
      </c>
      <c r="AO96">
        <v>92.8</v>
      </c>
      <c r="AP96">
        <v>1402291.5</v>
      </c>
      <c r="AQ96">
        <v>283385.5</v>
      </c>
    </row>
    <row r="97" spans="1:43" x14ac:dyDescent="0.25">
      <c r="A97" s="3">
        <v>20</v>
      </c>
      <c r="B97" s="3">
        <v>3</v>
      </c>
      <c r="C97" s="3">
        <v>10</v>
      </c>
      <c r="H97">
        <v>0</v>
      </c>
      <c r="I97">
        <v>3.623504981099436E-5</v>
      </c>
      <c r="J97">
        <v>2.559709707845406E-5</v>
      </c>
      <c r="L97" s="3">
        <v>20</v>
      </c>
      <c r="M97" s="3">
        <v>3</v>
      </c>
      <c r="N97" s="3">
        <v>10</v>
      </c>
      <c r="S97">
        <v>0</v>
      </c>
      <c r="T97">
        <v>1.5</v>
      </c>
      <c r="U97">
        <v>-9.9999999976716936E-2</v>
      </c>
      <c r="W97" s="3">
        <v>20</v>
      </c>
      <c r="X97" s="3">
        <v>3</v>
      </c>
      <c r="Y97" s="3">
        <v>10</v>
      </c>
      <c r="Z97">
        <v>337.73</v>
      </c>
      <c r="AA97">
        <v>1.5689999999999999E-2</v>
      </c>
      <c r="AB97">
        <v>114</v>
      </c>
      <c r="AC97">
        <v>5.0999999999999996</v>
      </c>
      <c r="AD97">
        <v>105.7</v>
      </c>
      <c r="AE97">
        <v>4139639.8</v>
      </c>
      <c r="AF97">
        <v>390669.2</v>
      </c>
      <c r="AH97" s="3">
        <v>30</v>
      </c>
      <c r="AI97" s="3">
        <v>3</v>
      </c>
      <c r="AJ97" s="3">
        <v>9</v>
      </c>
      <c r="AO97">
        <v>105</v>
      </c>
      <c r="AP97">
        <v>3296231.8</v>
      </c>
      <c r="AQ97">
        <v>353362.8</v>
      </c>
    </row>
    <row r="98" spans="1:43" x14ac:dyDescent="0.25">
      <c r="A98" s="3">
        <v>20</v>
      </c>
      <c r="B98" s="3">
        <v>3</v>
      </c>
      <c r="C98" s="3">
        <v>11</v>
      </c>
      <c r="H98">
        <v>0</v>
      </c>
      <c r="I98">
        <v>5.366151576563648E-6</v>
      </c>
      <c r="J98">
        <v>0</v>
      </c>
      <c r="L98" s="3">
        <v>20</v>
      </c>
      <c r="M98" s="3">
        <v>3</v>
      </c>
      <c r="N98" s="3">
        <v>11</v>
      </c>
      <c r="S98">
        <v>0</v>
      </c>
      <c r="T98">
        <v>0.20000000018626449</v>
      </c>
      <c r="U98">
        <v>0</v>
      </c>
      <c r="W98" s="3">
        <v>20</v>
      </c>
      <c r="X98" s="3">
        <v>3</v>
      </c>
      <c r="Y98" s="3">
        <v>11</v>
      </c>
      <c r="Z98">
        <v>381.96</v>
      </c>
      <c r="AA98">
        <v>1.566E-2</v>
      </c>
      <c r="AB98">
        <v>13447.4</v>
      </c>
      <c r="AC98">
        <v>5.0999999999999996</v>
      </c>
      <c r="AD98">
        <v>175.9</v>
      </c>
      <c r="AE98">
        <v>3727066</v>
      </c>
      <c r="AF98">
        <v>12405838</v>
      </c>
      <c r="AH98" s="3">
        <v>30</v>
      </c>
      <c r="AI98" s="3">
        <v>3</v>
      </c>
      <c r="AJ98" s="3">
        <v>10</v>
      </c>
      <c r="AO98">
        <v>112</v>
      </c>
      <c r="AP98">
        <v>4158428.8</v>
      </c>
      <c r="AQ98">
        <v>460780.1</v>
      </c>
    </row>
    <row r="99" spans="1:43" x14ac:dyDescent="0.25">
      <c r="A99" s="3">
        <v>20</v>
      </c>
      <c r="B99" s="3">
        <v>3</v>
      </c>
      <c r="C99" s="3">
        <v>12</v>
      </c>
      <c r="H99">
        <v>0</v>
      </c>
      <c r="I99">
        <v>0</v>
      </c>
      <c r="J99">
        <v>0</v>
      </c>
      <c r="L99" s="3">
        <v>20</v>
      </c>
      <c r="M99" s="3">
        <v>3</v>
      </c>
      <c r="N99" s="3">
        <v>12</v>
      </c>
      <c r="S99">
        <v>0</v>
      </c>
      <c r="T99">
        <v>0</v>
      </c>
      <c r="U99">
        <v>0</v>
      </c>
      <c r="W99" s="3">
        <v>20</v>
      </c>
      <c r="X99" s="3">
        <v>3</v>
      </c>
      <c r="Y99" s="3">
        <v>12</v>
      </c>
      <c r="Z99">
        <v>93.59</v>
      </c>
      <c r="AA99">
        <v>1.562E-2</v>
      </c>
      <c r="AB99">
        <v>114</v>
      </c>
      <c r="AC99">
        <v>5.0999999999999996</v>
      </c>
      <c r="AD99">
        <v>85.7</v>
      </c>
      <c r="AE99">
        <v>146801.79999999999</v>
      </c>
      <c r="AF99">
        <v>6896.6</v>
      </c>
      <c r="AH99" s="3">
        <v>30</v>
      </c>
      <c r="AI99" s="3">
        <v>3</v>
      </c>
      <c r="AJ99" s="3">
        <v>11</v>
      </c>
      <c r="AO99">
        <v>194.6</v>
      </c>
      <c r="AP99">
        <v>3733574.3</v>
      </c>
      <c r="AQ99">
        <v>12493318</v>
      </c>
    </row>
    <row r="100" spans="1:43" x14ac:dyDescent="0.25">
      <c r="A100" s="3">
        <v>20</v>
      </c>
      <c r="B100" s="3">
        <v>3</v>
      </c>
      <c r="C100" s="3">
        <v>13</v>
      </c>
      <c r="H100">
        <v>0</v>
      </c>
      <c r="I100">
        <v>1.709160673897182E-4</v>
      </c>
      <c r="J100">
        <v>0</v>
      </c>
      <c r="L100" s="3">
        <v>20</v>
      </c>
      <c r="M100" s="3">
        <v>3</v>
      </c>
      <c r="N100" s="3">
        <v>13</v>
      </c>
      <c r="S100">
        <v>0</v>
      </c>
      <c r="T100">
        <v>-0.19999999999708959</v>
      </c>
      <c r="U100">
        <v>0</v>
      </c>
      <c r="W100" s="3">
        <v>20</v>
      </c>
      <c r="X100" s="3">
        <v>3</v>
      </c>
      <c r="Y100" s="3">
        <v>13</v>
      </c>
      <c r="Z100">
        <v>91.12</v>
      </c>
      <c r="AA100">
        <v>1.559E-2</v>
      </c>
      <c r="AB100">
        <v>114</v>
      </c>
      <c r="AC100">
        <v>5.0999999999999996</v>
      </c>
      <c r="AD100">
        <v>85.5</v>
      </c>
      <c r="AE100">
        <v>117016.3</v>
      </c>
      <c r="AF100">
        <v>4833.8999999999996</v>
      </c>
      <c r="AH100" s="3">
        <v>30</v>
      </c>
      <c r="AI100" s="3">
        <v>3</v>
      </c>
      <c r="AJ100" s="3">
        <v>12</v>
      </c>
      <c r="AO100">
        <v>85.9</v>
      </c>
      <c r="AP100">
        <v>146882.79999999999</v>
      </c>
      <c r="AQ100">
        <v>6815.7</v>
      </c>
    </row>
    <row r="101" spans="1:43" x14ac:dyDescent="0.25">
      <c r="A101" s="3">
        <v>20</v>
      </c>
      <c r="B101" s="3">
        <v>3</v>
      </c>
      <c r="C101" s="3">
        <v>14</v>
      </c>
      <c r="H101">
        <v>0</v>
      </c>
      <c r="I101">
        <v>0</v>
      </c>
      <c r="J101">
        <v>0</v>
      </c>
      <c r="L101" s="3">
        <v>20</v>
      </c>
      <c r="M101" s="3">
        <v>3</v>
      </c>
      <c r="N101" s="3">
        <v>14</v>
      </c>
      <c r="S101">
        <v>0</v>
      </c>
      <c r="T101">
        <v>0</v>
      </c>
      <c r="U101">
        <v>0</v>
      </c>
      <c r="W101" s="3">
        <v>20</v>
      </c>
      <c r="X101" s="3">
        <v>3</v>
      </c>
      <c r="Y101" s="3">
        <v>14</v>
      </c>
      <c r="Z101">
        <v>88.25</v>
      </c>
      <c r="AA101">
        <v>1.555E-2</v>
      </c>
      <c r="AB101">
        <v>112.4</v>
      </c>
      <c r="AC101">
        <v>5</v>
      </c>
      <c r="AD101">
        <v>85.3</v>
      </c>
      <c r="AE101">
        <v>72502.899999999994</v>
      </c>
      <c r="AF101">
        <v>2488.6</v>
      </c>
      <c r="AH101" s="3">
        <v>30</v>
      </c>
      <c r="AI101" s="3">
        <v>3</v>
      </c>
      <c r="AJ101" s="3">
        <v>13</v>
      </c>
      <c r="AO101">
        <v>85.7</v>
      </c>
      <c r="AP101">
        <v>117085.2</v>
      </c>
      <c r="AQ101">
        <v>4765.1000000000004</v>
      </c>
    </row>
    <row r="102" spans="1:43" x14ac:dyDescent="0.25">
      <c r="A102" s="3">
        <v>20</v>
      </c>
      <c r="B102" s="3">
        <v>4</v>
      </c>
      <c r="C102" s="3">
        <v>1</v>
      </c>
      <c r="D102">
        <v>0</v>
      </c>
      <c r="E102">
        <v>6.451612903225544E-2</v>
      </c>
      <c r="H102">
        <v>0</v>
      </c>
      <c r="L102" s="3">
        <v>20</v>
      </c>
      <c r="M102" s="3">
        <v>4</v>
      </c>
      <c r="N102" s="3">
        <v>1</v>
      </c>
      <c r="O102">
        <v>0</v>
      </c>
      <c r="P102">
        <v>9.9999999999995925E-6</v>
      </c>
      <c r="S102">
        <v>0</v>
      </c>
      <c r="T102">
        <v>0</v>
      </c>
      <c r="U102">
        <v>0</v>
      </c>
      <c r="W102" s="3">
        <v>20</v>
      </c>
      <c r="X102" s="3">
        <v>4</v>
      </c>
      <c r="Y102" s="3">
        <v>1</v>
      </c>
      <c r="Z102">
        <v>85</v>
      </c>
      <c r="AA102">
        <v>1.5509999999999999E-2</v>
      </c>
      <c r="AB102">
        <v>0.1</v>
      </c>
      <c r="AC102">
        <v>0</v>
      </c>
      <c r="AD102">
        <v>85</v>
      </c>
      <c r="AE102">
        <v>0</v>
      </c>
      <c r="AF102">
        <v>0</v>
      </c>
      <c r="AH102" s="3">
        <v>30</v>
      </c>
      <c r="AI102" s="3">
        <v>3</v>
      </c>
      <c r="AJ102" s="3">
        <v>14</v>
      </c>
      <c r="AO102">
        <v>85.4</v>
      </c>
      <c r="AP102">
        <v>72523.899999999994</v>
      </c>
      <c r="AQ102">
        <v>2467.6</v>
      </c>
    </row>
    <row r="103" spans="1:43" x14ac:dyDescent="0.25">
      <c r="A103" s="3">
        <v>20</v>
      </c>
      <c r="B103" s="3">
        <v>4</v>
      </c>
      <c r="C103" s="3">
        <v>2</v>
      </c>
      <c r="H103">
        <v>0</v>
      </c>
      <c r="L103" s="3">
        <v>20</v>
      </c>
      <c r="M103" s="3">
        <v>4</v>
      </c>
      <c r="N103" s="3">
        <v>2</v>
      </c>
      <c r="S103">
        <v>0</v>
      </c>
      <c r="T103">
        <v>0</v>
      </c>
      <c r="U103">
        <v>0</v>
      </c>
      <c r="W103" s="3">
        <v>20</v>
      </c>
      <c r="X103" s="3">
        <v>4</v>
      </c>
      <c r="Y103" s="3">
        <v>2</v>
      </c>
      <c r="Z103">
        <v>85</v>
      </c>
      <c r="AA103">
        <v>1.5509999999999999E-2</v>
      </c>
      <c r="AB103">
        <v>0.1</v>
      </c>
      <c r="AC103">
        <v>0</v>
      </c>
      <c r="AD103">
        <v>85</v>
      </c>
      <c r="AE103">
        <v>0</v>
      </c>
      <c r="AF103">
        <v>0</v>
      </c>
      <c r="AH103" s="3">
        <v>30</v>
      </c>
      <c r="AI103" s="3">
        <v>4</v>
      </c>
      <c r="AJ103" s="3">
        <v>1</v>
      </c>
      <c r="AK103">
        <v>85</v>
      </c>
      <c r="AL103">
        <v>1.55E-2</v>
      </c>
      <c r="AO103">
        <v>85</v>
      </c>
      <c r="AP103">
        <v>0</v>
      </c>
      <c r="AQ103">
        <v>0</v>
      </c>
    </row>
    <row r="104" spans="1:43" x14ac:dyDescent="0.25">
      <c r="A104" s="3">
        <v>20</v>
      </c>
      <c r="B104" s="3">
        <v>5</v>
      </c>
      <c r="C104" s="3">
        <v>1</v>
      </c>
      <c r="D104">
        <v>1.1764705882358961E-2</v>
      </c>
      <c r="E104">
        <v>6.451612903225544E-2</v>
      </c>
      <c r="L104" s="3">
        <v>20</v>
      </c>
      <c r="M104" s="3">
        <v>5</v>
      </c>
      <c r="N104" s="3">
        <v>1</v>
      </c>
      <c r="O104">
        <v>1.0000000000005119E-2</v>
      </c>
      <c r="P104">
        <v>9.9999999999995925E-6</v>
      </c>
      <c r="W104" s="3">
        <v>20</v>
      </c>
      <c r="X104" s="3">
        <v>5</v>
      </c>
      <c r="Y104" s="3">
        <v>1</v>
      </c>
      <c r="Z104">
        <v>85.01</v>
      </c>
      <c r="AA104">
        <v>1.5509999999999999E-2</v>
      </c>
      <c r="AH104" s="3">
        <v>30</v>
      </c>
      <c r="AI104" s="3">
        <v>4</v>
      </c>
      <c r="AJ104" s="3">
        <v>2</v>
      </c>
      <c r="AO104">
        <v>85</v>
      </c>
      <c r="AP104">
        <v>0</v>
      </c>
      <c r="AQ104">
        <v>0</v>
      </c>
    </row>
    <row r="105" spans="1:43" x14ac:dyDescent="0.25">
      <c r="A105" s="3">
        <v>20</v>
      </c>
      <c r="B105" s="3">
        <v>5</v>
      </c>
      <c r="C105" s="3">
        <v>2</v>
      </c>
      <c r="L105" s="3">
        <v>20</v>
      </c>
      <c r="M105" s="3">
        <v>5</v>
      </c>
      <c r="N105" s="3">
        <v>2</v>
      </c>
      <c r="W105" s="3">
        <v>20</v>
      </c>
      <c r="X105" s="3">
        <v>5</v>
      </c>
      <c r="Y105" s="3">
        <v>2</v>
      </c>
      <c r="Z105">
        <v>85</v>
      </c>
      <c r="AA105">
        <v>1.5509999999999999E-2</v>
      </c>
      <c r="AH105" s="3">
        <v>30</v>
      </c>
      <c r="AI105" s="3">
        <v>5</v>
      </c>
      <c r="AJ105" s="3">
        <v>1</v>
      </c>
      <c r="AK105">
        <v>85</v>
      </c>
      <c r="AL105">
        <v>1.55E-2</v>
      </c>
    </row>
    <row r="106" spans="1:43" x14ac:dyDescent="0.25">
      <c r="A106" s="3">
        <v>30</v>
      </c>
      <c r="B106" s="3">
        <v>1</v>
      </c>
      <c r="C106" s="3">
        <v>1</v>
      </c>
      <c r="D106">
        <v>1.1764705882358961E-2</v>
      </c>
      <c r="E106">
        <v>6.451612903225544E-2</v>
      </c>
      <c r="L106" s="3">
        <v>30</v>
      </c>
      <c r="M106" s="3">
        <v>1</v>
      </c>
      <c r="N106" s="3">
        <v>1</v>
      </c>
      <c r="O106">
        <v>1.0000000000005119E-2</v>
      </c>
      <c r="P106">
        <v>9.9999999999995925E-6</v>
      </c>
      <c r="W106" s="3">
        <v>30</v>
      </c>
      <c r="X106" s="3">
        <v>1</v>
      </c>
      <c r="Y106" s="3">
        <v>1</v>
      </c>
      <c r="Z106">
        <v>85.01</v>
      </c>
      <c r="AA106">
        <v>1.5509999999999999E-2</v>
      </c>
      <c r="AB106">
        <v>0.8</v>
      </c>
      <c r="AC106">
        <v>0</v>
      </c>
      <c r="AH106" s="3">
        <v>40</v>
      </c>
      <c r="AI106" s="3">
        <v>1</v>
      </c>
      <c r="AJ106" s="3">
        <v>1</v>
      </c>
      <c r="AK106">
        <v>85</v>
      </c>
      <c r="AL106">
        <v>1.55E-2</v>
      </c>
    </row>
    <row r="107" spans="1:43" x14ac:dyDescent="0.25">
      <c r="A107" s="3">
        <v>30</v>
      </c>
      <c r="B107" s="3">
        <v>1</v>
      </c>
      <c r="C107" s="3">
        <v>2</v>
      </c>
      <c r="L107" s="3">
        <v>30</v>
      </c>
      <c r="M107" s="3">
        <v>1</v>
      </c>
      <c r="N107" s="3">
        <v>2</v>
      </c>
      <c r="W107" s="3">
        <v>30</v>
      </c>
      <c r="X107" s="3">
        <v>1</v>
      </c>
      <c r="Y107" s="3">
        <v>2</v>
      </c>
      <c r="Z107">
        <v>85.02</v>
      </c>
      <c r="AA107">
        <v>1.5509999999999999E-2</v>
      </c>
      <c r="AB107">
        <v>0.8</v>
      </c>
      <c r="AC107">
        <v>0</v>
      </c>
      <c r="AH107" s="3">
        <v>40</v>
      </c>
      <c r="AI107" s="3">
        <v>2</v>
      </c>
      <c r="AJ107" s="3">
        <v>1</v>
      </c>
      <c r="AK107">
        <v>85.1</v>
      </c>
      <c r="AL107">
        <v>1.55E-2</v>
      </c>
      <c r="AO107">
        <v>85</v>
      </c>
      <c r="AP107">
        <v>2699.1</v>
      </c>
      <c r="AQ107">
        <v>356.8</v>
      </c>
    </row>
    <row r="108" spans="1:43" x14ac:dyDescent="0.25">
      <c r="A108" s="3">
        <v>30</v>
      </c>
      <c r="B108" s="3">
        <v>1</v>
      </c>
      <c r="C108" s="3">
        <v>3</v>
      </c>
      <c r="L108" s="3">
        <v>30</v>
      </c>
      <c r="M108" s="3">
        <v>1</v>
      </c>
      <c r="N108" s="3">
        <v>3</v>
      </c>
      <c r="W108" s="3">
        <v>30</v>
      </c>
      <c r="X108" s="3">
        <v>1</v>
      </c>
      <c r="Y108" s="3">
        <v>3</v>
      </c>
      <c r="Z108">
        <v>85.02</v>
      </c>
      <c r="AA108">
        <v>1.5509999999999999E-2</v>
      </c>
      <c r="AB108">
        <v>0.8</v>
      </c>
      <c r="AC108">
        <v>0</v>
      </c>
      <c r="AH108" s="3">
        <v>40</v>
      </c>
      <c r="AI108" s="3">
        <v>2</v>
      </c>
      <c r="AJ108" s="3">
        <v>2</v>
      </c>
      <c r="AO108">
        <v>85</v>
      </c>
      <c r="AP108">
        <v>20790.599999999999</v>
      </c>
      <c r="AQ108">
        <v>2754.5</v>
      </c>
    </row>
    <row r="109" spans="1:43" x14ac:dyDescent="0.25">
      <c r="A109" s="3">
        <v>30</v>
      </c>
      <c r="B109" s="3">
        <v>1</v>
      </c>
      <c r="C109" s="3">
        <v>4</v>
      </c>
      <c r="L109" s="3">
        <v>30</v>
      </c>
      <c r="M109" s="3">
        <v>1</v>
      </c>
      <c r="N109" s="3">
        <v>4</v>
      </c>
      <c r="W109" s="3">
        <v>30</v>
      </c>
      <c r="X109" s="3">
        <v>1</v>
      </c>
      <c r="Y109" s="3">
        <v>4</v>
      </c>
      <c r="Z109">
        <v>85.02</v>
      </c>
      <c r="AA109">
        <v>1.5509999999999999E-2</v>
      </c>
      <c r="AB109">
        <v>0.8</v>
      </c>
      <c r="AC109">
        <v>0</v>
      </c>
      <c r="AH109" s="3">
        <v>40</v>
      </c>
      <c r="AI109" s="3">
        <v>3</v>
      </c>
      <c r="AJ109" s="3">
        <v>1</v>
      </c>
      <c r="AK109">
        <v>92.6</v>
      </c>
      <c r="AL109">
        <v>1.55E-2</v>
      </c>
      <c r="AO109">
        <v>85.1</v>
      </c>
      <c r="AP109">
        <v>42364.5</v>
      </c>
      <c r="AQ109">
        <v>5566.7</v>
      </c>
    </row>
    <row r="110" spans="1:43" x14ac:dyDescent="0.25">
      <c r="A110" s="3">
        <v>30</v>
      </c>
      <c r="B110" s="3">
        <v>1</v>
      </c>
      <c r="C110" s="3">
        <v>5</v>
      </c>
      <c r="L110" s="3">
        <v>30</v>
      </c>
      <c r="M110" s="3">
        <v>1</v>
      </c>
      <c r="N110" s="3">
        <v>5</v>
      </c>
      <c r="W110" s="3">
        <v>30</v>
      </c>
      <c r="X110" s="3">
        <v>1</v>
      </c>
      <c r="Y110" s="3">
        <v>5</v>
      </c>
      <c r="Z110">
        <v>85.02</v>
      </c>
      <c r="AA110">
        <v>1.5509999999999999E-2</v>
      </c>
      <c r="AB110">
        <v>0.8</v>
      </c>
      <c r="AC110">
        <v>0</v>
      </c>
      <c r="AH110" s="3">
        <v>40</v>
      </c>
      <c r="AI110" s="3">
        <v>3</v>
      </c>
      <c r="AJ110" s="3">
        <v>2</v>
      </c>
      <c r="AO110">
        <v>85.4</v>
      </c>
      <c r="AP110">
        <v>101897.8</v>
      </c>
      <c r="AQ110">
        <v>13671.6</v>
      </c>
    </row>
    <row r="111" spans="1:43" x14ac:dyDescent="0.25">
      <c r="A111" s="3">
        <v>30</v>
      </c>
      <c r="B111" s="3">
        <v>1</v>
      </c>
      <c r="C111" s="3">
        <v>6</v>
      </c>
      <c r="L111" s="3">
        <v>30</v>
      </c>
      <c r="M111" s="3">
        <v>1</v>
      </c>
      <c r="N111" s="3">
        <v>6</v>
      </c>
      <c r="W111" s="3">
        <v>30</v>
      </c>
      <c r="X111" s="3">
        <v>1</v>
      </c>
      <c r="Y111" s="3">
        <v>6</v>
      </c>
      <c r="Z111">
        <v>85.02</v>
      </c>
      <c r="AA111">
        <v>1.5509999999999999E-2</v>
      </c>
      <c r="AB111">
        <v>0.8</v>
      </c>
      <c r="AC111">
        <v>0</v>
      </c>
      <c r="AH111" s="3">
        <v>40</v>
      </c>
      <c r="AI111" s="3">
        <v>3</v>
      </c>
      <c r="AJ111" s="3">
        <v>3</v>
      </c>
      <c r="AO111">
        <v>85.8</v>
      </c>
      <c r="AP111">
        <v>219133.3</v>
      </c>
      <c r="AQ111">
        <v>30843.200000000001</v>
      </c>
    </row>
    <row r="112" spans="1:43" x14ac:dyDescent="0.25">
      <c r="A112" s="3">
        <v>30</v>
      </c>
      <c r="B112" s="3">
        <v>1</v>
      </c>
      <c r="C112" s="3">
        <v>7</v>
      </c>
      <c r="L112" s="3">
        <v>30</v>
      </c>
      <c r="M112" s="3">
        <v>1</v>
      </c>
      <c r="N112" s="3">
        <v>7</v>
      </c>
      <c r="W112" s="3">
        <v>30</v>
      </c>
      <c r="X112" s="3">
        <v>1</v>
      </c>
      <c r="Y112" s="3">
        <v>7</v>
      </c>
      <c r="Z112">
        <v>85.02</v>
      </c>
      <c r="AA112">
        <v>1.5509999999999999E-2</v>
      </c>
      <c r="AB112">
        <v>0.8</v>
      </c>
      <c r="AC112">
        <v>0</v>
      </c>
      <c r="AH112" s="3">
        <v>40</v>
      </c>
      <c r="AI112" s="3">
        <v>3</v>
      </c>
      <c r="AJ112" s="3">
        <v>4</v>
      </c>
      <c r="AO112">
        <v>86.7</v>
      </c>
      <c r="AP112">
        <v>416766</v>
      </c>
      <c r="AQ112">
        <v>63356.9</v>
      </c>
    </row>
    <row r="113" spans="1:43" x14ac:dyDescent="0.25">
      <c r="A113" s="3">
        <v>30</v>
      </c>
      <c r="B113" s="3">
        <v>1</v>
      </c>
      <c r="C113" s="3">
        <v>8</v>
      </c>
      <c r="L113" s="3">
        <v>30</v>
      </c>
      <c r="M113" s="3">
        <v>1</v>
      </c>
      <c r="N113" s="3">
        <v>8</v>
      </c>
      <c r="W113" s="3">
        <v>30</v>
      </c>
      <c r="X113" s="3">
        <v>1</v>
      </c>
      <c r="Y113" s="3">
        <v>8</v>
      </c>
      <c r="Z113">
        <v>85.02</v>
      </c>
      <c r="AA113">
        <v>1.5509999999999999E-2</v>
      </c>
      <c r="AB113">
        <v>0.8</v>
      </c>
      <c r="AC113">
        <v>0</v>
      </c>
      <c r="AH113" s="3">
        <v>40</v>
      </c>
      <c r="AI113" s="3">
        <v>3</v>
      </c>
      <c r="AJ113" s="3">
        <v>5</v>
      </c>
      <c r="AO113">
        <v>88.2</v>
      </c>
      <c r="AP113">
        <v>691183.4</v>
      </c>
      <c r="AQ113">
        <v>116106</v>
      </c>
    </row>
    <row r="114" spans="1:43" x14ac:dyDescent="0.25">
      <c r="A114" s="3">
        <v>30</v>
      </c>
      <c r="B114" s="3">
        <v>1</v>
      </c>
      <c r="C114" s="3">
        <v>9</v>
      </c>
      <c r="L114" s="3">
        <v>30</v>
      </c>
      <c r="M114" s="3">
        <v>1</v>
      </c>
      <c r="N114" s="3">
        <v>9</v>
      </c>
      <c r="W114" s="3">
        <v>30</v>
      </c>
      <c r="X114" s="3">
        <v>1</v>
      </c>
      <c r="Y114" s="3">
        <v>9</v>
      </c>
      <c r="Z114">
        <v>85.02</v>
      </c>
      <c r="AA114">
        <v>1.5509999999999999E-2</v>
      </c>
      <c r="AB114">
        <v>0.8</v>
      </c>
      <c r="AC114">
        <v>0</v>
      </c>
      <c r="AH114" s="3">
        <v>40</v>
      </c>
      <c r="AI114" s="3">
        <v>3</v>
      </c>
      <c r="AJ114" s="3">
        <v>6</v>
      </c>
      <c r="AO114">
        <v>90.3</v>
      </c>
      <c r="AP114">
        <v>985931</v>
      </c>
      <c r="AQ114">
        <v>185522.1</v>
      </c>
    </row>
    <row r="115" spans="1:43" x14ac:dyDescent="0.25">
      <c r="A115" s="3">
        <v>30</v>
      </c>
      <c r="B115" s="3">
        <v>1</v>
      </c>
      <c r="C115" s="3">
        <v>10</v>
      </c>
      <c r="L115" s="3">
        <v>30</v>
      </c>
      <c r="M115" s="3">
        <v>1</v>
      </c>
      <c r="N115" s="3">
        <v>10</v>
      </c>
      <c r="W115" s="3">
        <v>30</v>
      </c>
      <c r="X115" s="3">
        <v>1</v>
      </c>
      <c r="Y115" s="3">
        <v>10</v>
      </c>
      <c r="Z115">
        <v>85.02</v>
      </c>
      <c r="AA115">
        <v>1.5509999999999999E-2</v>
      </c>
      <c r="AB115">
        <v>0.8</v>
      </c>
      <c r="AC115">
        <v>0</v>
      </c>
      <c r="AH115" s="3">
        <v>40</v>
      </c>
      <c r="AI115" s="3">
        <v>3</v>
      </c>
      <c r="AJ115" s="3">
        <v>7</v>
      </c>
      <c r="AO115">
        <v>92.8</v>
      </c>
      <c r="AP115">
        <v>1249808.6000000001</v>
      </c>
      <c r="AQ115">
        <v>259557.5</v>
      </c>
    </row>
    <row r="116" spans="1:43" x14ac:dyDescent="0.25">
      <c r="A116" s="3">
        <v>30</v>
      </c>
      <c r="B116" s="3">
        <v>2</v>
      </c>
      <c r="C116" s="3">
        <v>1</v>
      </c>
      <c r="D116">
        <v>1.1764705882358961E-2</v>
      </c>
      <c r="E116">
        <v>6.451612903225544E-2</v>
      </c>
      <c r="H116">
        <v>0</v>
      </c>
      <c r="L116" s="3">
        <v>30</v>
      </c>
      <c r="M116" s="3">
        <v>2</v>
      </c>
      <c r="N116" s="3">
        <v>1</v>
      </c>
      <c r="O116">
        <v>1.0000000000005119E-2</v>
      </c>
      <c r="P116">
        <v>9.9999999999995925E-6</v>
      </c>
      <c r="S116">
        <v>0</v>
      </c>
      <c r="T116">
        <v>0</v>
      </c>
      <c r="U116">
        <v>0</v>
      </c>
      <c r="W116" s="3">
        <v>30</v>
      </c>
      <c r="X116" s="3">
        <v>2</v>
      </c>
      <c r="Y116" s="3">
        <v>1</v>
      </c>
      <c r="Z116">
        <v>85.01</v>
      </c>
      <c r="AA116">
        <v>1.5509999999999999E-2</v>
      </c>
      <c r="AB116">
        <v>0.1</v>
      </c>
      <c r="AC116">
        <v>0</v>
      </c>
      <c r="AD116">
        <v>85</v>
      </c>
      <c r="AE116">
        <v>0</v>
      </c>
      <c r="AF116">
        <v>0</v>
      </c>
      <c r="AH116" s="3">
        <v>40</v>
      </c>
      <c r="AI116" s="3">
        <v>3</v>
      </c>
      <c r="AJ116" s="3">
        <v>8</v>
      </c>
      <c r="AO116">
        <v>95.5</v>
      </c>
      <c r="AP116">
        <v>1475498.3</v>
      </c>
      <c r="AQ116">
        <v>332701</v>
      </c>
    </row>
    <row r="117" spans="1:43" x14ac:dyDescent="0.25">
      <c r="A117" s="3">
        <v>30</v>
      </c>
      <c r="B117" s="3">
        <v>2</v>
      </c>
      <c r="C117" s="3">
        <v>2</v>
      </c>
      <c r="H117">
        <v>0</v>
      </c>
      <c r="L117" s="3">
        <v>30</v>
      </c>
      <c r="M117" s="3">
        <v>2</v>
      </c>
      <c r="N117" s="3">
        <v>2</v>
      </c>
      <c r="S117">
        <v>0</v>
      </c>
      <c r="T117">
        <v>0</v>
      </c>
      <c r="U117">
        <v>0</v>
      </c>
      <c r="W117" s="3">
        <v>30</v>
      </c>
      <c r="X117" s="3">
        <v>2</v>
      </c>
      <c r="Y117" s="3">
        <v>2</v>
      </c>
      <c r="Z117">
        <v>85.13</v>
      </c>
      <c r="AA117">
        <v>1.5509999999999999E-2</v>
      </c>
      <c r="AB117">
        <v>0.1</v>
      </c>
      <c r="AC117">
        <v>0</v>
      </c>
      <c r="AD117">
        <v>85</v>
      </c>
      <c r="AE117">
        <v>0</v>
      </c>
      <c r="AF117">
        <v>0</v>
      </c>
      <c r="AH117" s="3">
        <v>40</v>
      </c>
      <c r="AI117" s="3">
        <v>3</v>
      </c>
      <c r="AJ117" s="3">
        <v>9</v>
      </c>
      <c r="AO117">
        <v>109.8</v>
      </c>
      <c r="AP117">
        <v>3407279</v>
      </c>
      <c r="AQ117">
        <v>402321</v>
      </c>
    </row>
    <row r="118" spans="1:43" x14ac:dyDescent="0.25">
      <c r="A118" s="3">
        <v>30</v>
      </c>
      <c r="B118" s="3">
        <v>3</v>
      </c>
      <c r="C118" s="3">
        <v>1</v>
      </c>
      <c r="D118">
        <v>4.6349942062563203E-2</v>
      </c>
      <c r="E118">
        <v>6.451612903225544E-2</v>
      </c>
      <c r="H118">
        <v>0</v>
      </c>
      <c r="I118">
        <v>0</v>
      </c>
      <c r="J118">
        <v>0</v>
      </c>
      <c r="L118" s="3">
        <v>30</v>
      </c>
      <c r="M118" s="3">
        <v>3</v>
      </c>
      <c r="N118" s="3">
        <v>1</v>
      </c>
      <c r="O118">
        <v>-3.9999999999992042E-2</v>
      </c>
      <c r="P118">
        <v>9.9999999999995925E-6</v>
      </c>
      <c r="S118">
        <v>0</v>
      </c>
      <c r="T118">
        <v>0</v>
      </c>
      <c r="U118">
        <v>0</v>
      </c>
      <c r="W118" s="3">
        <v>30</v>
      </c>
      <c r="X118" s="3">
        <v>3</v>
      </c>
      <c r="Y118" s="3">
        <v>1</v>
      </c>
      <c r="Z118">
        <v>86.26</v>
      </c>
      <c r="AA118">
        <v>1.5509999999999999E-2</v>
      </c>
      <c r="AB118">
        <v>0</v>
      </c>
      <c r="AC118">
        <v>0</v>
      </c>
      <c r="AD118">
        <v>85</v>
      </c>
      <c r="AE118">
        <v>6734.2</v>
      </c>
      <c r="AF118">
        <v>829.4</v>
      </c>
      <c r="AH118" s="3">
        <v>40</v>
      </c>
      <c r="AI118" s="3">
        <v>3</v>
      </c>
      <c r="AJ118" s="3">
        <v>10</v>
      </c>
      <c r="AO118">
        <v>117.7</v>
      </c>
      <c r="AP118">
        <v>4241850</v>
      </c>
      <c r="AQ118">
        <v>525003.30000000005</v>
      </c>
    </row>
    <row r="119" spans="1:43" x14ac:dyDescent="0.25">
      <c r="A119" s="3">
        <v>30</v>
      </c>
      <c r="B119" s="3">
        <v>3</v>
      </c>
      <c r="C119" s="3">
        <v>2</v>
      </c>
      <c r="H119">
        <v>0</v>
      </c>
      <c r="I119">
        <v>0</v>
      </c>
      <c r="J119">
        <v>0</v>
      </c>
      <c r="L119" s="3">
        <v>30</v>
      </c>
      <c r="M119" s="3">
        <v>3</v>
      </c>
      <c r="N119" s="3">
        <v>2</v>
      </c>
      <c r="S119">
        <v>0</v>
      </c>
      <c r="T119">
        <v>0</v>
      </c>
      <c r="U119">
        <v>0</v>
      </c>
      <c r="W119" s="3">
        <v>30</v>
      </c>
      <c r="X119" s="3">
        <v>3</v>
      </c>
      <c r="Y119" s="3">
        <v>2</v>
      </c>
      <c r="Z119">
        <v>88.95</v>
      </c>
      <c r="AA119">
        <v>1.5509999999999999E-2</v>
      </c>
      <c r="AB119">
        <v>0</v>
      </c>
      <c r="AC119">
        <v>0</v>
      </c>
      <c r="AD119">
        <v>85.1</v>
      </c>
      <c r="AE119">
        <v>21899.5</v>
      </c>
      <c r="AF119">
        <v>2710.6</v>
      </c>
      <c r="AH119" s="3">
        <v>40</v>
      </c>
      <c r="AI119" s="3">
        <v>3</v>
      </c>
      <c r="AJ119" s="3">
        <v>11</v>
      </c>
      <c r="AO119">
        <v>211.1</v>
      </c>
      <c r="AP119">
        <v>3705279.3</v>
      </c>
      <c r="AQ119">
        <v>12555501</v>
      </c>
    </row>
    <row r="120" spans="1:43" x14ac:dyDescent="0.25">
      <c r="A120" s="3">
        <v>30</v>
      </c>
      <c r="B120" s="3">
        <v>3</v>
      </c>
      <c r="C120" s="3">
        <v>3</v>
      </c>
      <c r="H120">
        <v>0</v>
      </c>
      <c r="I120">
        <v>1.5589946978363461E-4</v>
      </c>
      <c r="J120">
        <v>0</v>
      </c>
      <c r="L120" s="3">
        <v>30</v>
      </c>
      <c r="M120" s="3">
        <v>3</v>
      </c>
      <c r="N120" s="3">
        <v>3</v>
      </c>
      <c r="S120">
        <v>0</v>
      </c>
      <c r="T120">
        <v>9.9999999998544808E-2</v>
      </c>
      <c r="U120">
        <v>0</v>
      </c>
      <c r="W120" s="3">
        <v>30</v>
      </c>
      <c r="X120" s="3">
        <v>3</v>
      </c>
      <c r="Y120" s="3">
        <v>3</v>
      </c>
      <c r="Z120">
        <v>96.14</v>
      </c>
      <c r="AA120">
        <v>1.5520000000000001E-2</v>
      </c>
      <c r="AB120">
        <v>0</v>
      </c>
      <c r="AC120">
        <v>0</v>
      </c>
      <c r="AD120">
        <v>85.2</v>
      </c>
      <c r="AE120">
        <v>64144</v>
      </c>
      <c r="AF120">
        <v>8049.8</v>
      </c>
      <c r="AH120" s="3">
        <v>40</v>
      </c>
      <c r="AI120" s="3">
        <v>3</v>
      </c>
      <c r="AJ120" s="3">
        <v>12</v>
      </c>
      <c r="AO120">
        <v>86.1</v>
      </c>
      <c r="AP120">
        <v>146941.70000000001</v>
      </c>
      <c r="AQ120">
        <v>6756.8</v>
      </c>
    </row>
    <row r="121" spans="1:43" x14ac:dyDescent="0.25">
      <c r="A121" s="3">
        <v>30</v>
      </c>
      <c r="B121" s="3">
        <v>3</v>
      </c>
      <c r="C121" s="3">
        <v>4</v>
      </c>
      <c r="H121">
        <v>0</v>
      </c>
      <c r="I121">
        <v>1.2043643755192331E-4</v>
      </c>
      <c r="J121">
        <v>0</v>
      </c>
      <c r="L121" s="3">
        <v>30</v>
      </c>
      <c r="M121" s="3">
        <v>3</v>
      </c>
      <c r="N121" s="3">
        <v>4</v>
      </c>
      <c r="S121">
        <v>0</v>
      </c>
      <c r="T121">
        <v>0.1999999999825377</v>
      </c>
      <c r="U121">
        <v>0</v>
      </c>
      <c r="W121" s="3">
        <v>30</v>
      </c>
      <c r="X121" s="3">
        <v>3</v>
      </c>
      <c r="Y121" s="3">
        <v>4</v>
      </c>
      <c r="Z121">
        <v>112.74</v>
      </c>
      <c r="AA121">
        <v>1.554E-2</v>
      </c>
      <c r="AB121">
        <v>0</v>
      </c>
      <c r="AC121">
        <v>0</v>
      </c>
      <c r="AD121">
        <v>85.5</v>
      </c>
      <c r="AE121">
        <v>166062.9</v>
      </c>
      <c r="AF121">
        <v>21628.799999999999</v>
      </c>
      <c r="AH121" s="3">
        <v>40</v>
      </c>
      <c r="AI121" s="3">
        <v>3</v>
      </c>
      <c r="AJ121" s="3">
        <v>13</v>
      </c>
      <c r="AO121">
        <v>85.9</v>
      </c>
      <c r="AP121">
        <v>117145</v>
      </c>
      <c r="AQ121">
        <v>4705.3</v>
      </c>
    </row>
    <row r="122" spans="1:43" x14ac:dyDescent="0.25">
      <c r="A122" s="3">
        <v>30</v>
      </c>
      <c r="B122" s="3">
        <v>3</v>
      </c>
      <c r="C122" s="3">
        <v>5</v>
      </c>
      <c r="H122">
        <v>0</v>
      </c>
      <c r="I122">
        <v>5.3852384155885839E-5</v>
      </c>
      <c r="J122">
        <v>0</v>
      </c>
      <c r="L122" s="3">
        <v>30</v>
      </c>
      <c r="M122" s="3">
        <v>3</v>
      </c>
      <c r="N122" s="3">
        <v>5</v>
      </c>
      <c r="S122">
        <v>0</v>
      </c>
      <c r="T122">
        <v>0.2000000000116415</v>
      </c>
      <c r="U122">
        <v>0</v>
      </c>
      <c r="W122" s="3">
        <v>30</v>
      </c>
      <c r="X122" s="3">
        <v>3</v>
      </c>
      <c r="Y122" s="3">
        <v>5</v>
      </c>
      <c r="Z122">
        <v>144.61000000000001</v>
      </c>
      <c r="AA122">
        <v>1.5570000000000001E-2</v>
      </c>
      <c r="AB122">
        <v>0</v>
      </c>
      <c r="AC122">
        <v>0</v>
      </c>
      <c r="AD122">
        <v>86.3</v>
      </c>
      <c r="AE122">
        <v>371385.8</v>
      </c>
      <c r="AF122">
        <v>52235</v>
      </c>
      <c r="AH122" s="3">
        <v>40</v>
      </c>
      <c r="AI122" s="3">
        <v>3</v>
      </c>
      <c r="AJ122" s="3">
        <v>14</v>
      </c>
      <c r="AO122">
        <v>85.5</v>
      </c>
      <c r="AP122">
        <v>72572</v>
      </c>
      <c r="AQ122">
        <v>2419.5</v>
      </c>
    </row>
    <row r="123" spans="1:43" x14ac:dyDescent="0.25">
      <c r="A123" s="3">
        <v>30</v>
      </c>
      <c r="B123" s="3">
        <v>3</v>
      </c>
      <c r="C123" s="3">
        <v>6</v>
      </c>
      <c r="H123">
        <v>0</v>
      </c>
      <c r="I123">
        <v>2.852361076872327E-5</v>
      </c>
      <c r="J123">
        <v>0</v>
      </c>
      <c r="L123" s="3">
        <v>30</v>
      </c>
      <c r="M123" s="3">
        <v>3</v>
      </c>
      <c r="N123" s="3">
        <v>6</v>
      </c>
      <c r="S123">
        <v>0</v>
      </c>
      <c r="T123">
        <v>0.1999999999534339</v>
      </c>
      <c r="U123">
        <v>0</v>
      </c>
      <c r="W123" s="3">
        <v>30</v>
      </c>
      <c r="X123" s="3">
        <v>3</v>
      </c>
      <c r="Y123" s="3">
        <v>6</v>
      </c>
      <c r="Z123">
        <v>192.49</v>
      </c>
      <c r="AA123">
        <v>1.562E-2</v>
      </c>
      <c r="AB123">
        <v>0</v>
      </c>
      <c r="AC123">
        <v>0</v>
      </c>
      <c r="AD123">
        <v>87.8</v>
      </c>
      <c r="AE123">
        <v>701173.7</v>
      </c>
      <c r="AF123">
        <v>110574.1</v>
      </c>
      <c r="AH123" s="3">
        <v>40</v>
      </c>
      <c r="AI123" s="3">
        <v>4</v>
      </c>
      <c r="AJ123" s="3">
        <v>1</v>
      </c>
      <c r="AK123">
        <v>85</v>
      </c>
      <c r="AL123">
        <v>1.55E-2</v>
      </c>
      <c r="AO123">
        <v>85</v>
      </c>
      <c r="AP123">
        <v>0</v>
      </c>
      <c r="AQ123">
        <v>0</v>
      </c>
    </row>
    <row r="124" spans="1:43" x14ac:dyDescent="0.25">
      <c r="A124" s="3">
        <v>30</v>
      </c>
      <c r="B124" s="3">
        <v>3</v>
      </c>
      <c r="C124" s="3">
        <v>7</v>
      </c>
      <c r="H124">
        <v>0</v>
      </c>
      <c r="I124">
        <v>1.8488794353432892E-5</v>
      </c>
      <c r="J124">
        <v>5.1137319558552358E-5</v>
      </c>
      <c r="L124" s="3">
        <v>30</v>
      </c>
      <c r="M124" s="3">
        <v>3</v>
      </c>
      <c r="N124" s="3">
        <v>7</v>
      </c>
      <c r="S124">
        <v>0</v>
      </c>
      <c r="T124">
        <v>0.1999999999534339</v>
      </c>
      <c r="U124">
        <v>-0.10000000000582079</v>
      </c>
      <c r="W124" s="3">
        <v>30</v>
      </c>
      <c r="X124" s="3">
        <v>3</v>
      </c>
      <c r="Y124" s="3">
        <v>7</v>
      </c>
      <c r="Z124">
        <v>245.42</v>
      </c>
      <c r="AA124">
        <v>1.567E-2</v>
      </c>
      <c r="AB124">
        <v>0</v>
      </c>
      <c r="AC124">
        <v>0</v>
      </c>
      <c r="AD124">
        <v>90</v>
      </c>
      <c r="AE124">
        <v>1081736.5</v>
      </c>
      <c r="AF124">
        <v>195551.8</v>
      </c>
      <c r="AH124" s="3">
        <v>40</v>
      </c>
      <c r="AI124" s="3">
        <v>4</v>
      </c>
      <c r="AJ124" s="3">
        <v>2</v>
      </c>
      <c r="AO124">
        <v>85</v>
      </c>
      <c r="AP124">
        <v>0</v>
      </c>
      <c r="AQ124">
        <v>0</v>
      </c>
    </row>
    <row r="125" spans="1:43" x14ac:dyDescent="0.25">
      <c r="A125" s="3">
        <v>30</v>
      </c>
      <c r="B125" s="3">
        <v>3</v>
      </c>
      <c r="C125" s="3">
        <v>8</v>
      </c>
      <c r="H125">
        <v>0</v>
      </c>
      <c r="I125">
        <v>0</v>
      </c>
      <c r="J125">
        <v>3.5287620565172507E-5</v>
      </c>
      <c r="L125" s="3">
        <v>30</v>
      </c>
      <c r="M125" s="3">
        <v>3</v>
      </c>
      <c r="N125" s="3">
        <v>8</v>
      </c>
      <c r="S125">
        <v>0</v>
      </c>
      <c r="T125">
        <v>0</v>
      </c>
      <c r="U125">
        <v>-9.9999999976716936E-2</v>
      </c>
      <c r="W125" s="3">
        <v>30</v>
      </c>
      <c r="X125" s="3">
        <v>3</v>
      </c>
      <c r="Y125" s="3">
        <v>8</v>
      </c>
      <c r="Z125">
        <v>289.11</v>
      </c>
      <c r="AA125">
        <v>1.5709999999999998E-2</v>
      </c>
      <c r="AB125">
        <v>0.1</v>
      </c>
      <c r="AC125">
        <v>0</v>
      </c>
      <c r="AD125">
        <v>92.8</v>
      </c>
      <c r="AE125">
        <v>1402291.5</v>
      </c>
      <c r="AF125">
        <v>283385.40000000002</v>
      </c>
      <c r="AH125" s="3">
        <v>40</v>
      </c>
      <c r="AI125" s="3">
        <v>5</v>
      </c>
      <c r="AJ125" s="3">
        <v>1</v>
      </c>
      <c r="AK125">
        <v>85</v>
      </c>
      <c r="AL125">
        <v>1.55E-2</v>
      </c>
    </row>
    <row r="126" spans="1:43" x14ac:dyDescent="0.25">
      <c r="A126" s="3">
        <v>30</v>
      </c>
      <c r="B126" s="3">
        <v>3</v>
      </c>
      <c r="C126" s="3">
        <v>9</v>
      </c>
      <c r="H126">
        <v>0</v>
      </c>
      <c r="I126">
        <v>4.8540275584607583E-5</v>
      </c>
      <c r="J126">
        <v>2.8299526712126159E-5</v>
      </c>
      <c r="L126" s="3">
        <v>30</v>
      </c>
      <c r="M126" s="3">
        <v>3</v>
      </c>
      <c r="N126" s="3">
        <v>9</v>
      </c>
      <c r="S126">
        <v>0</v>
      </c>
      <c r="T126">
        <v>-1.599999999627471</v>
      </c>
      <c r="U126">
        <v>-9.9999999976716936E-2</v>
      </c>
      <c r="W126" s="3">
        <v>30</v>
      </c>
      <c r="X126" s="3">
        <v>3</v>
      </c>
      <c r="Y126" s="3">
        <v>9</v>
      </c>
      <c r="Z126">
        <v>323.45999999999998</v>
      </c>
      <c r="AA126">
        <v>1.5740000000000001E-2</v>
      </c>
      <c r="AB126">
        <v>93.5</v>
      </c>
      <c r="AC126">
        <v>4.5</v>
      </c>
      <c r="AD126">
        <v>105</v>
      </c>
      <c r="AE126">
        <v>3296230.2</v>
      </c>
      <c r="AF126">
        <v>353362.7</v>
      </c>
      <c r="AH126" s="3">
        <v>50</v>
      </c>
      <c r="AI126" s="3">
        <v>1</v>
      </c>
      <c r="AJ126" s="3">
        <v>1</v>
      </c>
      <c r="AK126">
        <v>85</v>
      </c>
      <c r="AL126">
        <v>1.55E-2</v>
      </c>
    </row>
    <row r="127" spans="1:43" x14ac:dyDescent="0.25">
      <c r="A127" s="3">
        <v>30</v>
      </c>
      <c r="B127" s="3">
        <v>3</v>
      </c>
      <c r="C127" s="3">
        <v>10</v>
      </c>
      <c r="H127">
        <v>0</v>
      </c>
      <c r="I127">
        <v>9.6190176533148541E-6</v>
      </c>
      <c r="J127">
        <v>6.5106978358735209E-5</v>
      </c>
      <c r="L127" s="3">
        <v>30</v>
      </c>
      <c r="M127" s="3">
        <v>3</v>
      </c>
      <c r="N127" s="3">
        <v>10</v>
      </c>
      <c r="S127">
        <v>0</v>
      </c>
      <c r="T127">
        <v>0.40000000037252897</v>
      </c>
      <c r="U127">
        <v>-0.29999999998835852</v>
      </c>
      <c r="W127" s="3">
        <v>30</v>
      </c>
      <c r="X127" s="3">
        <v>3</v>
      </c>
      <c r="Y127" s="3">
        <v>10</v>
      </c>
      <c r="Z127">
        <v>366.11</v>
      </c>
      <c r="AA127">
        <v>1.5709999999999998E-2</v>
      </c>
      <c r="AB127">
        <v>104.5</v>
      </c>
      <c r="AC127">
        <v>5.0999999999999996</v>
      </c>
      <c r="AD127">
        <v>112</v>
      </c>
      <c r="AE127">
        <v>4158429.2</v>
      </c>
      <c r="AF127">
        <v>460779.8</v>
      </c>
      <c r="AH127" s="3">
        <v>50</v>
      </c>
      <c r="AI127" s="3">
        <v>2</v>
      </c>
      <c r="AJ127" s="3">
        <v>1</v>
      </c>
      <c r="AK127">
        <v>85.7</v>
      </c>
      <c r="AL127">
        <v>1.55E-2</v>
      </c>
      <c r="AO127">
        <v>85</v>
      </c>
      <c r="AP127">
        <v>13835.1</v>
      </c>
      <c r="AQ127">
        <v>1899.6</v>
      </c>
    </row>
    <row r="128" spans="1:43" x14ac:dyDescent="0.25">
      <c r="A128" s="3">
        <v>30</v>
      </c>
      <c r="B128" s="3">
        <v>3</v>
      </c>
      <c r="C128" s="3">
        <v>11</v>
      </c>
      <c r="H128">
        <v>0</v>
      </c>
      <c r="I128">
        <v>2.4105586980618791E-5</v>
      </c>
      <c r="J128">
        <v>8.0042787672578262E-6</v>
      </c>
      <c r="L128" s="3">
        <v>30</v>
      </c>
      <c r="M128" s="3">
        <v>3</v>
      </c>
      <c r="N128" s="3">
        <v>11</v>
      </c>
      <c r="S128">
        <v>0</v>
      </c>
      <c r="T128">
        <v>0.90000000037252903</v>
      </c>
      <c r="U128">
        <v>-1</v>
      </c>
      <c r="W128" s="3">
        <v>30</v>
      </c>
      <c r="X128" s="3">
        <v>3</v>
      </c>
      <c r="Y128" s="3">
        <v>11</v>
      </c>
      <c r="Z128">
        <v>418</v>
      </c>
      <c r="AA128">
        <v>1.567E-2</v>
      </c>
      <c r="AB128">
        <v>13437.9</v>
      </c>
      <c r="AC128">
        <v>5.0999999999999996</v>
      </c>
      <c r="AD128">
        <v>194.6</v>
      </c>
      <c r="AE128">
        <v>3733575.2</v>
      </c>
      <c r="AF128">
        <v>12493317</v>
      </c>
      <c r="AH128" s="3">
        <v>50</v>
      </c>
      <c r="AI128" s="3">
        <v>2</v>
      </c>
      <c r="AJ128" s="3">
        <v>2</v>
      </c>
      <c r="AO128">
        <v>85.1</v>
      </c>
      <c r="AP128">
        <v>83528</v>
      </c>
      <c r="AQ128">
        <v>11565.3</v>
      </c>
    </row>
    <row r="129" spans="1:43" x14ac:dyDescent="0.25">
      <c r="A129" s="3">
        <v>30</v>
      </c>
      <c r="B129" s="3">
        <v>3</v>
      </c>
      <c r="C129" s="3">
        <v>12</v>
      </c>
      <c r="H129">
        <v>0</v>
      </c>
      <c r="I129">
        <v>0</v>
      </c>
      <c r="J129">
        <v>0</v>
      </c>
      <c r="L129" s="3">
        <v>30</v>
      </c>
      <c r="M129" s="3">
        <v>3</v>
      </c>
      <c r="N129" s="3">
        <v>12</v>
      </c>
      <c r="S129">
        <v>0</v>
      </c>
      <c r="T129">
        <v>0</v>
      </c>
      <c r="U129">
        <v>0</v>
      </c>
      <c r="W129" s="3">
        <v>30</v>
      </c>
      <c r="X129" s="3">
        <v>3</v>
      </c>
      <c r="Y129" s="3">
        <v>12</v>
      </c>
      <c r="Z129">
        <v>93.74</v>
      </c>
      <c r="AA129">
        <v>1.5630000000000002E-2</v>
      </c>
      <c r="AB129">
        <v>104.5</v>
      </c>
      <c r="AC129">
        <v>5.0999999999999996</v>
      </c>
      <c r="AD129">
        <v>85.9</v>
      </c>
      <c r="AE129">
        <v>146882.79999999999</v>
      </c>
      <c r="AF129">
        <v>6815.7</v>
      </c>
      <c r="AH129" s="3">
        <v>50</v>
      </c>
      <c r="AI129" s="3">
        <v>3</v>
      </c>
      <c r="AJ129" s="3">
        <v>1</v>
      </c>
      <c r="AK129">
        <v>107.4</v>
      </c>
      <c r="AL129">
        <v>1.55E-2</v>
      </c>
      <c r="AO129">
        <v>85.5</v>
      </c>
      <c r="AP129">
        <v>128188.4</v>
      </c>
      <c r="AQ129">
        <v>17988.5</v>
      </c>
    </row>
    <row r="130" spans="1:43" x14ac:dyDescent="0.25">
      <c r="A130" s="3">
        <v>30</v>
      </c>
      <c r="B130" s="3">
        <v>3</v>
      </c>
      <c r="C130" s="3">
        <v>13</v>
      </c>
      <c r="H130">
        <v>0</v>
      </c>
      <c r="I130">
        <v>1.708157820092459E-4</v>
      </c>
      <c r="J130">
        <v>2.0985918448606388E-3</v>
      </c>
      <c r="L130" s="3">
        <v>30</v>
      </c>
      <c r="M130" s="3">
        <v>3</v>
      </c>
      <c r="N130" s="3">
        <v>13</v>
      </c>
      <c r="S130">
        <v>0</v>
      </c>
      <c r="T130">
        <v>-0.19999999999708959</v>
      </c>
      <c r="U130">
        <v>9.9999999999454303E-2</v>
      </c>
      <c r="W130" s="3">
        <v>30</v>
      </c>
      <c r="X130" s="3">
        <v>3</v>
      </c>
      <c r="Y130" s="3">
        <v>13</v>
      </c>
      <c r="Z130">
        <v>91.24</v>
      </c>
      <c r="AA130">
        <v>1.559E-2</v>
      </c>
      <c r="AB130">
        <v>104.5</v>
      </c>
      <c r="AC130">
        <v>5.0999999999999996</v>
      </c>
      <c r="AD130">
        <v>85.7</v>
      </c>
      <c r="AE130">
        <v>117085</v>
      </c>
      <c r="AF130">
        <v>4765.2</v>
      </c>
      <c r="AH130" s="3">
        <v>50</v>
      </c>
      <c r="AI130" s="3">
        <v>3</v>
      </c>
      <c r="AJ130" s="3">
        <v>2</v>
      </c>
      <c r="AO130">
        <v>86.1</v>
      </c>
      <c r="AP130">
        <v>247095.3</v>
      </c>
      <c r="AQ130">
        <v>36449.1</v>
      </c>
    </row>
    <row r="131" spans="1:43" x14ac:dyDescent="0.25">
      <c r="A131" s="3">
        <v>30</v>
      </c>
      <c r="B131" s="3">
        <v>3</v>
      </c>
      <c r="C131" s="3">
        <v>14</v>
      </c>
      <c r="H131">
        <v>0</v>
      </c>
      <c r="I131">
        <v>0</v>
      </c>
      <c r="J131">
        <v>0</v>
      </c>
      <c r="L131" s="3">
        <v>30</v>
      </c>
      <c r="M131" s="3">
        <v>3</v>
      </c>
      <c r="N131" s="3">
        <v>14</v>
      </c>
      <c r="S131">
        <v>0</v>
      </c>
      <c r="T131">
        <v>0</v>
      </c>
      <c r="U131">
        <v>0</v>
      </c>
      <c r="W131" s="3">
        <v>30</v>
      </c>
      <c r="X131" s="3">
        <v>3</v>
      </c>
      <c r="Y131" s="3">
        <v>14</v>
      </c>
      <c r="Z131">
        <v>88.33</v>
      </c>
      <c r="AA131">
        <v>1.555E-2</v>
      </c>
      <c r="AB131">
        <v>103.1</v>
      </c>
      <c r="AC131">
        <v>5</v>
      </c>
      <c r="AD131">
        <v>85.4</v>
      </c>
      <c r="AE131">
        <v>72523.899999999994</v>
      </c>
      <c r="AF131">
        <v>2467.6</v>
      </c>
      <c r="AH131" s="3">
        <v>50</v>
      </c>
      <c r="AI131" s="3">
        <v>3</v>
      </c>
      <c r="AJ131" s="3">
        <v>3</v>
      </c>
      <c r="AO131">
        <v>87</v>
      </c>
      <c r="AP131">
        <v>428103.3</v>
      </c>
      <c r="AQ131">
        <v>67904</v>
      </c>
    </row>
    <row r="132" spans="1:43" x14ac:dyDescent="0.25">
      <c r="A132" s="3">
        <v>30</v>
      </c>
      <c r="B132" s="3">
        <v>4</v>
      </c>
      <c r="C132" s="3">
        <v>1</v>
      </c>
      <c r="D132">
        <v>0</v>
      </c>
      <c r="E132">
        <v>6.451612903225544E-2</v>
      </c>
      <c r="H132">
        <v>0</v>
      </c>
      <c r="L132" s="3">
        <v>30</v>
      </c>
      <c r="M132" s="3">
        <v>4</v>
      </c>
      <c r="N132" s="3">
        <v>1</v>
      </c>
      <c r="O132">
        <v>0</v>
      </c>
      <c r="P132">
        <v>9.9999999999995925E-6</v>
      </c>
      <c r="S132">
        <v>0</v>
      </c>
      <c r="T132">
        <v>0</v>
      </c>
      <c r="U132">
        <v>0</v>
      </c>
      <c r="W132" s="3">
        <v>30</v>
      </c>
      <c r="X132" s="3">
        <v>4</v>
      </c>
      <c r="Y132" s="3">
        <v>1</v>
      </c>
      <c r="Z132">
        <v>85</v>
      </c>
      <c r="AA132">
        <v>1.5509999999999999E-2</v>
      </c>
      <c r="AB132">
        <v>0.1</v>
      </c>
      <c r="AC132">
        <v>0</v>
      </c>
      <c r="AD132">
        <v>85</v>
      </c>
      <c r="AE132">
        <v>0</v>
      </c>
      <c r="AF132">
        <v>0</v>
      </c>
      <c r="AH132" s="3">
        <v>50</v>
      </c>
      <c r="AI132" s="3">
        <v>3</v>
      </c>
      <c r="AJ132" s="3">
        <v>4</v>
      </c>
      <c r="AO132">
        <v>88.5</v>
      </c>
      <c r="AP132">
        <v>661523.9</v>
      </c>
      <c r="AQ132">
        <v>114588.9</v>
      </c>
    </row>
    <row r="133" spans="1:43" x14ac:dyDescent="0.25">
      <c r="A133" s="3">
        <v>30</v>
      </c>
      <c r="B133" s="3">
        <v>4</v>
      </c>
      <c r="C133" s="3">
        <v>2</v>
      </c>
      <c r="H133">
        <v>0</v>
      </c>
      <c r="L133" s="3">
        <v>30</v>
      </c>
      <c r="M133" s="3">
        <v>4</v>
      </c>
      <c r="N133" s="3">
        <v>2</v>
      </c>
      <c r="S133">
        <v>0</v>
      </c>
      <c r="T133">
        <v>0</v>
      </c>
      <c r="U133">
        <v>0</v>
      </c>
      <c r="W133" s="3">
        <v>30</v>
      </c>
      <c r="X133" s="3">
        <v>4</v>
      </c>
      <c r="Y133" s="3">
        <v>2</v>
      </c>
      <c r="Z133">
        <v>85</v>
      </c>
      <c r="AA133">
        <v>1.5509999999999999E-2</v>
      </c>
      <c r="AB133">
        <v>0.1</v>
      </c>
      <c r="AC133">
        <v>0</v>
      </c>
      <c r="AD133">
        <v>85</v>
      </c>
      <c r="AE133">
        <v>0</v>
      </c>
      <c r="AF133">
        <v>0</v>
      </c>
      <c r="AH133" s="3">
        <v>50</v>
      </c>
      <c r="AI133" s="3">
        <v>3</v>
      </c>
      <c r="AJ133" s="3">
        <v>5</v>
      </c>
      <c r="AO133">
        <v>90.4</v>
      </c>
      <c r="AP133">
        <v>906481.8</v>
      </c>
      <c r="AQ133">
        <v>173187.7</v>
      </c>
    </row>
    <row r="134" spans="1:43" x14ac:dyDescent="0.25">
      <c r="A134" s="3">
        <v>30</v>
      </c>
      <c r="B134" s="3">
        <v>5</v>
      </c>
      <c r="C134" s="3">
        <v>1</v>
      </c>
      <c r="D134">
        <v>1.1764705882358961E-2</v>
      </c>
      <c r="E134">
        <v>6.451612903225544E-2</v>
      </c>
      <c r="L134" s="3">
        <v>30</v>
      </c>
      <c r="M134" s="3">
        <v>5</v>
      </c>
      <c r="N134" s="3">
        <v>1</v>
      </c>
      <c r="O134">
        <v>1.0000000000005119E-2</v>
      </c>
      <c r="P134">
        <v>9.9999999999995925E-6</v>
      </c>
      <c r="W134" s="3">
        <v>30</v>
      </c>
      <c r="X134" s="3">
        <v>5</v>
      </c>
      <c r="Y134" s="3">
        <v>1</v>
      </c>
      <c r="Z134">
        <v>85.01</v>
      </c>
      <c r="AA134">
        <v>1.5509999999999999E-2</v>
      </c>
      <c r="AH134" s="3">
        <v>50</v>
      </c>
      <c r="AI134" s="3">
        <v>3</v>
      </c>
      <c r="AJ134" s="3">
        <v>6</v>
      </c>
      <c r="AO134">
        <v>92.7</v>
      </c>
      <c r="AP134">
        <v>1132114.6000000001</v>
      </c>
      <c r="AQ134">
        <v>236461</v>
      </c>
    </row>
    <row r="135" spans="1:43" x14ac:dyDescent="0.25">
      <c r="A135" s="3">
        <v>30</v>
      </c>
      <c r="B135" s="3">
        <v>5</v>
      </c>
      <c r="C135" s="3">
        <v>2</v>
      </c>
      <c r="L135" s="3">
        <v>30</v>
      </c>
      <c r="M135" s="3">
        <v>5</v>
      </c>
      <c r="N135" s="3">
        <v>2</v>
      </c>
      <c r="W135" s="3">
        <v>30</v>
      </c>
      <c r="X135" s="3">
        <v>5</v>
      </c>
      <c r="Y135" s="3">
        <v>2</v>
      </c>
      <c r="Z135">
        <v>85.01</v>
      </c>
      <c r="AA135">
        <v>1.5509999999999999E-2</v>
      </c>
      <c r="AH135" s="3">
        <v>50</v>
      </c>
      <c r="AI135" s="3">
        <v>3</v>
      </c>
      <c r="AJ135" s="3">
        <v>7</v>
      </c>
      <c r="AO135">
        <v>95.2</v>
      </c>
      <c r="AP135">
        <v>1334826.8</v>
      </c>
      <c r="AQ135">
        <v>300983.59999999998</v>
      </c>
    </row>
    <row r="136" spans="1:43" x14ac:dyDescent="0.25">
      <c r="A136" s="3">
        <v>40</v>
      </c>
      <c r="B136" s="3">
        <v>1</v>
      </c>
      <c r="C136" s="3">
        <v>1</v>
      </c>
      <c r="D136">
        <v>1.1764705882358961E-2</v>
      </c>
      <c r="E136">
        <v>6.451612903225544E-2</v>
      </c>
      <c r="L136" s="3">
        <v>40</v>
      </c>
      <c r="M136" s="3">
        <v>1</v>
      </c>
      <c r="N136" s="3">
        <v>1</v>
      </c>
      <c r="O136">
        <v>1.0000000000005119E-2</v>
      </c>
      <c r="P136">
        <v>9.9999999999995925E-6</v>
      </c>
      <c r="W136" s="3">
        <v>40</v>
      </c>
      <c r="X136" s="3">
        <v>1</v>
      </c>
      <c r="Y136" s="3">
        <v>1</v>
      </c>
      <c r="Z136">
        <v>85.01</v>
      </c>
      <c r="AA136">
        <v>1.5509999999999999E-2</v>
      </c>
      <c r="AB136">
        <v>0.9</v>
      </c>
      <c r="AC136">
        <v>0</v>
      </c>
      <c r="AH136" s="3">
        <v>50</v>
      </c>
      <c r="AI136" s="3">
        <v>3</v>
      </c>
      <c r="AJ136" s="3">
        <v>8</v>
      </c>
      <c r="AO136">
        <v>98</v>
      </c>
      <c r="AP136">
        <v>1525753</v>
      </c>
      <c r="AQ136">
        <v>370378.5</v>
      </c>
    </row>
    <row r="137" spans="1:43" x14ac:dyDescent="0.25">
      <c r="A137" s="3">
        <v>40</v>
      </c>
      <c r="B137" s="3">
        <v>1</v>
      </c>
      <c r="C137" s="3">
        <v>2</v>
      </c>
      <c r="L137" s="3">
        <v>40</v>
      </c>
      <c r="M137" s="3">
        <v>1</v>
      </c>
      <c r="N137" s="3">
        <v>2</v>
      </c>
      <c r="W137" s="3">
        <v>40</v>
      </c>
      <c r="X137" s="3">
        <v>1</v>
      </c>
      <c r="Y137" s="3">
        <v>2</v>
      </c>
      <c r="Z137">
        <v>85.02</v>
      </c>
      <c r="AA137">
        <v>1.5509999999999999E-2</v>
      </c>
      <c r="AB137">
        <v>0.9</v>
      </c>
      <c r="AC137">
        <v>0</v>
      </c>
      <c r="AH137" s="3">
        <v>50</v>
      </c>
      <c r="AI137" s="3">
        <v>3</v>
      </c>
      <c r="AJ137" s="3">
        <v>9</v>
      </c>
      <c r="AO137">
        <v>114.1</v>
      </c>
      <c r="AP137">
        <v>3455940</v>
      </c>
      <c r="AQ137">
        <v>438277.7</v>
      </c>
    </row>
    <row r="138" spans="1:43" x14ac:dyDescent="0.25">
      <c r="A138" s="3">
        <v>40</v>
      </c>
      <c r="B138" s="3">
        <v>1</v>
      </c>
      <c r="C138" s="3">
        <v>3</v>
      </c>
      <c r="L138" s="3">
        <v>40</v>
      </c>
      <c r="M138" s="3">
        <v>1</v>
      </c>
      <c r="N138" s="3">
        <v>3</v>
      </c>
      <c r="W138" s="3">
        <v>40</v>
      </c>
      <c r="X138" s="3">
        <v>1</v>
      </c>
      <c r="Y138" s="3">
        <v>3</v>
      </c>
      <c r="Z138">
        <v>85.02</v>
      </c>
      <c r="AA138">
        <v>1.5509999999999999E-2</v>
      </c>
      <c r="AB138">
        <v>0.9</v>
      </c>
      <c r="AC138">
        <v>0</v>
      </c>
      <c r="AH138" s="3">
        <v>50</v>
      </c>
      <c r="AI138" s="3">
        <v>3</v>
      </c>
      <c r="AJ138" s="3">
        <v>10</v>
      </c>
      <c r="AO138">
        <v>122.8</v>
      </c>
      <c r="AP138">
        <v>4283268</v>
      </c>
      <c r="AQ138">
        <v>570051.9</v>
      </c>
    </row>
    <row r="139" spans="1:43" x14ac:dyDescent="0.25">
      <c r="A139" s="3">
        <v>40</v>
      </c>
      <c r="B139" s="3">
        <v>1</v>
      </c>
      <c r="C139" s="3">
        <v>4</v>
      </c>
      <c r="L139" s="3">
        <v>40</v>
      </c>
      <c r="M139" s="3">
        <v>1</v>
      </c>
      <c r="N139" s="3">
        <v>4</v>
      </c>
      <c r="W139" s="3">
        <v>40</v>
      </c>
      <c r="X139" s="3">
        <v>1</v>
      </c>
      <c r="Y139" s="3">
        <v>4</v>
      </c>
      <c r="Z139">
        <v>85.03</v>
      </c>
      <c r="AA139">
        <v>1.5509999999999999E-2</v>
      </c>
      <c r="AB139">
        <v>0.9</v>
      </c>
      <c r="AC139">
        <v>0</v>
      </c>
      <c r="AH139" s="3">
        <v>50</v>
      </c>
      <c r="AI139" s="3">
        <v>3</v>
      </c>
      <c r="AJ139" s="3">
        <v>11</v>
      </c>
      <c r="AO139">
        <v>225.6</v>
      </c>
      <c r="AP139">
        <v>3668378.5</v>
      </c>
      <c r="AQ139">
        <v>12592402</v>
      </c>
    </row>
    <row r="140" spans="1:43" x14ac:dyDescent="0.25">
      <c r="A140" s="3">
        <v>40</v>
      </c>
      <c r="B140" s="3">
        <v>1</v>
      </c>
      <c r="C140" s="3">
        <v>5</v>
      </c>
      <c r="L140" s="3">
        <v>40</v>
      </c>
      <c r="M140" s="3">
        <v>1</v>
      </c>
      <c r="N140" s="3">
        <v>5</v>
      </c>
      <c r="W140" s="3">
        <v>40</v>
      </c>
      <c r="X140" s="3">
        <v>1</v>
      </c>
      <c r="Y140" s="3">
        <v>5</v>
      </c>
      <c r="Z140">
        <v>85.03</v>
      </c>
      <c r="AA140">
        <v>1.5509999999999999E-2</v>
      </c>
      <c r="AB140">
        <v>0.9</v>
      </c>
      <c r="AC140">
        <v>0</v>
      </c>
      <c r="AH140" s="3">
        <v>50</v>
      </c>
      <c r="AI140" s="3">
        <v>3</v>
      </c>
      <c r="AJ140" s="3">
        <v>12</v>
      </c>
      <c r="AO140">
        <v>86.2</v>
      </c>
      <c r="AP140">
        <v>147089</v>
      </c>
      <c r="AQ140">
        <v>6609.4</v>
      </c>
    </row>
    <row r="141" spans="1:43" x14ac:dyDescent="0.25">
      <c r="A141" s="3">
        <v>40</v>
      </c>
      <c r="B141" s="3">
        <v>1</v>
      </c>
      <c r="C141" s="3">
        <v>6</v>
      </c>
      <c r="L141" s="3">
        <v>40</v>
      </c>
      <c r="M141" s="3">
        <v>1</v>
      </c>
      <c r="N141" s="3">
        <v>6</v>
      </c>
      <c r="W141" s="3">
        <v>40</v>
      </c>
      <c r="X141" s="3">
        <v>1</v>
      </c>
      <c r="Y141" s="3">
        <v>6</v>
      </c>
      <c r="Z141">
        <v>85.03</v>
      </c>
      <c r="AA141">
        <v>1.5509999999999999E-2</v>
      </c>
      <c r="AB141">
        <v>0.9</v>
      </c>
      <c r="AC141">
        <v>0</v>
      </c>
      <c r="AH141" s="3">
        <v>50</v>
      </c>
      <c r="AI141" s="3">
        <v>3</v>
      </c>
      <c r="AJ141" s="3">
        <v>13</v>
      </c>
      <c r="AO141">
        <v>86</v>
      </c>
      <c r="AP141">
        <v>117273.2</v>
      </c>
      <c r="AQ141">
        <v>4577.1000000000004</v>
      </c>
    </row>
    <row r="142" spans="1:43" x14ac:dyDescent="0.25">
      <c r="A142" s="3">
        <v>40</v>
      </c>
      <c r="B142" s="3">
        <v>1</v>
      </c>
      <c r="C142" s="3">
        <v>7</v>
      </c>
      <c r="L142" s="3">
        <v>40</v>
      </c>
      <c r="M142" s="3">
        <v>1</v>
      </c>
      <c r="N142" s="3">
        <v>7</v>
      </c>
      <c r="W142" s="3">
        <v>40</v>
      </c>
      <c r="X142" s="3">
        <v>1</v>
      </c>
      <c r="Y142" s="3">
        <v>7</v>
      </c>
      <c r="Z142">
        <v>85.03</v>
      </c>
      <c r="AA142">
        <v>1.5509999999999999E-2</v>
      </c>
      <c r="AB142">
        <v>0.9</v>
      </c>
      <c r="AC142">
        <v>0</v>
      </c>
      <c r="AH142" s="3">
        <v>50</v>
      </c>
      <c r="AI142" s="3">
        <v>3</v>
      </c>
      <c r="AJ142" s="3">
        <v>14</v>
      </c>
      <c r="AO142">
        <v>85.6</v>
      </c>
      <c r="AP142">
        <v>72655.899999999994</v>
      </c>
      <c r="AQ142">
        <v>2335.6</v>
      </c>
    </row>
    <row r="143" spans="1:43" x14ac:dyDescent="0.25">
      <c r="A143" s="3">
        <v>40</v>
      </c>
      <c r="B143" s="3">
        <v>1</v>
      </c>
      <c r="C143" s="3">
        <v>8</v>
      </c>
      <c r="L143" s="3">
        <v>40</v>
      </c>
      <c r="M143" s="3">
        <v>1</v>
      </c>
      <c r="N143" s="3">
        <v>8</v>
      </c>
      <c r="W143" s="3">
        <v>40</v>
      </c>
      <c r="X143" s="3">
        <v>1</v>
      </c>
      <c r="Y143" s="3">
        <v>8</v>
      </c>
      <c r="Z143">
        <v>85.03</v>
      </c>
      <c r="AA143">
        <v>1.5509999999999999E-2</v>
      </c>
      <c r="AB143">
        <v>0.9</v>
      </c>
      <c r="AC143">
        <v>0</v>
      </c>
      <c r="AH143" s="3">
        <v>50</v>
      </c>
      <c r="AI143" s="3">
        <v>4</v>
      </c>
      <c r="AJ143" s="3">
        <v>1</v>
      </c>
      <c r="AK143">
        <v>85</v>
      </c>
      <c r="AL143">
        <v>1.55E-2</v>
      </c>
      <c r="AO143">
        <v>85</v>
      </c>
      <c r="AP143">
        <v>0</v>
      </c>
      <c r="AQ143">
        <v>0</v>
      </c>
    </row>
    <row r="144" spans="1:43" x14ac:dyDescent="0.25">
      <c r="A144" s="3">
        <v>40</v>
      </c>
      <c r="B144" s="3">
        <v>1</v>
      </c>
      <c r="C144" s="3">
        <v>9</v>
      </c>
      <c r="L144" s="3">
        <v>40</v>
      </c>
      <c r="M144" s="3">
        <v>1</v>
      </c>
      <c r="N144" s="3">
        <v>9</v>
      </c>
      <c r="W144" s="3">
        <v>40</v>
      </c>
      <c r="X144" s="3">
        <v>1</v>
      </c>
      <c r="Y144" s="3">
        <v>9</v>
      </c>
      <c r="Z144">
        <v>85.03</v>
      </c>
      <c r="AA144">
        <v>1.5509999999999999E-2</v>
      </c>
      <c r="AB144">
        <v>0.9</v>
      </c>
      <c r="AC144">
        <v>0</v>
      </c>
      <c r="AH144" s="3">
        <v>50</v>
      </c>
      <c r="AI144" s="3">
        <v>4</v>
      </c>
      <c r="AJ144" s="3">
        <v>2</v>
      </c>
      <c r="AO144">
        <v>85</v>
      </c>
      <c r="AP144">
        <v>0</v>
      </c>
      <c r="AQ144">
        <v>0</v>
      </c>
    </row>
    <row r="145" spans="1:43" x14ac:dyDescent="0.25">
      <c r="A145" s="3">
        <v>40</v>
      </c>
      <c r="B145" s="3">
        <v>1</v>
      </c>
      <c r="C145" s="3">
        <v>10</v>
      </c>
      <c r="L145" s="3">
        <v>40</v>
      </c>
      <c r="M145" s="3">
        <v>1</v>
      </c>
      <c r="N145" s="3">
        <v>10</v>
      </c>
      <c r="W145" s="3">
        <v>40</v>
      </c>
      <c r="X145" s="3">
        <v>1</v>
      </c>
      <c r="Y145" s="3">
        <v>10</v>
      </c>
      <c r="Z145">
        <v>85.03</v>
      </c>
      <c r="AA145">
        <v>1.5509999999999999E-2</v>
      </c>
      <c r="AB145">
        <v>0.9</v>
      </c>
      <c r="AC145">
        <v>0</v>
      </c>
      <c r="AH145" s="3">
        <v>50</v>
      </c>
      <c r="AI145" s="3">
        <v>5</v>
      </c>
      <c r="AJ145" s="3">
        <v>1</v>
      </c>
      <c r="AK145">
        <v>85.2</v>
      </c>
      <c r="AL145">
        <v>1.55E-2</v>
      </c>
    </row>
    <row r="146" spans="1:43" x14ac:dyDescent="0.25">
      <c r="A146" s="3">
        <v>40</v>
      </c>
      <c r="B146" s="3">
        <v>2</v>
      </c>
      <c r="C146" s="3">
        <v>1</v>
      </c>
      <c r="D146">
        <v>5.8754406580506902E-2</v>
      </c>
      <c r="E146">
        <v>6.451612903225544E-2</v>
      </c>
      <c r="H146">
        <v>0</v>
      </c>
      <c r="I146">
        <v>1.852469341632396E-2</v>
      </c>
      <c r="J146">
        <v>2.802690582960278E-2</v>
      </c>
      <c r="L146" s="3">
        <v>40</v>
      </c>
      <c r="M146" s="3">
        <v>2</v>
      </c>
      <c r="N146" s="3">
        <v>1</v>
      </c>
      <c r="O146">
        <v>5.0000000000011369E-2</v>
      </c>
      <c r="P146">
        <v>9.9999999999995925E-6</v>
      </c>
      <c r="S146">
        <v>0</v>
      </c>
      <c r="T146">
        <v>0.5</v>
      </c>
      <c r="U146">
        <v>-0.1000000000000227</v>
      </c>
      <c r="W146" s="3">
        <v>40</v>
      </c>
      <c r="X146" s="3">
        <v>2</v>
      </c>
      <c r="Y146" s="3">
        <v>1</v>
      </c>
      <c r="Z146">
        <v>85.15</v>
      </c>
      <c r="AA146">
        <v>1.5509999999999999E-2</v>
      </c>
      <c r="AB146">
        <v>0.1</v>
      </c>
      <c r="AC146">
        <v>0</v>
      </c>
      <c r="AD146">
        <v>85</v>
      </c>
      <c r="AE146">
        <v>2699.6</v>
      </c>
      <c r="AF146">
        <v>356.7</v>
      </c>
      <c r="AH146" s="3">
        <v>60</v>
      </c>
      <c r="AI146" s="3">
        <v>1</v>
      </c>
      <c r="AJ146" s="3">
        <v>1</v>
      </c>
      <c r="AK146">
        <v>85</v>
      </c>
      <c r="AL146">
        <v>1.55E-2</v>
      </c>
    </row>
    <row r="147" spans="1:43" x14ac:dyDescent="0.25">
      <c r="A147" s="3">
        <v>40</v>
      </c>
      <c r="B147" s="3">
        <v>2</v>
      </c>
      <c r="C147" s="3">
        <v>2</v>
      </c>
      <c r="H147">
        <v>0</v>
      </c>
      <c r="I147">
        <v>4.809865997238309E-4</v>
      </c>
      <c r="J147">
        <v>0</v>
      </c>
      <c r="L147" s="3">
        <v>40</v>
      </c>
      <c r="M147" s="3">
        <v>2</v>
      </c>
      <c r="N147" s="3">
        <v>2</v>
      </c>
      <c r="S147">
        <v>0</v>
      </c>
      <c r="T147">
        <v>0.1000000000021828</v>
      </c>
      <c r="U147">
        <v>0</v>
      </c>
      <c r="W147" s="3">
        <v>40</v>
      </c>
      <c r="X147" s="3">
        <v>2</v>
      </c>
      <c r="Y147" s="3">
        <v>2</v>
      </c>
      <c r="Z147">
        <v>86.12</v>
      </c>
      <c r="AA147">
        <v>1.5509999999999999E-2</v>
      </c>
      <c r="AB147">
        <v>0.1</v>
      </c>
      <c r="AC147">
        <v>0</v>
      </c>
      <c r="AD147">
        <v>85</v>
      </c>
      <c r="AE147">
        <v>20790.7</v>
      </c>
      <c r="AF147">
        <v>2754.5</v>
      </c>
      <c r="AH147" s="3">
        <v>60</v>
      </c>
      <c r="AI147" s="3">
        <v>2</v>
      </c>
      <c r="AJ147" s="3">
        <v>1</v>
      </c>
      <c r="AK147">
        <v>87.4</v>
      </c>
      <c r="AL147">
        <v>1.55E-2</v>
      </c>
      <c r="AO147">
        <v>85</v>
      </c>
      <c r="AP147">
        <v>44668.800000000003</v>
      </c>
      <c r="AQ147">
        <v>6307.9</v>
      </c>
    </row>
    <row r="148" spans="1:43" x14ac:dyDescent="0.25">
      <c r="A148" s="3">
        <v>40</v>
      </c>
      <c r="B148" s="3">
        <v>3</v>
      </c>
      <c r="C148" s="3">
        <v>1</v>
      </c>
      <c r="D148">
        <v>5.3995680345569293E-2</v>
      </c>
      <c r="E148">
        <v>0.12903225806452209</v>
      </c>
      <c r="H148">
        <v>0</v>
      </c>
      <c r="I148">
        <v>0</v>
      </c>
      <c r="J148">
        <v>0</v>
      </c>
      <c r="L148" s="3">
        <v>40</v>
      </c>
      <c r="M148" s="3">
        <v>3</v>
      </c>
      <c r="N148" s="3">
        <v>1</v>
      </c>
      <c r="O148">
        <v>-4.9999999999997158E-2</v>
      </c>
      <c r="P148">
        <v>2.000000000000092E-5</v>
      </c>
      <c r="S148">
        <v>0</v>
      </c>
      <c r="T148">
        <v>0</v>
      </c>
      <c r="U148">
        <v>0</v>
      </c>
      <c r="W148" s="3">
        <v>40</v>
      </c>
      <c r="X148" s="3">
        <v>3</v>
      </c>
      <c r="Y148" s="3">
        <v>1</v>
      </c>
      <c r="Z148">
        <v>92.55</v>
      </c>
      <c r="AA148">
        <v>1.5520000000000001E-2</v>
      </c>
      <c r="AB148">
        <v>0</v>
      </c>
      <c r="AC148">
        <v>0</v>
      </c>
      <c r="AD148">
        <v>85.1</v>
      </c>
      <c r="AE148">
        <v>42364.5</v>
      </c>
      <c r="AF148">
        <v>5566.7</v>
      </c>
      <c r="AH148" s="3">
        <v>60</v>
      </c>
      <c r="AI148" s="3">
        <v>2</v>
      </c>
      <c r="AJ148" s="3">
        <v>2</v>
      </c>
      <c r="AO148">
        <v>85.3</v>
      </c>
      <c r="AP148">
        <v>216004</v>
      </c>
      <c r="AQ148">
        <v>31139.3</v>
      </c>
    </row>
    <row r="149" spans="1:43" x14ac:dyDescent="0.25">
      <c r="A149" s="3">
        <v>40</v>
      </c>
      <c r="B149" s="3">
        <v>3</v>
      </c>
      <c r="C149" s="3">
        <v>2</v>
      </c>
      <c r="H149">
        <v>0</v>
      </c>
      <c r="I149">
        <v>0</v>
      </c>
      <c r="J149">
        <v>0</v>
      </c>
      <c r="L149" s="3">
        <v>40</v>
      </c>
      <c r="M149" s="3">
        <v>3</v>
      </c>
      <c r="N149" s="3">
        <v>2</v>
      </c>
      <c r="S149">
        <v>0</v>
      </c>
      <c r="T149">
        <v>0</v>
      </c>
      <c r="U149">
        <v>0</v>
      </c>
      <c r="W149" s="3">
        <v>40</v>
      </c>
      <c r="X149" s="3">
        <v>3</v>
      </c>
      <c r="Y149" s="3">
        <v>2</v>
      </c>
      <c r="Z149">
        <v>102.68</v>
      </c>
      <c r="AA149">
        <v>1.553E-2</v>
      </c>
      <c r="AB149">
        <v>0</v>
      </c>
      <c r="AC149">
        <v>0</v>
      </c>
      <c r="AD149">
        <v>85.4</v>
      </c>
      <c r="AE149">
        <v>101897.8</v>
      </c>
      <c r="AF149">
        <v>13671.6</v>
      </c>
      <c r="AH149" s="3">
        <v>60</v>
      </c>
      <c r="AI149" s="3">
        <v>3</v>
      </c>
      <c r="AJ149" s="3">
        <v>1</v>
      </c>
      <c r="AK149">
        <v>130.1</v>
      </c>
      <c r="AL149">
        <v>1.5599999999999999E-2</v>
      </c>
      <c r="AO149">
        <v>86.2</v>
      </c>
      <c r="AP149">
        <v>259817.5</v>
      </c>
      <c r="AQ149">
        <v>39463.9</v>
      </c>
    </row>
    <row r="150" spans="1:43" x14ac:dyDescent="0.25">
      <c r="A150" s="3">
        <v>40</v>
      </c>
      <c r="B150" s="3">
        <v>3</v>
      </c>
      <c r="C150" s="3">
        <v>3</v>
      </c>
      <c r="H150">
        <v>0</v>
      </c>
      <c r="I150">
        <v>4.5634323950682418E-5</v>
      </c>
      <c r="J150">
        <v>3.2422057373600918E-4</v>
      </c>
      <c r="L150" s="3">
        <v>40</v>
      </c>
      <c r="M150" s="3">
        <v>3</v>
      </c>
      <c r="N150" s="3">
        <v>3</v>
      </c>
      <c r="S150">
        <v>0</v>
      </c>
      <c r="T150">
        <v>0.10000000000582079</v>
      </c>
      <c r="U150">
        <v>9.9999999998544808E-2</v>
      </c>
      <c r="W150" s="3">
        <v>40</v>
      </c>
      <c r="X150" s="3">
        <v>3</v>
      </c>
      <c r="Y150" s="3">
        <v>3</v>
      </c>
      <c r="Z150">
        <v>122.08</v>
      </c>
      <c r="AA150">
        <v>1.555E-2</v>
      </c>
      <c r="AB150">
        <v>0</v>
      </c>
      <c r="AC150">
        <v>0</v>
      </c>
      <c r="AD150">
        <v>85.8</v>
      </c>
      <c r="AE150">
        <v>219133.4</v>
      </c>
      <c r="AF150">
        <v>30843.3</v>
      </c>
      <c r="AH150" s="3">
        <v>60</v>
      </c>
      <c r="AI150" s="3">
        <v>3</v>
      </c>
      <c r="AJ150" s="3">
        <v>2</v>
      </c>
      <c r="AO150">
        <v>87.2</v>
      </c>
      <c r="AP150">
        <v>423356.7</v>
      </c>
      <c r="AQ150">
        <v>68767</v>
      </c>
    </row>
    <row r="151" spans="1:43" x14ac:dyDescent="0.25">
      <c r="A151" s="3">
        <v>40</v>
      </c>
      <c r="B151" s="3">
        <v>3</v>
      </c>
      <c r="C151" s="3">
        <v>4</v>
      </c>
      <c r="H151">
        <v>0</v>
      </c>
      <c r="I151">
        <v>2.3994279758117731E-5</v>
      </c>
      <c r="J151">
        <v>0</v>
      </c>
      <c r="L151" s="3">
        <v>40</v>
      </c>
      <c r="M151" s="3">
        <v>3</v>
      </c>
      <c r="N151" s="3">
        <v>4</v>
      </c>
      <c r="S151">
        <v>0</v>
      </c>
      <c r="T151">
        <v>9.9999999976716936E-2</v>
      </c>
      <c r="U151">
        <v>0</v>
      </c>
      <c r="W151" s="3">
        <v>40</v>
      </c>
      <c r="X151" s="3">
        <v>3</v>
      </c>
      <c r="Y151" s="3">
        <v>4</v>
      </c>
      <c r="Z151">
        <v>153.55000000000001</v>
      </c>
      <c r="AA151">
        <v>1.559E-2</v>
      </c>
      <c r="AB151">
        <v>0</v>
      </c>
      <c r="AC151">
        <v>0</v>
      </c>
      <c r="AD151">
        <v>86.7</v>
      </c>
      <c r="AE151">
        <v>416766.1</v>
      </c>
      <c r="AF151">
        <v>63356.9</v>
      </c>
      <c r="AH151" s="3">
        <v>60</v>
      </c>
      <c r="AI151" s="3">
        <v>3</v>
      </c>
      <c r="AJ151" s="3">
        <v>3</v>
      </c>
      <c r="AO151">
        <v>88.6</v>
      </c>
      <c r="AP151">
        <v>625203.19999999995</v>
      </c>
      <c r="AQ151">
        <v>109845.5</v>
      </c>
    </row>
    <row r="152" spans="1:43" x14ac:dyDescent="0.25">
      <c r="A152" s="3">
        <v>40</v>
      </c>
      <c r="B152" s="3">
        <v>3</v>
      </c>
      <c r="C152" s="3">
        <v>5</v>
      </c>
      <c r="H152">
        <v>0</v>
      </c>
      <c r="I152">
        <v>2.893588012528212E-5</v>
      </c>
      <c r="J152">
        <v>0</v>
      </c>
      <c r="L152" s="3">
        <v>40</v>
      </c>
      <c r="M152" s="3">
        <v>3</v>
      </c>
      <c r="N152" s="3">
        <v>5</v>
      </c>
      <c r="S152">
        <v>0</v>
      </c>
      <c r="T152">
        <v>-0.20000000006984919</v>
      </c>
      <c r="U152">
        <v>0</v>
      </c>
      <c r="W152" s="3">
        <v>40</v>
      </c>
      <c r="X152" s="3">
        <v>3</v>
      </c>
      <c r="Y152" s="3">
        <v>5</v>
      </c>
      <c r="Z152">
        <v>195.1</v>
      </c>
      <c r="AA152">
        <v>1.5630000000000002E-2</v>
      </c>
      <c r="AB152">
        <v>0</v>
      </c>
      <c r="AC152">
        <v>0</v>
      </c>
      <c r="AD152">
        <v>88.2</v>
      </c>
      <c r="AE152">
        <v>691183.2</v>
      </c>
      <c r="AF152">
        <v>116106</v>
      </c>
      <c r="AH152" s="3">
        <v>60</v>
      </c>
      <c r="AI152" s="3">
        <v>3</v>
      </c>
      <c r="AJ152" s="3">
        <v>4</v>
      </c>
      <c r="AO152">
        <v>90.3</v>
      </c>
      <c r="AP152">
        <v>835623.3</v>
      </c>
      <c r="AQ152">
        <v>159940.9</v>
      </c>
    </row>
    <row r="153" spans="1:43" x14ac:dyDescent="0.25">
      <c r="A153" s="3">
        <v>40</v>
      </c>
      <c r="B153" s="3">
        <v>3</v>
      </c>
      <c r="C153" s="3">
        <v>6</v>
      </c>
      <c r="H153">
        <v>0</v>
      </c>
      <c r="I153">
        <v>6.0856185673918048E-5</v>
      </c>
      <c r="J153">
        <v>5.390193405843334E-5</v>
      </c>
      <c r="L153" s="3">
        <v>40</v>
      </c>
      <c r="M153" s="3">
        <v>3</v>
      </c>
      <c r="N153" s="3">
        <v>6</v>
      </c>
      <c r="S153">
        <v>0</v>
      </c>
      <c r="T153">
        <v>-0.59999999997671694</v>
      </c>
      <c r="U153">
        <v>-0.10000000000582079</v>
      </c>
      <c r="W153" s="3">
        <v>40</v>
      </c>
      <c r="X153" s="3">
        <v>3</v>
      </c>
      <c r="Y153" s="3">
        <v>6</v>
      </c>
      <c r="Z153">
        <v>238.94</v>
      </c>
      <c r="AA153">
        <v>1.5679999999999999E-2</v>
      </c>
      <c r="AB153">
        <v>0</v>
      </c>
      <c r="AC153">
        <v>0</v>
      </c>
      <c r="AD153">
        <v>90.3</v>
      </c>
      <c r="AE153">
        <v>985930.4</v>
      </c>
      <c r="AF153">
        <v>185522</v>
      </c>
      <c r="AH153" s="3">
        <v>60</v>
      </c>
      <c r="AI153" s="3">
        <v>3</v>
      </c>
      <c r="AJ153" s="3">
        <v>5</v>
      </c>
      <c r="AO153">
        <v>92.4</v>
      </c>
      <c r="AP153">
        <v>1032014.4</v>
      </c>
      <c r="AQ153">
        <v>214239.5</v>
      </c>
    </row>
    <row r="154" spans="1:43" x14ac:dyDescent="0.25">
      <c r="A154" s="3">
        <v>40</v>
      </c>
      <c r="B154" s="3">
        <v>3</v>
      </c>
      <c r="C154" s="3">
        <v>7</v>
      </c>
      <c r="H154">
        <v>0</v>
      </c>
      <c r="I154">
        <v>5.6008576048065629E-5</v>
      </c>
      <c r="J154">
        <v>0</v>
      </c>
      <c r="L154" s="3">
        <v>40</v>
      </c>
      <c r="M154" s="3">
        <v>3</v>
      </c>
      <c r="N154" s="3">
        <v>7</v>
      </c>
      <c r="S154">
        <v>0</v>
      </c>
      <c r="T154">
        <v>-0.70000000018626451</v>
      </c>
      <c r="U154">
        <v>0</v>
      </c>
      <c r="W154" s="3">
        <v>40</v>
      </c>
      <c r="X154" s="3">
        <v>3</v>
      </c>
      <c r="Y154" s="3">
        <v>7</v>
      </c>
      <c r="Z154">
        <v>277.7</v>
      </c>
      <c r="AA154">
        <v>1.5720000000000001E-2</v>
      </c>
      <c r="AB154">
        <v>0</v>
      </c>
      <c r="AC154">
        <v>0</v>
      </c>
      <c r="AD154">
        <v>92.8</v>
      </c>
      <c r="AE154">
        <v>1249807.8999999999</v>
      </c>
      <c r="AF154">
        <v>259557.5</v>
      </c>
      <c r="AH154" s="3">
        <v>60</v>
      </c>
      <c r="AI154" s="3">
        <v>3</v>
      </c>
      <c r="AJ154" s="3">
        <v>6</v>
      </c>
      <c r="AO154">
        <v>94.7</v>
      </c>
      <c r="AP154">
        <v>1212231.8999999999</v>
      </c>
      <c r="AQ154">
        <v>270311.59999999998</v>
      </c>
    </row>
    <row r="155" spans="1:43" x14ac:dyDescent="0.25">
      <c r="A155" s="3">
        <v>40</v>
      </c>
      <c r="B155" s="3">
        <v>3</v>
      </c>
      <c r="C155" s="3">
        <v>8</v>
      </c>
      <c r="H155">
        <v>0</v>
      </c>
      <c r="I155">
        <v>5.421897131610156E-5</v>
      </c>
      <c r="J155">
        <v>3.0057018156457881E-5</v>
      </c>
      <c r="L155" s="3">
        <v>40</v>
      </c>
      <c r="M155" s="3">
        <v>3</v>
      </c>
      <c r="N155" s="3">
        <v>8</v>
      </c>
      <c r="S155">
        <v>0</v>
      </c>
      <c r="T155">
        <v>-0.80000000004656613</v>
      </c>
      <c r="U155">
        <v>-9.9999999976716936E-2</v>
      </c>
      <c r="W155" s="3">
        <v>40</v>
      </c>
      <c r="X155" s="3">
        <v>3</v>
      </c>
      <c r="Y155" s="3">
        <v>8</v>
      </c>
      <c r="Z155">
        <v>311.17</v>
      </c>
      <c r="AA155">
        <v>1.5740000000000001E-2</v>
      </c>
      <c r="AB155">
        <v>0</v>
      </c>
      <c r="AC155">
        <v>0</v>
      </c>
      <c r="AD155">
        <v>95.5</v>
      </c>
      <c r="AE155">
        <v>1475497.5</v>
      </c>
      <c r="AF155">
        <v>332700.90000000002</v>
      </c>
      <c r="AH155" s="3">
        <v>60</v>
      </c>
      <c r="AI155" s="3">
        <v>3</v>
      </c>
      <c r="AJ155" s="3">
        <v>7</v>
      </c>
      <c r="AO155">
        <v>97.3</v>
      </c>
      <c r="AP155">
        <v>1384233</v>
      </c>
      <c r="AQ155">
        <v>330159.5</v>
      </c>
    </row>
    <row r="156" spans="1:43" x14ac:dyDescent="0.25">
      <c r="A156" s="3">
        <v>40</v>
      </c>
      <c r="B156" s="3">
        <v>3</v>
      </c>
      <c r="C156" s="3">
        <v>9</v>
      </c>
      <c r="H156">
        <v>0</v>
      </c>
      <c r="I156">
        <v>6.4567650614647776E-5</v>
      </c>
      <c r="J156">
        <v>4.9711548741338771E-5</v>
      </c>
      <c r="L156" s="3">
        <v>40</v>
      </c>
      <c r="M156" s="3">
        <v>3</v>
      </c>
      <c r="N156" s="3">
        <v>9</v>
      </c>
      <c r="S156">
        <v>0</v>
      </c>
      <c r="T156">
        <v>-2.200000000186265</v>
      </c>
      <c r="U156">
        <v>-0.2000000000116415</v>
      </c>
      <c r="W156" s="3">
        <v>40</v>
      </c>
      <c r="X156" s="3">
        <v>3</v>
      </c>
      <c r="Y156" s="3">
        <v>9</v>
      </c>
      <c r="Z156">
        <v>343.61</v>
      </c>
      <c r="AA156">
        <v>1.576E-2</v>
      </c>
      <c r="AB156">
        <v>87.3</v>
      </c>
      <c r="AC156">
        <v>4.5</v>
      </c>
      <c r="AD156">
        <v>109.8</v>
      </c>
      <c r="AE156">
        <v>3407276.8</v>
      </c>
      <c r="AF156">
        <v>402320.8</v>
      </c>
      <c r="AH156" s="3">
        <v>60</v>
      </c>
      <c r="AI156" s="3">
        <v>3</v>
      </c>
      <c r="AJ156" s="3">
        <v>8</v>
      </c>
      <c r="AO156">
        <v>100.1</v>
      </c>
      <c r="AP156">
        <v>1557755</v>
      </c>
      <c r="AQ156">
        <v>397873.8</v>
      </c>
    </row>
    <row r="157" spans="1:43" x14ac:dyDescent="0.25">
      <c r="A157" s="3">
        <v>40</v>
      </c>
      <c r="B157" s="3">
        <v>3</v>
      </c>
      <c r="C157" s="3">
        <v>10</v>
      </c>
      <c r="H157">
        <v>0</v>
      </c>
      <c r="I157">
        <v>7.0723858693730332E-5</v>
      </c>
      <c r="J157">
        <v>3.8094998654265441E-5</v>
      </c>
      <c r="L157" s="3">
        <v>40</v>
      </c>
      <c r="M157" s="3">
        <v>3</v>
      </c>
      <c r="N157" s="3">
        <v>10</v>
      </c>
      <c r="S157">
        <v>0</v>
      </c>
      <c r="T157">
        <v>-3</v>
      </c>
      <c r="U157">
        <v>-0.20000000006984919</v>
      </c>
      <c r="W157" s="3">
        <v>40</v>
      </c>
      <c r="X157" s="3">
        <v>3</v>
      </c>
      <c r="Y157" s="3">
        <v>10</v>
      </c>
      <c r="Z157">
        <v>388.31</v>
      </c>
      <c r="AA157">
        <v>1.5720000000000001E-2</v>
      </c>
      <c r="AB157">
        <v>97.7</v>
      </c>
      <c r="AC157">
        <v>5.0999999999999996</v>
      </c>
      <c r="AD157">
        <v>117.7</v>
      </c>
      <c r="AE157">
        <v>4241847</v>
      </c>
      <c r="AF157">
        <v>525003.1</v>
      </c>
      <c r="AH157" s="3">
        <v>60</v>
      </c>
      <c r="AI157" s="3">
        <v>3</v>
      </c>
      <c r="AJ157" s="3">
        <v>9</v>
      </c>
      <c r="AO157">
        <v>117.9</v>
      </c>
      <c r="AP157">
        <v>3478405</v>
      </c>
      <c r="AQ157">
        <v>463583.7</v>
      </c>
    </row>
    <row r="158" spans="1:43" x14ac:dyDescent="0.25">
      <c r="A158" s="3">
        <v>40</v>
      </c>
      <c r="B158" s="3">
        <v>3</v>
      </c>
      <c r="C158" s="3">
        <v>11</v>
      </c>
      <c r="H158">
        <v>0</v>
      </c>
      <c r="I158">
        <v>8.3664408230372023E-5</v>
      </c>
      <c r="J158">
        <v>7.9646363773138165E-6</v>
      </c>
      <c r="L158" s="3">
        <v>40</v>
      </c>
      <c r="M158" s="3">
        <v>3</v>
      </c>
      <c r="N158" s="3">
        <v>11</v>
      </c>
      <c r="S158">
        <v>0</v>
      </c>
      <c r="T158">
        <v>-3.099999999627471</v>
      </c>
      <c r="U158">
        <v>-1</v>
      </c>
      <c r="W158" s="3">
        <v>40</v>
      </c>
      <c r="X158" s="3">
        <v>3</v>
      </c>
      <c r="Y158" s="3">
        <v>11</v>
      </c>
      <c r="Z158">
        <v>442.64</v>
      </c>
      <c r="AA158">
        <v>1.5679999999999999E-2</v>
      </c>
      <c r="AB158">
        <v>13431</v>
      </c>
      <c r="AC158">
        <v>5.0999999999999996</v>
      </c>
      <c r="AD158">
        <v>211.1</v>
      </c>
      <c r="AE158">
        <v>3705276.2</v>
      </c>
      <c r="AF158">
        <v>12555500</v>
      </c>
      <c r="AH158" s="3">
        <v>60</v>
      </c>
      <c r="AI158" s="3">
        <v>3</v>
      </c>
      <c r="AJ158" s="3">
        <v>10</v>
      </c>
      <c r="AO158">
        <v>127.3</v>
      </c>
      <c r="AP158">
        <v>4294666</v>
      </c>
      <c r="AQ158">
        <v>601906.30000000005</v>
      </c>
    </row>
    <row r="159" spans="1:43" x14ac:dyDescent="0.25">
      <c r="A159" s="3">
        <v>40</v>
      </c>
      <c r="B159" s="3">
        <v>3</v>
      </c>
      <c r="C159" s="3">
        <v>12</v>
      </c>
      <c r="H159">
        <v>0</v>
      </c>
      <c r="I159">
        <v>0</v>
      </c>
      <c r="J159">
        <v>0</v>
      </c>
      <c r="L159" s="3">
        <v>40</v>
      </c>
      <c r="M159" s="3">
        <v>3</v>
      </c>
      <c r="N159" s="3">
        <v>12</v>
      </c>
      <c r="S159">
        <v>0</v>
      </c>
      <c r="T159">
        <v>0</v>
      </c>
      <c r="U159">
        <v>0</v>
      </c>
      <c r="W159" s="3">
        <v>40</v>
      </c>
      <c r="X159" s="3">
        <v>3</v>
      </c>
      <c r="Y159" s="3">
        <v>12</v>
      </c>
      <c r="Z159">
        <v>93.83</v>
      </c>
      <c r="AA159">
        <v>1.5640000000000001E-2</v>
      </c>
      <c r="AB159">
        <v>97.6</v>
      </c>
      <c r="AC159">
        <v>5.0999999999999996</v>
      </c>
      <c r="AD159">
        <v>86.1</v>
      </c>
      <c r="AE159">
        <v>146941.70000000001</v>
      </c>
      <c r="AF159">
        <v>6756.8</v>
      </c>
      <c r="AH159" s="3">
        <v>60</v>
      </c>
      <c r="AI159" s="3">
        <v>3</v>
      </c>
      <c r="AJ159" s="3">
        <v>11</v>
      </c>
      <c r="AO159">
        <v>238.5</v>
      </c>
      <c r="AP159">
        <v>3551436.5</v>
      </c>
      <c r="AQ159">
        <v>12612721</v>
      </c>
    </row>
    <row r="160" spans="1:43" x14ac:dyDescent="0.25">
      <c r="A160" s="3">
        <v>40</v>
      </c>
      <c r="B160" s="3">
        <v>3</v>
      </c>
      <c r="C160" s="3">
        <v>13</v>
      </c>
      <c r="H160">
        <v>0</v>
      </c>
      <c r="I160">
        <v>8.5364292121576485E-5</v>
      </c>
      <c r="J160">
        <v>0</v>
      </c>
      <c r="L160" s="3">
        <v>40</v>
      </c>
      <c r="M160" s="3">
        <v>3</v>
      </c>
      <c r="N160" s="3">
        <v>13</v>
      </c>
      <c r="S160">
        <v>0</v>
      </c>
      <c r="T160">
        <v>-0.10000000000582079</v>
      </c>
      <c r="U160">
        <v>0</v>
      </c>
      <c r="W160" s="3">
        <v>40</v>
      </c>
      <c r="X160" s="3">
        <v>3</v>
      </c>
      <c r="Y160" s="3">
        <v>13</v>
      </c>
      <c r="Z160">
        <v>91.3</v>
      </c>
      <c r="AA160">
        <v>1.5599999999999999E-2</v>
      </c>
      <c r="AB160">
        <v>97.6</v>
      </c>
      <c r="AC160">
        <v>5.0999999999999996</v>
      </c>
      <c r="AD160">
        <v>85.9</v>
      </c>
      <c r="AE160">
        <v>117144.9</v>
      </c>
      <c r="AF160">
        <v>4705.3</v>
      </c>
      <c r="AH160" s="3">
        <v>60</v>
      </c>
      <c r="AI160" s="3">
        <v>3</v>
      </c>
      <c r="AJ160" s="3">
        <v>12</v>
      </c>
      <c r="AO160">
        <v>86.4</v>
      </c>
      <c r="AP160">
        <v>147294.5</v>
      </c>
      <c r="AQ160">
        <v>6403.9</v>
      </c>
    </row>
    <row r="161" spans="1:43" x14ac:dyDescent="0.25">
      <c r="A161" s="3">
        <v>40</v>
      </c>
      <c r="B161" s="3">
        <v>3</v>
      </c>
      <c r="C161" s="3">
        <v>14</v>
      </c>
      <c r="H161">
        <v>0</v>
      </c>
      <c r="I161">
        <v>0</v>
      </c>
      <c r="J161">
        <v>0</v>
      </c>
      <c r="L161" s="3">
        <v>40</v>
      </c>
      <c r="M161" s="3">
        <v>3</v>
      </c>
      <c r="N161" s="3">
        <v>14</v>
      </c>
      <c r="S161">
        <v>0</v>
      </c>
      <c r="T161">
        <v>0</v>
      </c>
      <c r="U161">
        <v>0</v>
      </c>
      <c r="W161" s="3">
        <v>40</v>
      </c>
      <c r="X161" s="3">
        <v>3</v>
      </c>
      <c r="Y161" s="3">
        <v>14</v>
      </c>
      <c r="Z161">
        <v>88.35</v>
      </c>
      <c r="AA161">
        <v>1.555E-2</v>
      </c>
      <c r="AB161">
        <v>96.3</v>
      </c>
      <c r="AC161">
        <v>5</v>
      </c>
      <c r="AD161">
        <v>85.5</v>
      </c>
      <c r="AE161">
        <v>72572</v>
      </c>
      <c r="AF161">
        <v>2419.5</v>
      </c>
      <c r="AH161" s="3">
        <v>60</v>
      </c>
      <c r="AI161" s="3">
        <v>3</v>
      </c>
      <c r="AJ161" s="3">
        <v>13</v>
      </c>
      <c r="AO161">
        <v>86.1</v>
      </c>
      <c r="AP161">
        <v>117437.9</v>
      </c>
      <c r="AQ161">
        <v>4412.3999999999996</v>
      </c>
    </row>
    <row r="162" spans="1:43" x14ac:dyDescent="0.25">
      <c r="A162" s="3">
        <v>40</v>
      </c>
      <c r="B162" s="3">
        <v>4</v>
      </c>
      <c r="C162" s="3">
        <v>1</v>
      </c>
      <c r="D162">
        <v>0</v>
      </c>
      <c r="E162">
        <v>6.451612903225544E-2</v>
      </c>
      <c r="H162">
        <v>0</v>
      </c>
      <c r="L162" s="3">
        <v>40</v>
      </c>
      <c r="M162" s="3">
        <v>4</v>
      </c>
      <c r="N162" s="3">
        <v>1</v>
      </c>
      <c r="O162">
        <v>0</v>
      </c>
      <c r="P162">
        <v>9.9999999999995925E-6</v>
      </c>
      <c r="S162">
        <v>0</v>
      </c>
      <c r="T162">
        <v>0</v>
      </c>
      <c r="U162">
        <v>0</v>
      </c>
      <c r="W162" s="3">
        <v>40</v>
      </c>
      <c r="X162" s="3">
        <v>4</v>
      </c>
      <c r="Y162" s="3">
        <v>1</v>
      </c>
      <c r="Z162">
        <v>85</v>
      </c>
      <c r="AA162">
        <v>1.5509999999999999E-2</v>
      </c>
      <c r="AB162">
        <v>0.1</v>
      </c>
      <c r="AC162">
        <v>0</v>
      </c>
      <c r="AD162">
        <v>85</v>
      </c>
      <c r="AE162">
        <v>0</v>
      </c>
      <c r="AF162">
        <v>0</v>
      </c>
      <c r="AH162" s="3">
        <v>60</v>
      </c>
      <c r="AI162" s="3">
        <v>3</v>
      </c>
      <c r="AJ162" s="3">
        <v>14</v>
      </c>
      <c r="AO162">
        <v>85.7</v>
      </c>
      <c r="AP162">
        <v>72755.7</v>
      </c>
      <c r="AQ162">
        <v>2235.8000000000002</v>
      </c>
    </row>
    <row r="163" spans="1:43" x14ac:dyDescent="0.25">
      <c r="A163" s="3">
        <v>40</v>
      </c>
      <c r="B163" s="3">
        <v>4</v>
      </c>
      <c r="C163" s="3">
        <v>2</v>
      </c>
      <c r="H163">
        <v>0</v>
      </c>
      <c r="L163" s="3">
        <v>40</v>
      </c>
      <c r="M163" s="3">
        <v>4</v>
      </c>
      <c r="N163" s="3">
        <v>2</v>
      </c>
      <c r="S163">
        <v>0</v>
      </c>
      <c r="T163">
        <v>0</v>
      </c>
      <c r="U163">
        <v>0</v>
      </c>
      <c r="W163" s="3">
        <v>40</v>
      </c>
      <c r="X163" s="3">
        <v>4</v>
      </c>
      <c r="Y163" s="3">
        <v>2</v>
      </c>
      <c r="Z163">
        <v>85</v>
      </c>
      <c r="AA163">
        <v>1.5509999999999999E-2</v>
      </c>
      <c r="AB163">
        <v>0.1</v>
      </c>
      <c r="AC163">
        <v>0</v>
      </c>
      <c r="AD163">
        <v>85</v>
      </c>
      <c r="AE163">
        <v>0</v>
      </c>
      <c r="AF163">
        <v>0</v>
      </c>
      <c r="AH163" s="3">
        <v>60</v>
      </c>
      <c r="AI163" s="3">
        <v>4</v>
      </c>
      <c r="AJ163" s="3">
        <v>1</v>
      </c>
      <c r="AK163">
        <v>85</v>
      </c>
      <c r="AL163">
        <v>1.55E-2</v>
      </c>
      <c r="AO163">
        <v>85</v>
      </c>
      <c r="AP163">
        <v>0</v>
      </c>
      <c r="AQ163">
        <v>0</v>
      </c>
    </row>
    <row r="164" spans="1:43" x14ac:dyDescent="0.25">
      <c r="A164" s="3">
        <v>40</v>
      </c>
      <c r="B164" s="3">
        <v>5</v>
      </c>
      <c r="C164" s="3">
        <v>1</v>
      </c>
      <c r="D164">
        <v>5.8823529411761361E-2</v>
      </c>
      <c r="E164">
        <v>6.451612903225544E-2</v>
      </c>
      <c r="L164" s="3">
        <v>40</v>
      </c>
      <c r="M164" s="3">
        <v>5</v>
      </c>
      <c r="N164" s="3">
        <v>1</v>
      </c>
      <c r="O164">
        <v>4.9999999999997158E-2</v>
      </c>
      <c r="P164">
        <v>9.9999999999995925E-6</v>
      </c>
      <c r="W164" s="3">
        <v>40</v>
      </c>
      <c r="X164" s="3">
        <v>5</v>
      </c>
      <c r="Y164" s="3">
        <v>1</v>
      </c>
      <c r="Z164">
        <v>85.05</v>
      </c>
      <c r="AA164">
        <v>1.5509999999999999E-2</v>
      </c>
      <c r="AH164" s="3">
        <v>60</v>
      </c>
      <c r="AI164" s="3">
        <v>4</v>
      </c>
      <c r="AJ164" s="3">
        <v>2</v>
      </c>
      <c r="AO164">
        <v>85</v>
      </c>
      <c r="AP164">
        <v>0</v>
      </c>
      <c r="AQ164">
        <v>0</v>
      </c>
    </row>
    <row r="165" spans="1:43" x14ac:dyDescent="0.25">
      <c r="A165" s="3">
        <v>40</v>
      </c>
      <c r="B165" s="3">
        <v>5</v>
      </c>
      <c r="C165" s="3">
        <v>2</v>
      </c>
      <c r="L165" s="3">
        <v>40</v>
      </c>
      <c r="M165" s="3">
        <v>5</v>
      </c>
      <c r="N165" s="3">
        <v>2</v>
      </c>
      <c r="W165" s="3">
        <v>40</v>
      </c>
      <c r="X165" s="3">
        <v>5</v>
      </c>
      <c r="Y165" s="3">
        <v>2</v>
      </c>
      <c r="Z165">
        <v>85.03</v>
      </c>
      <c r="AA165">
        <v>1.5509999999999999E-2</v>
      </c>
      <c r="AH165" s="3">
        <v>60</v>
      </c>
      <c r="AI165" s="3">
        <v>5</v>
      </c>
      <c r="AJ165" s="3">
        <v>1</v>
      </c>
      <c r="AK165">
        <v>85.5</v>
      </c>
      <c r="AL165">
        <v>1.55E-2</v>
      </c>
    </row>
    <row r="166" spans="1:43" x14ac:dyDescent="0.25">
      <c r="A166" s="3">
        <v>50</v>
      </c>
      <c r="B166" s="3">
        <v>1</v>
      </c>
      <c r="C166" s="3">
        <v>1</v>
      </c>
      <c r="D166">
        <v>1.1764705882358961E-2</v>
      </c>
      <c r="E166">
        <v>6.451612903225544E-2</v>
      </c>
      <c r="L166" s="3">
        <v>50</v>
      </c>
      <c r="M166" s="3">
        <v>1</v>
      </c>
      <c r="N166" s="3">
        <v>1</v>
      </c>
      <c r="O166">
        <v>1.0000000000005119E-2</v>
      </c>
      <c r="P166">
        <v>9.9999999999995925E-6</v>
      </c>
      <c r="W166" s="3">
        <v>50</v>
      </c>
      <c r="X166" s="3">
        <v>1</v>
      </c>
      <c r="Y166" s="3">
        <v>1</v>
      </c>
      <c r="Z166">
        <v>85.01</v>
      </c>
      <c r="AA166">
        <v>1.5509999999999999E-2</v>
      </c>
      <c r="AB166">
        <v>1</v>
      </c>
      <c r="AC166">
        <v>0</v>
      </c>
      <c r="AH166" s="3">
        <v>70</v>
      </c>
      <c r="AI166" s="3">
        <v>1</v>
      </c>
      <c r="AJ166" s="3">
        <v>1</v>
      </c>
      <c r="AK166">
        <v>85</v>
      </c>
      <c r="AL166">
        <v>1.55E-2</v>
      </c>
    </row>
    <row r="167" spans="1:43" x14ac:dyDescent="0.25">
      <c r="A167" s="3">
        <v>50</v>
      </c>
      <c r="B167" s="3">
        <v>1</v>
      </c>
      <c r="C167" s="3">
        <v>2</v>
      </c>
      <c r="L167" s="3">
        <v>50</v>
      </c>
      <c r="M167" s="3">
        <v>1</v>
      </c>
      <c r="N167" s="3">
        <v>2</v>
      </c>
      <c r="W167" s="3">
        <v>50</v>
      </c>
      <c r="X167" s="3">
        <v>1</v>
      </c>
      <c r="Y167" s="3">
        <v>2</v>
      </c>
      <c r="Z167">
        <v>85.02</v>
      </c>
      <c r="AA167">
        <v>1.5509999999999999E-2</v>
      </c>
      <c r="AB167">
        <v>1</v>
      </c>
      <c r="AC167">
        <v>0</v>
      </c>
      <c r="AH167" s="3">
        <v>70</v>
      </c>
      <c r="AI167" s="3">
        <v>2</v>
      </c>
      <c r="AJ167" s="3">
        <v>1</v>
      </c>
      <c r="AK167">
        <v>90.6</v>
      </c>
      <c r="AL167">
        <v>1.55E-2</v>
      </c>
      <c r="AO167">
        <v>85.1</v>
      </c>
      <c r="AP167">
        <v>105989.4</v>
      </c>
      <c r="AQ167">
        <v>15356.8</v>
      </c>
    </row>
    <row r="168" spans="1:43" x14ac:dyDescent="0.25">
      <c r="A168" s="3">
        <v>50</v>
      </c>
      <c r="B168" s="3">
        <v>1</v>
      </c>
      <c r="C168" s="3">
        <v>3</v>
      </c>
      <c r="L168" s="3">
        <v>50</v>
      </c>
      <c r="M168" s="3">
        <v>1</v>
      </c>
      <c r="N168" s="3">
        <v>3</v>
      </c>
      <c r="W168" s="3">
        <v>50</v>
      </c>
      <c r="X168" s="3">
        <v>1</v>
      </c>
      <c r="Y168" s="3">
        <v>3</v>
      </c>
      <c r="Z168">
        <v>85.03</v>
      </c>
      <c r="AA168">
        <v>1.5509999999999999E-2</v>
      </c>
      <c r="AB168">
        <v>1</v>
      </c>
      <c r="AC168">
        <v>0</v>
      </c>
      <c r="AH168" s="3">
        <v>70</v>
      </c>
      <c r="AI168" s="3">
        <v>2</v>
      </c>
      <c r="AJ168" s="3">
        <v>2</v>
      </c>
      <c r="AO168">
        <v>85.6</v>
      </c>
      <c r="AP168">
        <v>421278.9</v>
      </c>
      <c r="AQ168">
        <v>63592.2</v>
      </c>
    </row>
    <row r="169" spans="1:43" x14ac:dyDescent="0.25">
      <c r="A169" s="3">
        <v>50</v>
      </c>
      <c r="B169" s="3">
        <v>1</v>
      </c>
      <c r="C169" s="3">
        <v>4</v>
      </c>
      <c r="L169" s="3">
        <v>50</v>
      </c>
      <c r="M169" s="3">
        <v>1</v>
      </c>
      <c r="N169" s="3">
        <v>4</v>
      </c>
      <c r="W169" s="3">
        <v>50</v>
      </c>
      <c r="X169" s="3">
        <v>1</v>
      </c>
      <c r="Y169" s="3">
        <v>4</v>
      </c>
      <c r="Z169">
        <v>85.03</v>
      </c>
      <c r="AA169">
        <v>1.5509999999999999E-2</v>
      </c>
      <c r="AB169">
        <v>1</v>
      </c>
      <c r="AC169">
        <v>0</v>
      </c>
      <c r="AH169" s="3">
        <v>70</v>
      </c>
      <c r="AI169" s="3">
        <v>3</v>
      </c>
      <c r="AJ169" s="3">
        <v>1</v>
      </c>
      <c r="AK169">
        <v>155.69999999999999</v>
      </c>
      <c r="AL169">
        <v>1.5599999999999999E-2</v>
      </c>
      <c r="AO169">
        <v>87.3</v>
      </c>
      <c r="AP169">
        <v>409740.1</v>
      </c>
      <c r="AQ169">
        <v>67473.5</v>
      </c>
    </row>
    <row r="170" spans="1:43" x14ac:dyDescent="0.25">
      <c r="A170" s="3">
        <v>50</v>
      </c>
      <c r="B170" s="3">
        <v>1</v>
      </c>
      <c r="C170" s="3">
        <v>5</v>
      </c>
      <c r="L170" s="3">
        <v>50</v>
      </c>
      <c r="M170" s="3">
        <v>1</v>
      </c>
      <c r="N170" s="3">
        <v>5</v>
      </c>
      <c r="W170" s="3">
        <v>50</v>
      </c>
      <c r="X170" s="3">
        <v>1</v>
      </c>
      <c r="Y170" s="3">
        <v>5</v>
      </c>
      <c r="Z170">
        <v>85.04</v>
      </c>
      <c r="AA170">
        <v>1.5509999999999999E-2</v>
      </c>
      <c r="AB170">
        <v>1</v>
      </c>
      <c r="AC170">
        <v>0</v>
      </c>
      <c r="AH170" s="3">
        <v>70</v>
      </c>
      <c r="AI170" s="3">
        <v>3</v>
      </c>
      <c r="AJ170" s="3">
        <v>2</v>
      </c>
      <c r="AO170">
        <v>88.6</v>
      </c>
      <c r="AP170">
        <v>586054.69999999995</v>
      </c>
      <c r="AQ170">
        <v>103550.7</v>
      </c>
    </row>
    <row r="171" spans="1:43" x14ac:dyDescent="0.25">
      <c r="A171" s="3">
        <v>50</v>
      </c>
      <c r="B171" s="3">
        <v>1</v>
      </c>
      <c r="C171" s="3">
        <v>6</v>
      </c>
      <c r="L171" s="3">
        <v>50</v>
      </c>
      <c r="M171" s="3">
        <v>1</v>
      </c>
      <c r="N171" s="3">
        <v>6</v>
      </c>
      <c r="W171" s="3">
        <v>50</v>
      </c>
      <c r="X171" s="3">
        <v>1</v>
      </c>
      <c r="Y171" s="3">
        <v>6</v>
      </c>
      <c r="Z171">
        <v>85.04</v>
      </c>
      <c r="AA171">
        <v>1.5509999999999999E-2</v>
      </c>
      <c r="AB171">
        <v>1</v>
      </c>
      <c r="AC171">
        <v>0</v>
      </c>
      <c r="AH171" s="3">
        <v>70</v>
      </c>
      <c r="AI171" s="3">
        <v>3</v>
      </c>
      <c r="AJ171" s="3">
        <v>3</v>
      </c>
      <c r="AO171">
        <v>90.2</v>
      </c>
      <c r="AP171">
        <v>770097.5</v>
      </c>
      <c r="AQ171">
        <v>146664.9</v>
      </c>
    </row>
    <row r="172" spans="1:43" x14ac:dyDescent="0.25">
      <c r="A172" s="3">
        <v>50</v>
      </c>
      <c r="B172" s="3">
        <v>1</v>
      </c>
      <c r="C172" s="3">
        <v>7</v>
      </c>
      <c r="L172" s="3">
        <v>50</v>
      </c>
      <c r="M172" s="3">
        <v>1</v>
      </c>
      <c r="N172" s="3">
        <v>7</v>
      </c>
      <c r="W172" s="3">
        <v>50</v>
      </c>
      <c r="X172" s="3">
        <v>1</v>
      </c>
      <c r="Y172" s="3">
        <v>7</v>
      </c>
      <c r="Z172">
        <v>85.04</v>
      </c>
      <c r="AA172">
        <v>1.5509999999999999E-2</v>
      </c>
      <c r="AB172">
        <v>1</v>
      </c>
      <c r="AC172">
        <v>0</v>
      </c>
      <c r="AH172" s="3">
        <v>70</v>
      </c>
      <c r="AI172" s="3">
        <v>3</v>
      </c>
      <c r="AJ172" s="3">
        <v>4</v>
      </c>
      <c r="AO172">
        <v>92.1</v>
      </c>
      <c r="AP172">
        <v>942829.2</v>
      </c>
      <c r="AQ172">
        <v>193418.3</v>
      </c>
    </row>
    <row r="173" spans="1:43" x14ac:dyDescent="0.25">
      <c r="A173" s="3">
        <v>50</v>
      </c>
      <c r="B173" s="3">
        <v>1</v>
      </c>
      <c r="C173" s="3">
        <v>8</v>
      </c>
      <c r="L173" s="3">
        <v>50</v>
      </c>
      <c r="M173" s="3">
        <v>1</v>
      </c>
      <c r="N173" s="3">
        <v>8</v>
      </c>
      <c r="W173" s="3">
        <v>50</v>
      </c>
      <c r="X173" s="3">
        <v>1</v>
      </c>
      <c r="Y173" s="3">
        <v>8</v>
      </c>
      <c r="Z173">
        <v>85.04</v>
      </c>
      <c r="AA173">
        <v>1.5509999999999999E-2</v>
      </c>
      <c r="AB173">
        <v>1</v>
      </c>
      <c r="AC173">
        <v>0</v>
      </c>
      <c r="AH173" s="3">
        <v>70</v>
      </c>
      <c r="AI173" s="3">
        <v>3</v>
      </c>
      <c r="AJ173" s="3">
        <v>5</v>
      </c>
      <c r="AO173">
        <v>94.2</v>
      </c>
      <c r="AP173">
        <v>1103504</v>
      </c>
      <c r="AQ173">
        <v>241985.5</v>
      </c>
    </row>
    <row r="174" spans="1:43" x14ac:dyDescent="0.25">
      <c r="A174" s="3">
        <v>50</v>
      </c>
      <c r="B174" s="3">
        <v>1</v>
      </c>
      <c r="C174" s="3">
        <v>9</v>
      </c>
      <c r="L174" s="3">
        <v>50</v>
      </c>
      <c r="M174" s="3">
        <v>1</v>
      </c>
      <c r="N174" s="3">
        <v>9</v>
      </c>
      <c r="W174" s="3">
        <v>50</v>
      </c>
      <c r="X174" s="3">
        <v>1</v>
      </c>
      <c r="Y174" s="3">
        <v>9</v>
      </c>
      <c r="Z174">
        <v>85.04</v>
      </c>
      <c r="AA174">
        <v>1.5509999999999999E-2</v>
      </c>
      <c r="AB174">
        <v>1</v>
      </c>
      <c r="AC174">
        <v>0</v>
      </c>
      <c r="AH174" s="3">
        <v>70</v>
      </c>
      <c r="AI174" s="3">
        <v>3</v>
      </c>
      <c r="AJ174" s="3">
        <v>6</v>
      </c>
      <c r="AO174">
        <v>96.6</v>
      </c>
      <c r="AP174">
        <v>1258243.3999999999</v>
      </c>
      <c r="AQ174">
        <v>293554.3</v>
      </c>
    </row>
    <row r="175" spans="1:43" x14ac:dyDescent="0.25">
      <c r="A175" s="3">
        <v>50</v>
      </c>
      <c r="B175" s="3">
        <v>1</v>
      </c>
      <c r="C175" s="3">
        <v>10</v>
      </c>
      <c r="L175" s="3">
        <v>50</v>
      </c>
      <c r="M175" s="3">
        <v>1</v>
      </c>
      <c r="N175" s="3">
        <v>10</v>
      </c>
      <c r="W175" s="3">
        <v>50</v>
      </c>
      <c r="X175" s="3">
        <v>1</v>
      </c>
      <c r="Y175" s="3">
        <v>10</v>
      </c>
      <c r="Z175">
        <v>85.04</v>
      </c>
      <c r="AA175">
        <v>1.5509999999999999E-2</v>
      </c>
      <c r="AB175">
        <v>1</v>
      </c>
      <c r="AC175">
        <v>0</v>
      </c>
      <c r="AH175" s="3">
        <v>70</v>
      </c>
      <c r="AI175" s="3">
        <v>3</v>
      </c>
      <c r="AJ175" s="3">
        <v>7</v>
      </c>
      <c r="AO175">
        <v>99.2</v>
      </c>
      <c r="AP175">
        <v>1413022.5</v>
      </c>
      <c r="AQ175">
        <v>351119.4</v>
      </c>
    </row>
    <row r="176" spans="1:43" x14ac:dyDescent="0.25">
      <c r="A176" s="3">
        <v>50</v>
      </c>
      <c r="B176" s="3">
        <v>2</v>
      </c>
      <c r="C176" s="3">
        <v>1</v>
      </c>
      <c r="D176">
        <v>5.834305717619271E-2</v>
      </c>
      <c r="E176">
        <v>6.451612903225544E-2</v>
      </c>
      <c r="H176">
        <v>0</v>
      </c>
      <c r="I176">
        <v>3.6139962848118191E-3</v>
      </c>
      <c r="J176">
        <v>5.2642661613042973E-3</v>
      </c>
      <c r="L176" s="3">
        <v>50</v>
      </c>
      <c r="M176" s="3">
        <v>2</v>
      </c>
      <c r="N176" s="3">
        <v>1</v>
      </c>
      <c r="O176">
        <v>4.9999999999997158E-2</v>
      </c>
      <c r="P176">
        <v>9.9999999999995925E-6</v>
      </c>
      <c r="S176">
        <v>0</v>
      </c>
      <c r="T176">
        <v>0.5</v>
      </c>
      <c r="U176">
        <v>0.1000000000001364</v>
      </c>
      <c r="W176" s="3">
        <v>50</v>
      </c>
      <c r="X176" s="3">
        <v>2</v>
      </c>
      <c r="Y176" s="3">
        <v>1</v>
      </c>
      <c r="Z176">
        <v>85.75</v>
      </c>
      <c r="AA176">
        <v>1.5509999999999999E-2</v>
      </c>
      <c r="AB176">
        <v>0.1</v>
      </c>
      <c r="AC176">
        <v>0</v>
      </c>
      <c r="AD176">
        <v>85</v>
      </c>
      <c r="AE176">
        <v>13835.6</v>
      </c>
      <c r="AF176">
        <v>1899.7</v>
      </c>
      <c r="AH176" s="3">
        <v>70</v>
      </c>
      <c r="AI176" s="3">
        <v>3</v>
      </c>
      <c r="AJ176" s="3">
        <v>8</v>
      </c>
      <c r="AO176">
        <v>102.1</v>
      </c>
      <c r="AP176">
        <v>1576305.1</v>
      </c>
      <c r="AQ176">
        <v>417978.5</v>
      </c>
    </row>
    <row r="177" spans="1:43" x14ac:dyDescent="0.25">
      <c r="A177" s="3">
        <v>50</v>
      </c>
      <c r="B177" s="3">
        <v>2</v>
      </c>
      <c r="C177" s="3">
        <v>2</v>
      </c>
      <c r="H177">
        <v>0</v>
      </c>
      <c r="I177">
        <v>2.394406665993315E-4</v>
      </c>
      <c r="J177">
        <v>0</v>
      </c>
      <c r="L177" s="3">
        <v>50</v>
      </c>
      <c r="M177" s="3">
        <v>2</v>
      </c>
      <c r="N177" s="3">
        <v>2</v>
      </c>
      <c r="S177">
        <v>0</v>
      </c>
      <c r="T177">
        <v>0.19999999999708959</v>
      </c>
      <c r="U177">
        <v>0</v>
      </c>
      <c r="W177" s="3">
        <v>50</v>
      </c>
      <c r="X177" s="3">
        <v>2</v>
      </c>
      <c r="Y177" s="3">
        <v>2</v>
      </c>
      <c r="Z177">
        <v>89.41</v>
      </c>
      <c r="AA177">
        <v>1.5520000000000001E-2</v>
      </c>
      <c r="AB177">
        <v>0.1</v>
      </c>
      <c r="AC177">
        <v>0</v>
      </c>
      <c r="AD177">
        <v>85.1</v>
      </c>
      <c r="AE177">
        <v>83528.2</v>
      </c>
      <c r="AF177">
        <v>11565.3</v>
      </c>
      <c r="AH177" s="3">
        <v>70</v>
      </c>
      <c r="AI177" s="3">
        <v>3</v>
      </c>
      <c r="AJ177" s="3">
        <v>9</v>
      </c>
      <c r="AO177">
        <v>121.4</v>
      </c>
      <c r="AP177">
        <v>3484727.8</v>
      </c>
      <c r="AQ177">
        <v>482217.4</v>
      </c>
    </row>
    <row r="178" spans="1:43" x14ac:dyDescent="0.25">
      <c r="A178" s="3">
        <v>50</v>
      </c>
      <c r="B178" s="3">
        <v>3</v>
      </c>
      <c r="C178" s="3">
        <v>1</v>
      </c>
      <c r="D178">
        <v>1.8621973929232791E-2</v>
      </c>
      <c r="E178">
        <v>0.25806451612903297</v>
      </c>
      <c r="H178">
        <v>0</v>
      </c>
      <c r="I178">
        <v>0</v>
      </c>
      <c r="J178">
        <v>0</v>
      </c>
      <c r="L178" s="3">
        <v>50</v>
      </c>
      <c r="M178" s="3">
        <v>3</v>
      </c>
      <c r="N178" s="3">
        <v>1</v>
      </c>
      <c r="O178">
        <v>1.9999999999996021E-2</v>
      </c>
      <c r="P178">
        <v>4.0000000000000098E-5</v>
      </c>
      <c r="S178">
        <v>0</v>
      </c>
      <c r="T178">
        <v>0</v>
      </c>
      <c r="U178">
        <v>0</v>
      </c>
      <c r="W178" s="3">
        <v>50</v>
      </c>
      <c r="X178" s="3">
        <v>3</v>
      </c>
      <c r="Y178" s="3">
        <v>1</v>
      </c>
      <c r="Z178">
        <v>107.42</v>
      </c>
      <c r="AA178">
        <v>1.554E-2</v>
      </c>
      <c r="AB178">
        <v>0</v>
      </c>
      <c r="AC178">
        <v>0</v>
      </c>
      <c r="AD178">
        <v>85.5</v>
      </c>
      <c r="AE178">
        <v>128188.4</v>
      </c>
      <c r="AF178">
        <v>17988.5</v>
      </c>
      <c r="AH178" s="3">
        <v>70</v>
      </c>
      <c r="AI178" s="3">
        <v>3</v>
      </c>
      <c r="AJ178" s="3">
        <v>10</v>
      </c>
      <c r="AO178">
        <v>131.4</v>
      </c>
      <c r="AP178">
        <v>4292134</v>
      </c>
      <c r="AQ178">
        <v>625773.30000000005</v>
      </c>
    </row>
    <row r="179" spans="1:43" x14ac:dyDescent="0.25">
      <c r="A179" s="3">
        <v>50</v>
      </c>
      <c r="B179" s="3">
        <v>3</v>
      </c>
      <c r="C179" s="3">
        <v>2</v>
      </c>
      <c r="H179">
        <v>0</v>
      </c>
      <c r="I179">
        <v>0</v>
      </c>
      <c r="J179">
        <v>0</v>
      </c>
      <c r="L179" s="3">
        <v>50</v>
      </c>
      <c r="M179" s="3">
        <v>3</v>
      </c>
      <c r="N179" s="3">
        <v>2</v>
      </c>
      <c r="S179">
        <v>0</v>
      </c>
      <c r="T179">
        <v>0</v>
      </c>
      <c r="U179">
        <v>0</v>
      </c>
      <c r="W179" s="3">
        <v>50</v>
      </c>
      <c r="X179" s="3">
        <v>3</v>
      </c>
      <c r="Y179" s="3">
        <v>2</v>
      </c>
      <c r="Z179">
        <v>127.39</v>
      </c>
      <c r="AA179">
        <v>1.5559999999999999E-2</v>
      </c>
      <c r="AB179">
        <v>0</v>
      </c>
      <c r="AC179">
        <v>0</v>
      </c>
      <c r="AD179">
        <v>86.1</v>
      </c>
      <c r="AE179">
        <v>247095.3</v>
      </c>
      <c r="AF179">
        <v>36449.1</v>
      </c>
      <c r="AH179" s="3">
        <v>70</v>
      </c>
      <c r="AI179" s="3">
        <v>3</v>
      </c>
      <c r="AJ179" s="3">
        <v>11</v>
      </c>
      <c r="AO179">
        <v>250.2</v>
      </c>
      <c r="AP179">
        <v>3461225.3</v>
      </c>
      <c r="AQ179">
        <v>12624094</v>
      </c>
    </row>
    <row r="180" spans="1:43" x14ac:dyDescent="0.25">
      <c r="A180" s="3">
        <v>50</v>
      </c>
      <c r="B180" s="3">
        <v>3</v>
      </c>
      <c r="C180" s="3">
        <v>3</v>
      </c>
      <c r="H180">
        <v>0</v>
      </c>
      <c r="I180">
        <v>2.3358848197787061E-5</v>
      </c>
      <c r="J180">
        <v>0</v>
      </c>
      <c r="L180" s="3">
        <v>50</v>
      </c>
      <c r="M180" s="3">
        <v>3</v>
      </c>
      <c r="N180" s="3">
        <v>3</v>
      </c>
      <c r="S180">
        <v>0</v>
      </c>
      <c r="T180">
        <v>-9.9999999976716936E-2</v>
      </c>
      <c r="U180">
        <v>0</v>
      </c>
      <c r="W180" s="3">
        <v>50</v>
      </c>
      <c r="X180" s="3">
        <v>3</v>
      </c>
      <c r="Y180" s="3">
        <v>3</v>
      </c>
      <c r="Z180">
        <v>156.82</v>
      </c>
      <c r="AA180">
        <v>1.5599999999999999E-2</v>
      </c>
      <c r="AB180">
        <v>0</v>
      </c>
      <c r="AC180">
        <v>0</v>
      </c>
      <c r="AD180">
        <v>87</v>
      </c>
      <c r="AE180">
        <v>428103.2</v>
      </c>
      <c r="AF180">
        <v>67904</v>
      </c>
      <c r="AH180" s="3">
        <v>70</v>
      </c>
      <c r="AI180" s="3">
        <v>3</v>
      </c>
      <c r="AJ180" s="3">
        <v>12</v>
      </c>
      <c r="AO180">
        <v>86.5</v>
      </c>
      <c r="AP180">
        <v>147523.1</v>
      </c>
      <c r="AQ180">
        <v>6175.4</v>
      </c>
    </row>
    <row r="181" spans="1:43" x14ac:dyDescent="0.25">
      <c r="A181" s="3">
        <v>50</v>
      </c>
      <c r="B181" s="3">
        <v>3</v>
      </c>
      <c r="C181" s="3">
        <v>4</v>
      </c>
      <c r="H181">
        <v>0</v>
      </c>
      <c r="I181">
        <v>4.5349835440044743E-5</v>
      </c>
      <c r="J181">
        <v>0</v>
      </c>
      <c r="L181" s="3">
        <v>50</v>
      </c>
      <c r="M181" s="3">
        <v>3</v>
      </c>
      <c r="N181" s="3">
        <v>4</v>
      </c>
      <c r="S181">
        <v>0</v>
      </c>
      <c r="T181">
        <v>-0.30000000004656607</v>
      </c>
      <c r="U181">
        <v>0</v>
      </c>
      <c r="W181" s="3">
        <v>50</v>
      </c>
      <c r="X181" s="3">
        <v>3</v>
      </c>
      <c r="Y181" s="3">
        <v>4</v>
      </c>
      <c r="Z181">
        <v>193.29</v>
      </c>
      <c r="AA181">
        <v>1.5640000000000001E-2</v>
      </c>
      <c r="AB181">
        <v>0</v>
      </c>
      <c r="AC181">
        <v>0</v>
      </c>
      <c r="AD181">
        <v>88.5</v>
      </c>
      <c r="AE181">
        <v>661523.6</v>
      </c>
      <c r="AF181">
        <v>114588.9</v>
      </c>
      <c r="AH181" s="3">
        <v>70</v>
      </c>
      <c r="AI181" s="3">
        <v>3</v>
      </c>
      <c r="AJ181" s="3">
        <v>13</v>
      </c>
      <c r="AO181">
        <v>86.2</v>
      </c>
      <c r="AP181">
        <v>117614.3</v>
      </c>
      <c r="AQ181">
        <v>4236</v>
      </c>
    </row>
    <row r="182" spans="1:43" x14ac:dyDescent="0.25">
      <c r="A182" s="3">
        <v>50</v>
      </c>
      <c r="B182" s="3">
        <v>3</v>
      </c>
      <c r="C182" s="3">
        <v>5</v>
      </c>
      <c r="H182">
        <v>0</v>
      </c>
      <c r="I182">
        <v>1.1031661098229691E-5</v>
      </c>
      <c r="J182">
        <v>1.1548164217876991E-4</v>
      </c>
      <c r="L182" s="3">
        <v>50</v>
      </c>
      <c r="M182" s="3">
        <v>3</v>
      </c>
      <c r="N182" s="3">
        <v>5</v>
      </c>
      <c r="S182">
        <v>0</v>
      </c>
      <c r="T182">
        <v>-0.1000000000931323</v>
      </c>
      <c r="U182">
        <v>-0.2000000000116415</v>
      </c>
      <c r="W182" s="3">
        <v>50</v>
      </c>
      <c r="X182" s="3">
        <v>3</v>
      </c>
      <c r="Y182" s="3">
        <v>5</v>
      </c>
      <c r="Z182">
        <v>231.21</v>
      </c>
      <c r="AA182">
        <v>1.5689999999999999E-2</v>
      </c>
      <c r="AB182">
        <v>0</v>
      </c>
      <c r="AC182">
        <v>0</v>
      </c>
      <c r="AD182">
        <v>90.4</v>
      </c>
      <c r="AE182">
        <v>906481.7</v>
      </c>
      <c r="AF182">
        <v>173187.5</v>
      </c>
      <c r="AH182" s="3">
        <v>70</v>
      </c>
      <c r="AI182" s="3">
        <v>3</v>
      </c>
      <c r="AJ182" s="3">
        <v>14</v>
      </c>
      <c r="AO182">
        <v>85.7</v>
      </c>
      <c r="AP182">
        <v>72859</v>
      </c>
      <c r="AQ182">
        <v>2132.5</v>
      </c>
    </row>
    <row r="183" spans="1:43" x14ac:dyDescent="0.25">
      <c r="A183" s="3">
        <v>50</v>
      </c>
      <c r="B183" s="3">
        <v>3</v>
      </c>
      <c r="C183" s="3">
        <v>6</v>
      </c>
      <c r="H183">
        <v>0</v>
      </c>
      <c r="I183">
        <v>8.8330280426674347E-6</v>
      </c>
      <c r="J183">
        <v>0</v>
      </c>
      <c r="L183" s="3">
        <v>50</v>
      </c>
      <c r="M183" s="3">
        <v>3</v>
      </c>
      <c r="N183" s="3">
        <v>6</v>
      </c>
      <c r="S183">
        <v>0</v>
      </c>
      <c r="T183">
        <v>-0.1000000000931323</v>
      </c>
      <c r="U183">
        <v>0</v>
      </c>
      <c r="W183" s="3">
        <v>50</v>
      </c>
      <c r="X183" s="3">
        <v>3</v>
      </c>
      <c r="Y183" s="3">
        <v>6</v>
      </c>
      <c r="Z183">
        <v>265.93</v>
      </c>
      <c r="AA183">
        <v>1.5720000000000001E-2</v>
      </c>
      <c r="AB183">
        <v>0</v>
      </c>
      <c r="AC183">
        <v>0</v>
      </c>
      <c r="AD183">
        <v>92.7</v>
      </c>
      <c r="AE183">
        <v>1132114.5</v>
      </c>
      <c r="AF183">
        <v>236461</v>
      </c>
      <c r="AH183" s="3">
        <v>70</v>
      </c>
      <c r="AI183" s="3">
        <v>4</v>
      </c>
      <c r="AJ183" s="3">
        <v>1</v>
      </c>
      <c r="AK183">
        <v>85</v>
      </c>
      <c r="AL183">
        <v>1.55E-2</v>
      </c>
      <c r="AO183">
        <v>85</v>
      </c>
      <c r="AP183">
        <v>0</v>
      </c>
      <c r="AQ183">
        <v>0</v>
      </c>
    </row>
    <row r="184" spans="1:43" x14ac:dyDescent="0.25">
      <c r="A184" s="3">
        <v>50</v>
      </c>
      <c r="B184" s="3">
        <v>3</v>
      </c>
      <c r="C184" s="3">
        <v>7</v>
      </c>
      <c r="H184">
        <v>0</v>
      </c>
      <c r="I184">
        <v>1.498321729481562E-5</v>
      </c>
      <c r="J184">
        <v>6.6448803175134417E-5</v>
      </c>
      <c r="L184" s="3">
        <v>50</v>
      </c>
      <c r="M184" s="3">
        <v>3</v>
      </c>
      <c r="N184" s="3">
        <v>7</v>
      </c>
      <c r="S184">
        <v>0</v>
      </c>
      <c r="T184">
        <v>-0.1999999999534339</v>
      </c>
      <c r="U184">
        <v>-0.1999999999534339</v>
      </c>
      <c r="W184" s="3">
        <v>50</v>
      </c>
      <c r="X184" s="3">
        <v>3</v>
      </c>
      <c r="Y184" s="3">
        <v>7</v>
      </c>
      <c r="Z184">
        <v>297.02</v>
      </c>
      <c r="AA184">
        <v>1.575E-2</v>
      </c>
      <c r="AB184">
        <v>0</v>
      </c>
      <c r="AC184">
        <v>0</v>
      </c>
      <c r="AD184">
        <v>95.2</v>
      </c>
      <c r="AE184">
        <v>1334826.6000000001</v>
      </c>
      <c r="AF184">
        <v>300983.40000000002</v>
      </c>
      <c r="AH184" s="3">
        <v>70</v>
      </c>
      <c r="AI184" s="3">
        <v>4</v>
      </c>
      <c r="AJ184" s="3">
        <v>2</v>
      </c>
      <c r="AO184">
        <v>85</v>
      </c>
      <c r="AP184">
        <v>0</v>
      </c>
      <c r="AQ184">
        <v>0</v>
      </c>
    </row>
    <row r="185" spans="1:43" x14ac:dyDescent="0.25">
      <c r="A185" s="3">
        <v>50</v>
      </c>
      <c r="B185" s="3">
        <v>3</v>
      </c>
      <c r="C185" s="3">
        <v>8</v>
      </c>
      <c r="H185">
        <v>0</v>
      </c>
      <c r="I185">
        <v>0</v>
      </c>
      <c r="J185">
        <v>2.6999407356722092E-5</v>
      </c>
      <c r="L185" s="3">
        <v>50</v>
      </c>
      <c r="M185" s="3">
        <v>3</v>
      </c>
      <c r="N185" s="3">
        <v>8</v>
      </c>
      <c r="S185">
        <v>0</v>
      </c>
      <c r="T185">
        <v>0</v>
      </c>
      <c r="U185">
        <v>-9.9999999976716936E-2</v>
      </c>
      <c r="W185" s="3">
        <v>50</v>
      </c>
      <c r="X185" s="3">
        <v>3</v>
      </c>
      <c r="Y185" s="3">
        <v>8</v>
      </c>
      <c r="Z185">
        <v>326.89</v>
      </c>
      <c r="AA185">
        <v>1.576E-2</v>
      </c>
      <c r="AB185">
        <v>0</v>
      </c>
      <c r="AC185">
        <v>0</v>
      </c>
      <c r="AD185">
        <v>98</v>
      </c>
      <c r="AE185">
        <v>1525753</v>
      </c>
      <c r="AF185">
        <v>370378.4</v>
      </c>
      <c r="AH185" s="3">
        <v>70</v>
      </c>
      <c r="AI185" s="3">
        <v>5</v>
      </c>
      <c r="AJ185" s="3">
        <v>1</v>
      </c>
      <c r="AK185">
        <v>86.3</v>
      </c>
      <c r="AL185">
        <v>1.55E-2</v>
      </c>
    </row>
    <row r="186" spans="1:43" x14ac:dyDescent="0.25">
      <c r="A186" s="3">
        <v>50</v>
      </c>
      <c r="B186" s="3">
        <v>3</v>
      </c>
      <c r="C186" s="3">
        <v>9</v>
      </c>
      <c r="H186">
        <v>0</v>
      </c>
      <c r="I186">
        <v>3.4722825054435678E-5</v>
      </c>
      <c r="J186">
        <v>4.5633168197159368E-5</v>
      </c>
      <c r="L186" s="3">
        <v>50</v>
      </c>
      <c r="M186" s="3">
        <v>3</v>
      </c>
      <c r="N186" s="3">
        <v>9</v>
      </c>
      <c r="S186">
        <v>0</v>
      </c>
      <c r="T186">
        <v>1.200000000186265</v>
      </c>
      <c r="U186">
        <v>0.2000000000116415</v>
      </c>
      <c r="W186" s="3">
        <v>50</v>
      </c>
      <c r="X186" s="3">
        <v>3</v>
      </c>
      <c r="Y186" s="3">
        <v>9</v>
      </c>
      <c r="Z186">
        <v>357.62</v>
      </c>
      <c r="AA186">
        <v>1.5779999999999999E-2</v>
      </c>
      <c r="AB186">
        <v>82.6</v>
      </c>
      <c r="AC186">
        <v>4.5</v>
      </c>
      <c r="AD186">
        <v>114.1</v>
      </c>
      <c r="AE186">
        <v>3455941.2</v>
      </c>
      <c r="AF186">
        <v>438277.9</v>
      </c>
      <c r="AH186" s="3">
        <v>80</v>
      </c>
      <c r="AI186" s="3">
        <v>1</v>
      </c>
      <c r="AJ186" s="3">
        <v>1</v>
      </c>
      <c r="AK186">
        <v>85</v>
      </c>
      <c r="AL186">
        <v>1.55E-2</v>
      </c>
    </row>
    <row r="187" spans="1:43" x14ac:dyDescent="0.25">
      <c r="A187" s="3">
        <v>50</v>
      </c>
      <c r="B187" s="3">
        <v>3</v>
      </c>
      <c r="C187" s="3">
        <v>10</v>
      </c>
      <c r="H187">
        <v>0</v>
      </c>
      <c r="I187">
        <v>2.33466596066368E-5</v>
      </c>
      <c r="J187">
        <v>5.2626787127654662E-5</v>
      </c>
      <c r="L187" s="3">
        <v>50</v>
      </c>
      <c r="M187" s="3">
        <v>3</v>
      </c>
      <c r="N187" s="3">
        <v>10</v>
      </c>
      <c r="S187">
        <v>0</v>
      </c>
      <c r="T187">
        <v>1</v>
      </c>
      <c r="U187">
        <v>0.29999999993015081</v>
      </c>
      <c r="W187" s="3">
        <v>50</v>
      </c>
      <c r="X187" s="3">
        <v>3</v>
      </c>
      <c r="Y187" s="3">
        <v>10</v>
      </c>
      <c r="Z187">
        <v>403.19</v>
      </c>
      <c r="AA187">
        <v>1.5740000000000001E-2</v>
      </c>
      <c r="AB187">
        <v>92.4</v>
      </c>
      <c r="AC187">
        <v>5.0999999999999996</v>
      </c>
      <c r="AD187">
        <v>122.8</v>
      </c>
      <c r="AE187">
        <v>4283269</v>
      </c>
      <c r="AF187">
        <v>570052.19999999995</v>
      </c>
      <c r="AH187" s="3">
        <v>80</v>
      </c>
      <c r="AI187" s="3">
        <v>2</v>
      </c>
      <c r="AJ187" s="3">
        <v>1</v>
      </c>
      <c r="AK187">
        <v>95.8</v>
      </c>
      <c r="AL187">
        <v>1.55E-2</v>
      </c>
      <c r="AO187">
        <v>85.3</v>
      </c>
      <c r="AP187">
        <v>202879.2</v>
      </c>
      <c r="AQ187">
        <v>30203.599999999999</v>
      </c>
    </row>
    <row r="188" spans="1:43" x14ac:dyDescent="0.25">
      <c r="A188" s="3">
        <v>50</v>
      </c>
      <c r="B188" s="3">
        <v>3</v>
      </c>
      <c r="C188" s="3">
        <v>11</v>
      </c>
      <c r="H188">
        <v>0</v>
      </c>
      <c r="I188">
        <v>8.1780001709202041E-5</v>
      </c>
      <c r="J188">
        <v>7.9412966644489277E-6</v>
      </c>
      <c r="L188" s="3">
        <v>50</v>
      </c>
      <c r="M188" s="3">
        <v>3</v>
      </c>
      <c r="N188" s="3">
        <v>11</v>
      </c>
      <c r="S188">
        <v>0</v>
      </c>
      <c r="T188">
        <v>-3</v>
      </c>
      <c r="U188">
        <v>-1</v>
      </c>
      <c r="W188" s="3">
        <v>50</v>
      </c>
      <c r="X188" s="3">
        <v>3</v>
      </c>
      <c r="Y188" s="3">
        <v>11</v>
      </c>
      <c r="Z188">
        <v>459</v>
      </c>
      <c r="AA188">
        <v>1.5689999999999999E-2</v>
      </c>
      <c r="AB188">
        <v>13425.7</v>
      </c>
      <c r="AC188">
        <v>5.0999999999999996</v>
      </c>
      <c r="AD188">
        <v>225.6</v>
      </c>
      <c r="AE188">
        <v>3668375.5</v>
      </c>
      <c r="AF188">
        <v>12592401</v>
      </c>
      <c r="AH188" s="3">
        <v>80</v>
      </c>
      <c r="AI188" s="3">
        <v>2</v>
      </c>
      <c r="AJ188" s="3">
        <v>2</v>
      </c>
      <c r="AO188">
        <v>86.1</v>
      </c>
      <c r="AP188">
        <v>675576.2</v>
      </c>
      <c r="AQ188">
        <v>107486.1</v>
      </c>
    </row>
    <row r="189" spans="1:43" x14ac:dyDescent="0.25">
      <c r="A189" s="3">
        <v>50</v>
      </c>
      <c r="B189" s="3">
        <v>3</v>
      </c>
      <c r="C189" s="3">
        <v>12</v>
      </c>
      <c r="H189">
        <v>0</v>
      </c>
      <c r="I189">
        <v>0</v>
      </c>
      <c r="J189">
        <v>0</v>
      </c>
      <c r="L189" s="3">
        <v>50</v>
      </c>
      <c r="M189" s="3">
        <v>3</v>
      </c>
      <c r="N189" s="3">
        <v>12</v>
      </c>
      <c r="S189">
        <v>0</v>
      </c>
      <c r="T189">
        <v>0</v>
      </c>
      <c r="U189">
        <v>0</v>
      </c>
      <c r="W189" s="3">
        <v>50</v>
      </c>
      <c r="X189" s="3">
        <v>3</v>
      </c>
      <c r="Y189" s="3">
        <v>12</v>
      </c>
      <c r="Z189">
        <v>93.81</v>
      </c>
      <c r="AA189">
        <v>1.5650000000000001E-2</v>
      </c>
      <c r="AB189">
        <v>92.4</v>
      </c>
      <c r="AC189">
        <v>5.0999999999999996</v>
      </c>
      <c r="AD189">
        <v>86.2</v>
      </c>
      <c r="AE189">
        <v>147089</v>
      </c>
      <c r="AF189">
        <v>6609.4</v>
      </c>
      <c r="AH189" s="3">
        <v>80</v>
      </c>
      <c r="AI189" s="3">
        <v>3</v>
      </c>
      <c r="AJ189" s="3">
        <v>1</v>
      </c>
      <c r="AK189">
        <v>178.9</v>
      </c>
      <c r="AL189">
        <v>1.5699999999999999E-2</v>
      </c>
      <c r="AO189">
        <v>88.5</v>
      </c>
      <c r="AP189">
        <v>545812.1</v>
      </c>
      <c r="AQ189">
        <v>96559.5</v>
      </c>
    </row>
    <row r="190" spans="1:43" x14ac:dyDescent="0.25">
      <c r="A190" s="3">
        <v>50</v>
      </c>
      <c r="B190" s="3">
        <v>3</v>
      </c>
      <c r="C190" s="3">
        <v>13</v>
      </c>
      <c r="H190">
        <v>0</v>
      </c>
      <c r="I190">
        <v>1.705419482005178E-4</v>
      </c>
      <c r="J190">
        <v>0</v>
      </c>
      <c r="L190" s="3">
        <v>50</v>
      </c>
      <c r="M190" s="3">
        <v>3</v>
      </c>
      <c r="N190" s="3">
        <v>13</v>
      </c>
      <c r="S190">
        <v>0</v>
      </c>
      <c r="T190">
        <v>-0.19999999999708959</v>
      </c>
      <c r="U190">
        <v>0</v>
      </c>
      <c r="W190" s="3">
        <v>50</v>
      </c>
      <c r="X190" s="3">
        <v>3</v>
      </c>
      <c r="Y190" s="3">
        <v>13</v>
      </c>
      <c r="Z190">
        <v>91.26</v>
      </c>
      <c r="AA190">
        <v>1.5599999999999999E-2</v>
      </c>
      <c r="AB190">
        <v>92.4</v>
      </c>
      <c r="AC190">
        <v>5.0999999999999996</v>
      </c>
      <c r="AD190">
        <v>86</v>
      </c>
      <c r="AE190">
        <v>117273</v>
      </c>
      <c r="AF190">
        <v>4577.1000000000004</v>
      </c>
      <c r="AH190" s="3">
        <v>80</v>
      </c>
      <c r="AI190" s="3">
        <v>3</v>
      </c>
      <c r="AJ190" s="3">
        <v>2</v>
      </c>
      <c r="AO190">
        <v>90</v>
      </c>
      <c r="AP190">
        <v>708590.4</v>
      </c>
      <c r="AQ190">
        <v>133843.1</v>
      </c>
    </row>
    <row r="191" spans="1:43" x14ac:dyDescent="0.25">
      <c r="A191" s="3">
        <v>50</v>
      </c>
      <c r="B191" s="3">
        <v>3</v>
      </c>
      <c r="C191" s="3">
        <v>14</v>
      </c>
      <c r="H191">
        <v>0</v>
      </c>
      <c r="I191">
        <v>1.3763507162642099E-4</v>
      </c>
      <c r="J191">
        <v>0</v>
      </c>
      <c r="L191" s="3">
        <v>50</v>
      </c>
      <c r="M191" s="3">
        <v>3</v>
      </c>
      <c r="N191" s="3">
        <v>14</v>
      </c>
      <c r="S191">
        <v>0</v>
      </c>
      <c r="T191">
        <v>0.10000000000582079</v>
      </c>
      <c r="U191">
        <v>0</v>
      </c>
      <c r="W191" s="3">
        <v>50</v>
      </c>
      <c r="X191" s="3">
        <v>3</v>
      </c>
      <c r="Y191" s="3">
        <v>14</v>
      </c>
      <c r="Z191">
        <v>88.33</v>
      </c>
      <c r="AA191">
        <v>1.5559999999999999E-2</v>
      </c>
      <c r="AB191">
        <v>91.1</v>
      </c>
      <c r="AC191">
        <v>5</v>
      </c>
      <c r="AD191">
        <v>85.6</v>
      </c>
      <c r="AE191">
        <v>72656</v>
      </c>
      <c r="AF191">
        <v>2335.6</v>
      </c>
      <c r="AH191" s="3">
        <v>80</v>
      </c>
      <c r="AI191" s="3">
        <v>3</v>
      </c>
      <c r="AJ191" s="3">
        <v>3</v>
      </c>
      <c r="AO191">
        <v>91.7</v>
      </c>
      <c r="AP191">
        <v>861561.8</v>
      </c>
      <c r="AQ191">
        <v>174239.4</v>
      </c>
    </row>
    <row r="192" spans="1:43" x14ac:dyDescent="0.25">
      <c r="A192" s="3">
        <v>50</v>
      </c>
      <c r="B192" s="3">
        <v>4</v>
      </c>
      <c r="C192" s="3">
        <v>1</v>
      </c>
      <c r="D192">
        <v>0</v>
      </c>
      <c r="E192">
        <v>6.451612903225544E-2</v>
      </c>
      <c r="H192">
        <v>0</v>
      </c>
      <c r="L192" s="3">
        <v>50</v>
      </c>
      <c r="M192" s="3">
        <v>4</v>
      </c>
      <c r="N192" s="3">
        <v>1</v>
      </c>
      <c r="O192">
        <v>0</v>
      </c>
      <c r="P192">
        <v>9.9999999999995925E-6</v>
      </c>
      <c r="S192">
        <v>0</v>
      </c>
      <c r="T192">
        <v>0</v>
      </c>
      <c r="U192">
        <v>0</v>
      </c>
      <c r="W192" s="3">
        <v>50</v>
      </c>
      <c r="X192" s="3">
        <v>4</v>
      </c>
      <c r="Y192" s="3">
        <v>1</v>
      </c>
      <c r="Z192">
        <v>85</v>
      </c>
      <c r="AA192">
        <v>1.5509999999999999E-2</v>
      </c>
      <c r="AB192">
        <v>0.1</v>
      </c>
      <c r="AC192">
        <v>0</v>
      </c>
      <c r="AD192">
        <v>85</v>
      </c>
      <c r="AE192">
        <v>0</v>
      </c>
      <c r="AF192">
        <v>0</v>
      </c>
      <c r="AH192" s="3">
        <v>80</v>
      </c>
      <c r="AI192" s="3">
        <v>3</v>
      </c>
      <c r="AJ192" s="3">
        <v>4</v>
      </c>
      <c r="AO192">
        <v>93.7</v>
      </c>
      <c r="AP192">
        <v>1005317</v>
      </c>
      <c r="AQ192">
        <v>216342.2</v>
      </c>
    </row>
    <row r="193" spans="1:43" x14ac:dyDescent="0.25">
      <c r="A193" s="3">
        <v>50</v>
      </c>
      <c r="B193" s="3">
        <v>4</v>
      </c>
      <c r="C193" s="3">
        <v>2</v>
      </c>
      <c r="H193">
        <v>0</v>
      </c>
      <c r="L193" s="3">
        <v>50</v>
      </c>
      <c r="M193" s="3">
        <v>4</v>
      </c>
      <c r="N193" s="3">
        <v>2</v>
      </c>
      <c r="S193">
        <v>0</v>
      </c>
      <c r="T193">
        <v>0</v>
      </c>
      <c r="U193">
        <v>0</v>
      </c>
      <c r="W193" s="3">
        <v>50</v>
      </c>
      <c r="X193" s="3">
        <v>4</v>
      </c>
      <c r="Y193" s="3">
        <v>2</v>
      </c>
      <c r="Z193">
        <v>85</v>
      </c>
      <c r="AA193">
        <v>1.5509999999999999E-2</v>
      </c>
      <c r="AB193">
        <v>0.1</v>
      </c>
      <c r="AC193">
        <v>0</v>
      </c>
      <c r="AD193">
        <v>85</v>
      </c>
      <c r="AE193">
        <v>0</v>
      </c>
      <c r="AF193">
        <v>0</v>
      </c>
      <c r="AH193" s="3">
        <v>80</v>
      </c>
      <c r="AI193" s="3">
        <v>3</v>
      </c>
      <c r="AJ193" s="3">
        <v>5</v>
      </c>
      <c r="AO193">
        <v>95.8</v>
      </c>
      <c r="AP193">
        <v>1143903.6000000001</v>
      </c>
      <c r="AQ193">
        <v>260872</v>
      </c>
    </row>
    <row r="194" spans="1:43" x14ac:dyDescent="0.25">
      <c r="A194" s="3">
        <v>50</v>
      </c>
      <c r="B194" s="3">
        <v>5</v>
      </c>
      <c r="C194" s="3">
        <v>1</v>
      </c>
      <c r="D194">
        <v>2.3474178403751201E-2</v>
      </c>
      <c r="E194">
        <v>6.451612903225544E-2</v>
      </c>
      <c r="L194" s="3">
        <v>50</v>
      </c>
      <c r="M194" s="3">
        <v>5</v>
      </c>
      <c r="N194" s="3">
        <v>1</v>
      </c>
      <c r="O194">
        <v>-1.9999999999996021E-2</v>
      </c>
      <c r="P194">
        <v>9.9999999999995925E-6</v>
      </c>
      <c r="W194" s="3">
        <v>50</v>
      </c>
      <c r="X194" s="3">
        <v>5</v>
      </c>
      <c r="Y194" s="3">
        <v>1</v>
      </c>
      <c r="Z194">
        <v>85.18</v>
      </c>
      <c r="AA194">
        <v>1.5509999999999999E-2</v>
      </c>
      <c r="AH194" s="3">
        <v>80</v>
      </c>
      <c r="AI194" s="3">
        <v>3</v>
      </c>
      <c r="AJ194" s="3">
        <v>6</v>
      </c>
      <c r="AO194">
        <v>98.2</v>
      </c>
      <c r="AP194">
        <v>1284321.1000000001</v>
      </c>
      <c r="AQ194">
        <v>310039.7</v>
      </c>
    </row>
    <row r="195" spans="1:43" x14ac:dyDescent="0.25">
      <c r="A195" s="3">
        <v>50</v>
      </c>
      <c r="B195" s="3">
        <v>5</v>
      </c>
      <c r="C195" s="3">
        <v>2</v>
      </c>
      <c r="L195" s="3">
        <v>50</v>
      </c>
      <c r="M195" s="3">
        <v>5</v>
      </c>
      <c r="N195" s="3">
        <v>2</v>
      </c>
      <c r="W195" s="3">
        <v>50</v>
      </c>
      <c r="X195" s="3">
        <v>5</v>
      </c>
      <c r="Y195" s="3">
        <v>2</v>
      </c>
      <c r="Z195">
        <v>85.13</v>
      </c>
      <c r="AA195">
        <v>1.5509999999999999E-2</v>
      </c>
      <c r="AH195" s="3">
        <v>80</v>
      </c>
      <c r="AI195" s="3">
        <v>3</v>
      </c>
      <c r="AJ195" s="3">
        <v>7</v>
      </c>
      <c r="AO195">
        <v>100.8</v>
      </c>
      <c r="AP195">
        <v>1429042.1</v>
      </c>
      <c r="AQ195">
        <v>366598.40000000002</v>
      </c>
    </row>
    <row r="196" spans="1:43" x14ac:dyDescent="0.25">
      <c r="A196" s="3">
        <v>60</v>
      </c>
      <c r="B196" s="3">
        <v>1</v>
      </c>
      <c r="C196" s="3">
        <v>1</v>
      </c>
      <c r="D196">
        <v>1.1764705882358961E-2</v>
      </c>
      <c r="E196">
        <v>6.451612903225544E-2</v>
      </c>
      <c r="L196" s="3">
        <v>60</v>
      </c>
      <c r="M196" s="3">
        <v>1</v>
      </c>
      <c r="N196" s="3">
        <v>1</v>
      </c>
      <c r="O196">
        <v>1.0000000000005119E-2</v>
      </c>
      <c r="P196">
        <v>9.9999999999995925E-6</v>
      </c>
      <c r="W196" s="3">
        <v>60</v>
      </c>
      <c r="X196" s="3">
        <v>1</v>
      </c>
      <c r="Y196" s="3">
        <v>1</v>
      </c>
      <c r="Z196">
        <v>85.01</v>
      </c>
      <c r="AA196">
        <v>1.5509999999999999E-2</v>
      </c>
      <c r="AB196">
        <v>1</v>
      </c>
      <c r="AC196">
        <v>0</v>
      </c>
      <c r="AH196" s="3">
        <v>80</v>
      </c>
      <c r="AI196" s="3">
        <v>3</v>
      </c>
      <c r="AJ196" s="3">
        <v>8</v>
      </c>
      <c r="AO196">
        <v>103.8</v>
      </c>
      <c r="AP196">
        <v>1586280.1</v>
      </c>
      <c r="AQ196">
        <v>433414.5</v>
      </c>
    </row>
    <row r="197" spans="1:43" x14ac:dyDescent="0.25">
      <c r="A197" s="3">
        <v>60</v>
      </c>
      <c r="B197" s="3">
        <v>1</v>
      </c>
      <c r="C197" s="3">
        <v>2</v>
      </c>
      <c r="L197" s="3">
        <v>60</v>
      </c>
      <c r="M197" s="3">
        <v>1</v>
      </c>
      <c r="N197" s="3">
        <v>2</v>
      </c>
      <c r="W197" s="3">
        <v>60</v>
      </c>
      <c r="X197" s="3">
        <v>1</v>
      </c>
      <c r="Y197" s="3">
        <v>2</v>
      </c>
      <c r="Z197">
        <v>85.02</v>
      </c>
      <c r="AA197">
        <v>1.5509999999999999E-2</v>
      </c>
      <c r="AB197">
        <v>1</v>
      </c>
      <c r="AC197">
        <v>0</v>
      </c>
      <c r="AH197" s="3">
        <v>80</v>
      </c>
      <c r="AI197" s="3">
        <v>3</v>
      </c>
      <c r="AJ197" s="3">
        <v>9</v>
      </c>
      <c r="AO197">
        <v>124.5</v>
      </c>
      <c r="AP197">
        <v>3482451.8</v>
      </c>
      <c r="AQ197">
        <v>497118.6</v>
      </c>
    </row>
    <row r="198" spans="1:43" x14ac:dyDescent="0.25">
      <c r="A198" s="3">
        <v>60</v>
      </c>
      <c r="B198" s="3">
        <v>1</v>
      </c>
      <c r="C198" s="3">
        <v>3</v>
      </c>
      <c r="L198" s="3">
        <v>60</v>
      </c>
      <c r="M198" s="3">
        <v>1</v>
      </c>
      <c r="N198" s="3">
        <v>3</v>
      </c>
      <c r="W198" s="3">
        <v>60</v>
      </c>
      <c r="X198" s="3">
        <v>1</v>
      </c>
      <c r="Y198" s="3">
        <v>3</v>
      </c>
      <c r="Z198">
        <v>85.03</v>
      </c>
      <c r="AA198">
        <v>1.5509999999999999E-2</v>
      </c>
      <c r="AB198">
        <v>1</v>
      </c>
      <c r="AC198">
        <v>0</v>
      </c>
      <c r="AH198" s="3">
        <v>80</v>
      </c>
      <c r="AI198" s="3">
        <v>3</v>
      </c>
      <c r="AJ198" s="3">
        <v>10</v>
      </c>
      <c r="AO198">
        <v>135.19999999999999</v>
      </c>
      <c r="AP198">
        <v>4283265</v>
      </c>
      <c r="AQ198">
        <v>645434.1</v>
      </c>
    </row>
    <row r="199" spans="1:43" x14ac:dyDescent="0.25">
      <c r="A199" s="3">
        <v>60</v>
      </c>
      <c r="B199" s="3">
        <v>1</v>
      </c>
      <c r="C199" s="3">
        <v>4</v>
      </c>
      <c r="L199" s="3">
        <v>60</v>
      </c>
      <c r="M199" s="3">
        <v>1</v>
      </c>
      <c r="N199" s="3">
        <v>4</v>
      </c>
      <c r="W199" s="3">
        <v>60</v>
      </c>
      <c r="X199" s="3">
        <v>1</v>
      </c>
      <c r="Y199" s="3">
        <v>4</v>
      </c>
      <c r="Z199">
        <v>85.04</v>
      </c>
      <c r="AA199">
        <v>1.5509999999999999E-2</v>
      </c>
      <c r="AB199">
        <v>1</v>
      </c>
      <c r="AC199">
        <v>0</v>
      </c>
      <c r="AH199" s="3">
        <v>80</v>
      </c>
      <c r="AI199" s="3">
        <v>3</v>
      </c>
      <c r="AJ199" s="3">
        <v>11</v>
      </c>
      <c r="AO199">
        <v>260.89999999999998</v>
      </c>
      <c r="AP199">
        <v>3372719</v>
      </c>
      <c r="AQ199">
        <v>12630975</v>
      </c>
    </row>
    <row r="200" spans="1:43" x14ac:dyDescent="0.25">
      <c r="A200" s="3">
        <v>60</v>
      </c>
      <c r="B200" s="3">
        <v>1</v>
      </c>
      <c r="C200" s="3">
        <v>5</v>
      </c>
      <c r="L200" s="3">
        <v>60</v>
      </c>
      <c r="M200" s="3">
        <v>1</v>
      </c>
      <c r="N200" s="3">
        <v>5</v>
      </c>
      <c r="W200" s="3">
        <v>60</v>
      </c>
      <c r="X200" s="3">
        <v>1</v>
      </c>
      <c r="Y200" s="3">
        <v>5</v>
      </c>
      <c r="Z200">
        <v>85.04</v>
      </c>
      <c r="AA200">
        <v>1.5509999999999999E-2</v>
      </c>
      <c r="AB200">
        <v>1</v>
      </c>
      <c r="AC200">
        <v>0</v>
      </c>
      <c r="AH200" s="3">
        <v>80</v>
      </c>
      <c r="AI200" s="3">
        <v>3</v>
      </c>
      <c r="AJ200" s="3">
        <v>12</v>
      </c>
      <c r="AO200">
        <v>86.6</v>
      </c>
      <c r="AP200">
        <v>147753</v>
      </c>
      <c r="AQ200">
        <v>5945.4</v>
      </c>
    </row>
    <row r="201" spans="1:43" x14ac:dyDescent="0.25">
      <c r="A201" s="3">
        <v>60</v>
      </c>
      <c r="B201" s="3">
        <v>1</v>
      </c>
      <c r="C201" s="3">
        <v>6</v>
      </c>
      <c r="L201" s="3">
        <v>60</v>
      </c>
      <c r="M201" s="3">
        <v>1</v>
      </c>
      <c r="N201" s="3">
        <v>6</v>
      </c>
      <c r="W201" s="3">
        <v>60</v>
      </c>
      <c r="X201" s="3">
        <v>1</v>
      </c>
      <c r="Y201" s="3">
        <v>6</v>
      </c>
      <c r="Z201">
        <v>85.04</v>
      </c>
      <c r="AA201">
        <v>1.5509999999999999E-2</v>
      </c>
      <c r="AB201">
        <v>1</v>
      </c>
      <c r="AC201">
        <v>0</v>
      </c>
      <c r="AH201" s="3">
        <v>80</v>
      </c>
      <c r="AI201" s="3">
        <v>3</v>
      </c>
      <c r="AJ201" s="3">
        <v>13</v>
      </c>
      <c r="AO201">
        <v>86.3</v>
      </c>
      <c r="AP201">
        <v>117788.4</v>
      </c>
      <c r="AQ201">
        <v>4061.9</v>
      </c>
    </row>
    <row r="202" spans="1:43" x14ac:dyDescent="0.25">
      <c r="A202" s="3">
        <v>60</v>
      </c>
      <c r="B202" s="3">
        <v>1</v>
      </c>
      <c r="C202" s="3">
        <v>7</v>
      </c>
      <c r="L202" s="3">
        <v>60</v>
      </c>
      <c r="M202" s="3">
        <v>1</v>
      </c>
      <c r="N202" s="3">
        <v>7</v>
      </c>
      <c r="W202" s="3">
        <v>60</v>
      </c>
      <c r="X202" s="3">
        <v>1</v>
      </c>
      <c r="Y202" s="3">
        <v>7</v>
      </c>
      <c r="Z202">
        <v>85.04</v>
      </c>
      <c r="AA202">
        <v>1.5509999999999999E-2</v>
      </c>
      <c r="AB202">
        <v>1</v>
      </c>
      <c r="AC202">
        <v>0</v>
      </c>
      <c r="AH202" s="3">
        <v>80</v>
      </c>
      <c r="AI202" s="3">
        <v>3</v>
      </c>
      <c r="AJ202" s="3">
        <v>14</v>
      </c>
      <c r="AO202">
        <v>85.8</v>
      </c>
      <c r="AP202">
        <v>72959.3</v>
      </c>
      <c r="AQ202">
        <v>2032.2</v>
      </c>
    </row>
    <row r="203" spans="1:43" x14ac:dyDescent="0.25">
      <c r="A203" s="3">
        <v>60</v>
      </c>
      <c r="B203" s="3">
        <v>1</v>
      </c>
      <c r="C203" s="3">
        <v>8</v>
      </c>
      <c r="L203" s="3">
        <v>60</v>
      </c>
      <c r="M203" s="3">
        <v>1</v>
      </c>
      <c r="N203" s="3">
        <v>8</v>
      </c>
      <c r="W203" s="3">
        <v>60</v>
      </c>
      <c r="X203" s="3">
        <v>1</v>
      </c>
      <c r="Y203" s="3">
        <v>8</v>
      </c>
      <c r="Z203">
        <v>85.05</v>
      </c>
      <c r="AA203">
        <v>1.5509999999999999E-2</v>
      </c>
      <c r="AB203">
        <v>1</v>
      </c>
      <c r="AC203">
        <v>0</v>
      </c>
      <c r="AH203" s="3">
        <v>80</v>
      </c>
      <c r="AI203" s="3">
        <v>4</v>
      </c>
      <c r="AJ203" s="3">
        <v>1</v>
      </c>
      <c r="AK203">
        <v>85</v>
      </c>
      <c r="AL203">
        <v>1.55E-2</v>
      </c>
      <c r="AO203">
        <v>85</v>
      </c>
      <c r="AP203">
        <v>0</v>
      </c>
      <c r="AQ203">
        <v>0</v>
      </c>
    </row>
    <row r="204" spans="1:43" x14ac:dyDescent="0.25">
      <c r="A204" s="3">
        <v>60</v>
      </c>
      <c r="B204" s="3">
        <v>1</v>
      </c>
      <c r="C204" s="3">
        <v>9</v>
      </c>
      <c r="L204" s="3">
        <v>60</v>
      </c>
      <c r="M204" s="3">
        <v>1</v>
      </c>
      <c r="N204" s="3">
        <v>9</v>
      </c>
      <c r="W204" s="3">
        <v>60</v>
      </c>
      <c r="X204" s="3">
        <v>1</v>
      </c>
      <c r="Y204" s="3">
        <v>9</v>
      </c>
      <c r="Z204">
        <v>85.05</v>
      </c>
      <c r="AA204">
        <v>1.5509999999999999E-2</v>
      </c>
      <c r="AB204">
        <v>1</v>
      </c>
      <c r="AC204">
        <v>0</v>
      </c>
      <c r="AH204" s="3">
        <v>80</v>
      </c>
      <c r="AI204" s="3">
        <v>4</v>
      </c>
      <c r="AJ204" s="3">
        <v>2</v>
      </c>
      <c r="AO204">
        <v>85</v>
      </c>
      <c r="AP204">
        <v>0</v>
      </c>
      <c r="AQ204">
        <v>0</v>
      </c>
    </row>
    <row r="205" spans="1:43" x14ac:dyDescent="0.25">
      <c r="A205" s="3">
        <v>60</v>
      </c>
      <c r="B205" s="3">
        <v>1</v>
      </c>
      <c r="C205" s="3">
        <v>10</v>
      </c>
      <c r="L205" s="3">
        <v>60</v>
      </c>
      <c r="M205" s="3">
        <v>1</v>
      </c>
      <c r="N205" s="3">
        <v>10</v>
      </c>
      <c r="W205" s="3">
        <v>60</v>
      </c>
      <c r="X205" s="3">
        <v>1</v>
      </c>
      <c r="Y205" s="3">
        <v>10</v>
      </c>
      <c r="Z205">
        <v>85.05</v>
      </c>
      <c r="AA205">
        <v>1.5509999999999999E-2</v>
      </c>
      <c r="AB205">
        <v>1</v>
      </c>
      <c r="AC205">
        <v>0</v>
      </c>
      <c r="AH205" s="3">
        <v>80</v>
      </c>
      <c r="AI205" s="3">
        <v>5</v>
      </c>
      <c r="AJ205" s="3">
        <v>1</v>
      </c>
      <c r="AK205">
        <v>87.5</v>
      </c>
      <c r="AL205">
        <v>1.55E-2</v>
      </c>
    </row>
    <row r="206" spans="1:43" x14ac:dyDescent="0.25">
      <c r="A206" s="3">
        <v>60</v>
      </c>
      <c r="B206" s="3">
        <v>2</v>
      </c>
      <c r="C206" s="3">
        <v>1</v>
      </c>
      <c r="D206">
        <v>1.1441647597259861E-2</v>
      </c>
      <c r="E206">
        <v>6.451612903225544E-2</v>
      </c>
      <c r="H206">
        <v>0</v>
      </c>
      <c r="I206">
        <v>0</v>
      </c>
      <c r="J206">
        <v>1.585313654297854E-3</v>
      </c>
      <c r="L206" s="3">
        <v>60</v>
      </c>
      <c r="M206" s="3">
        <v>2</v>
      </c>
      <c r="N206" s="3">
        <v>1</v>
      </c>
      <c r="O206">
        <v>-1.0000000000005119E-2</v>
      </c>
      <c r="P206">
        <v>9.9999999999995925E-6</v>
      </c>
      <c r="S206">
        <v>0</v>
      </c>
      <c r="T206">
        <v>0</v>
      </c>
      <c r="U206">
        <v>-9.9999999999454303E-2</v>
      </c>
      <c r="W206" s="3">
        <v>60</v>
      </c>
      <c r="X206" s="3">
        <v>2</v>
      </c>
      <c r="Y206" s="3">
        <v>1</v>
      </c>
      <c r="Z206">
        <v>87.39</v>
      </c>
      <c r="AA206">
        <v>1.5509999999999999E-2</v>
      </c>
      <c r="AB206">
        <v>0.1</v>
      </c>
      <c r="AC206">
        <v>0</v>
      </c>
      <c r="AD206">
        <v>85</v>
      </c>
      <c r="AE206">
        <v>44668.800000000003</v>
      </c>
      <c r="AF206">
        <v>6307.8</v>
      </c>
      <c r="AH206" s="3">
        <v>90</v>
      </c>
      <c r="AI206" s="3">
        <v>1</v>
      </c>
      <c r="AJ206" s="3">
        <v>1</v>
      </c>
      <c r="AK206">
        <v>85</v>
      </c>
      <c r="AL206">
        <v>1.55E-2</v>
      </c>
    </row>
    <row r="207" spans="1:43" x14ac:dyDescent="0.25">
      <c r="A207" s="3">
        <v>60</v>
      </c>
      <c r="B207" s="3">
        <v>2</v>
      </c>
      <c r="C207" s="3">
        <v>2</v>
      </c>
      <c r="H207">
        <v>0</v>
      </c>
      <c r="I207">
        <v>1.8518175589071461E-4</v>
      </c>
      <c r="J207">
        <v>0</v>
      </c>
      <c r="L207" s="3">
        <v>60</v>
      </c>
      <c r="M207" s="3">
        <v>2</v>
      </c>
      <c r="N207" s="3">
        <v>2</v>
      </c>
      <c r="S207">
        <v>0</v>
      </c>
      <c r="T207">
        <v>0.39999999999417918</v>
      </c>
      <c r="U207">
        <v>0</v>
      </c>
      <c r="W207" s="3">
        <v>60</v>
      </c>
      <c r="X207" s="3">
        <v>2</v>
      </c>
      <c r="Y207" s="3">
        <v>2</v>
      </c>
      <c r="Z207">
        <v>96.32</v>
      </c>
      <c r="AA207">
        <v>1.553E-2</v>
      </c>
      <c r="AB207">
        <v>0.1</v>
      </c>
      <c r="AC207">
        <v>0</v>
      </c>
      <c r="AD207">
        <v>85.3</v>
      </c>
      <c r="AE207">
        <v>216004.4</v>
      </c>
      <c r="AF207">
        <v>31139.3</v>
      </c>
      <c r="AH207" s="3">
        <v>90</v>
      </c>
      <c r="AI207" s="3">
        <v>2</v>
      </c>
      <c r="AJ207" s="3">
        <v>1</v>
      </c>
      <c r="AK207">
        <v>102.7</v>
      </c>
      <c r="AL207">
        <v>1.55E-2</v>
      </c>
      <c r="AO207">
        <v>85.5</v>
      </c>
      <c r="AP207">
        <v>331680.59999999998</v>
      </c>
      <c r="AQ207">
        <v>50920.800000000003</v>
      </c>
    </row>
    <row r="208" spans="1:43" x14ac:dyDescent="0.25">
      <c r="A208" s="3">
        <v>60</v>
      </c>
      <c r="B208" s="3">
        <v>3</v>
      </c>
      <c r="C208" s="3">
        <v>1</v>
      </c>
      <c r="D208">
        <v>2.3059185242122322E-2</v>
      </c>
      <c r="E208">
        <v>0.19230769230768449</v>
      </c>
      <c r="H208">
        <v>0</v>
      </c>
      <c r="I208">
        <v>3.8488554468355969E-5</v>
      </c>
      <c r="J208">
        <v>0</v>
      </c>
      <c r="L208" s="3">
        <v>60</v>
      </c>
      <c r="M208" s="3">
        <v>3</v>
      </c>
      <c r="N208" s="3">
        <v>1</v>
      </c>
      <c r="O208">
        <v>-3.000000000000114E-2</v>
      </c>
      <c r="P208">
        <v>-2.9999999999998781E-5</v>
      </c>
      <c r="S208">
        <v>0</v>
      </c>
      <c r="T208">
        <v>0.10000000000582079</v>
      </c>
      <c r="U208">
        <v>0</v>
      </c>
      <c r="W208" s="3">
        <v>60</v>
      </c>
      <c r="X208" s="3">
        <v>3</v>
      </c>
      <c r="Y208" s="3">
        <v>1</v>
      </c>
      <c r="Z208">
        <v>130.07</v>
      </c>
      <c r="AA208">
        <v>1.5570000000000001E-2</v>
      </c>
      <c r="AB208">
        <v>0</v>
      </c>
      <c r="AC208">
        <v>0</v>
      </c>
      <c r="AD208">
        <v>86.2</v>
      </c>
      <c r="AE208">
        <v>259817.60000000001</v>
      </c>
      <c r="AF208">
        <v>39463.9</v>
      </c>
      <c r="AH208" s="3">
        <v>90</v>
      </c>
      <c r="AI208" s="3">
        <v>2</v>
      </c>
      <c r="AJ208" s="3">
        <v>2</v>
      </c>
      <c r="AO208">
        <v>86.7</v>
      </c>
      <c r="AP208">
        <v>943921.8</v>
      </c>
      <c r="AQ208">
        <v>158373.4</v>
      </c>
    </row>
    <row r="209" spans="1:43" x14ac:dyDescent="0.25">
      <c r="A209" s="3">
        <v>60</v>
      </c>
      <c r="B209" s="3">
        <v>3</v>
      </c>
      <c r="C209" s="3">
        <v>2</v>
      </c>
      <c r="H209">
        <v>0</v>
      </c>
      <c r="I209">
        <v>4.7241486909653612E-5</v>
      </c>
      <c r="J209">
        <v>0</v>
      </c>
      <c r="L209" s="3">
        <v>60</v>
      </c>
      <c r="M209" s="3">
        <v>3</v>
      </c>
      <c r="N209" s="3">
        <v>2</v>
      </c>
      <c r="S209">
        <v>0</v>
      </c>
      <c r="T209">
        <v>0.2000000000116415</v>
      </c>
      <c r="U209">
        <v>0</v>
      </c>
      <c r="W209" s="3">
        <v>60</v>
      </c>
      <c r="X209" s="3">
        <v>3</v>
      </c>
      <c r="Y209" s="3">
        <v>2</v>
      </c>
      <c r="Z209">
        <v>157.11000000000001</v>
      </c>
      <c r="AA209">
        <v>1.5610000000000001E-2</v>
      </c>
      <c r="AB209">
        <v>0</v>
      </c>
      <c r="AC209">
        <v>0</v>
      </c>
      <c r="AD209">
        <v>87.2</v>
      </c>
      <c r="AE209">
        <v>423356.9</v>
      </c>
      <c r="AF209">
        <v>68767</v>
      </c>
      <c r="AH209" s="3">
        <v>90</v>
      </c>
      <c r="AI209" s="3">
        <v>3</v>
      </c>
      <c r="AJ209" s="3">
        <v>1</v>
      </c>
      <c r="AK209">
        <v>197</v>
      </c>
      <c r="AL209">
        <v>1.5699999999999999E-2</v>
      </c>
      <c r="AO209">
        <v>89.8</v>
      </c>
      <c r="AP209">
        <v>649728.1</v>
      </c>
      <c r="AQ209">
        <v>121728.8</v>
      </c>
    </row>
    <row r="210" spans="1:43" x14ac:dyDescent="0.25">
      <c r="A210" s="3">
        <v>60</v>
      </c>
      <c r="B210" s="3">
        <v>3</v>
      </c>
      <c r="C210" s="3">
        <v>3</v>
      </c>
      <c r="H210">
        <v>0</v>
      </c>
      <c r="I210">
        <v>0</v>
      </c>
      <c r="J210">
        <v>9.1036956457770936E-5</v>
      </c>
      <c r="L210" s="3">
        <v>60</v>
      </c>
      <c r="M210" s="3">
        <v>3</v>
      </c>
      <c r="N210" s="3">
        <v>3</v>
      </c>
      <c r="S210">
        <v>0</v>
      </c>
      <c r="T210">
        <v>0</v>
      </c>
      <c r="U210">
        <v>-0.10000000000582079</v>
      </c>
      <c r="W210" s="3">
        <v>60</v>
      </c>
      <c r="X210" s="3">
        <v>3</v>
      </c>
      <c r="Y210" s="3">
        <v>3</v>
      </c>
      <c r="Z210">
        <v>189.4</v>
      </c>
      <c r="AA210">
        <v>1.5650000000000001E-2</v>
      </c>
      <c r="AB210">
        <v>0</v>
      </c>
      <c r="AC210">
        <v>0</v>
      </c>
      <c r="AD210">
        <v>88.6</v>
      </c>
      <c r="AE210">
        <v>625203.19999999995</v>
      </c>
      <c r="AF210">
        <v>109845.4</v>
      </c>
      <c r="AH210" s="3">
        <v>90</v>
      </c>
      <c r="AI210" s="3">
        <v>3</v>
      </c>
      <c r="AJ210" s="3">
        <v>2</v>
      </c>
      <c r="AO210">
        <v>91.4</v>
      </c>
      <c r="AP210">
        <v>786814.8</v>
      </c>
      <c r="AQ210">
        <v>156752.70000000001</v>
      </c>
    </row>
    <row r="211" spans="1:43" x14ac:dyDescent="0.25">
      <c r="A211" s="3">
        <v>60</v>
      </c>
      <c r="B211" s="3">
        <v>3</v>
      </c>
      <c r="C211" s="3">
        <v>4</v>
      </c>
      <c r="H211">
        <v>0</v>
      </c>
      <c r="I211">
        <v>0</v>
      </c>
      <c r="J211">
        <v>0</v>
      </c>
      <c r="L211" s="3">
        <v>60</v>
      </c>
      <c r="M211" s="3">
        <v>3</v>
      </c>
      <c r="N211" s="3">
        <v>4</v>
      </c>
      <c r="S211">
        <v>0</v>
      </c>
      <c r="T211">
        <v>0</v>
      </c>
      <c r="U211">
        <v>0</v>
      </c>
      <c r="W211" s="3">
        <v>60</v>
      </c>
      <c r="X211" s="3">
        <v>3</v>
      </c>
      <c r="Y211" s="3">
        <v>4</v>
      </c>
      <c r="Z211">
        <v>222.8</v>
      </c>
      <c r="AA211">
        <v>1.5689999999999999E-2</v>
      </c>
      <c r="AB211">
        <v>0</v>
      </c>
      <c r="AC211">
        <v>0</v>
      </c>
      <c r="AD211">
        <v>90.3</v>
      </c>
      <c r="AE211">
        <v>835623.3</v>
      </c>
      <c r="AF211">
        <v>159940.9</v>
      </c>
      <c r="AH211" s="3">
        <v>90</v>
      </c>
      <c r="AI211" s="3">
        <v>3</v>
      </c>
      <c r="AJ211" s="3">
        <v>3</v>
      </c>
      <c r="AO211">
        <v>93.1</v>
      </c>
      <c r="AP211">
        <v>915878.40000000002</v>
      </c>
      <c r="AQ211">
        <v>193347.9</v>
      </c>
    </row>
    <row r="212" spans="1:43" x14ac:dyDescent="0.25">
      <c r="A212" s="3">
        <v>60</v>
      </c>
      <c r="B212" s="3">
        <v>3</v>
      </c>
      <c r="C212" s="3">
        <v>5</v>
      </c>
      <c r="H212">
        <v>0</v>
      </c>
      <c r="I212">
        <v>0</v>
      </c>
      <c r="J212">
        <v>9.3353466569722919E-5</v>
      </c>
      <c r="L212" s="3">
        <v>60</v>
      </c>
      <c r="M212" s="3">
        <v>3</v>
      </c>
      <c r="N212" s="3">
        <v>5</v>
      </c>
      <c r="S212">
        <v>0</v>
      </c>
      <c r="T212">
        <v>0</v>
      </c>
      <c r="U212">
        <v>-0.2000000000116415</v>
      </c>
      <c r="W212" s="3">
        <v>60</v>
      </c>
      <c r="X212" s="3">
        <v>3</v>
      </c>
      <c r="Y212" s="3">
        <v>5</v>
      </c>
      <c r="Z212">
        <v>254.04</v>
      </c>
      <c r="AA212">
        <v>1.5730000000000001E-2</v>
      </c>
      <c r="AB212">
        <v>0</v>
      </c>
      <c r="AC212">
        <v>0</v>
      </c>
      <c r="AD212">
        <v>92.4</v>
      </c>
      <c r="AE212">
        <v>1032014.4</v>
      </c>
      <c r="AF212">
        <v>214239.3</v>
      </c>
      <c r="AH212" s="3">
        <v>90</v>
      </c>
      <c r="AI212" s="3">
        <v>3</v>
      </c>
      <c r="AJ212" s="3">
        <v>4</v>
      </c>
      <c r="AO212">
        <v>95.1</v>
      </c>
      <c r="AP212">
        <v>1040507.4</v>
      </c>
      <c r="AQ212">
        <v>231936.7</v>
      </c>
    </row>
    <row r="213" spans="1:43" x14ac:dyDescent="0.25">
      <c r="A213" s="3">
        <v>60</v>
      </c>
      <c r="B213" s="3">
        <v>3</v>
      </c>
      <c r="C213" s="3">
        <v>6</v>
      </c>
      <c r="H213">
        <v>0</v>
      </c>
      <c r="I213">
        <v>1.6498493414194478E-5</v>
      </c>
      <c r="J213">
        <v>3.6994342816481771E-5</v>
      </c>
      <c r="L213" s="3">
        <v>60</v>
      </c>
      <c r="M213" s="3">
        <v>3</v>
      </c>
      <c r="N213" s="3">
        <v>6</v>
      </c>
      <c r="S213">
        <v>0</v>
      </c>
      <c r="T213">
        <v>0.20000000018626449</v>
      </c>
      <c r="U213">
        <v>-9.9999999976716936E-2</v>
      </c>
      <c r="W213" s="3">
        <v>60</v>
      </c>
      <c r="X213" s="3">
        <v>3</v>
      </c>
      <c r="Y213" s="3">
        <v>6</v>
      </c>
      <c r="Z213">
        <v>282.60000000000002</v>
      </c>
      <c r="AA213">
        <v>1.575E-2</v>
      </c>
      <c r="AB213">
        <v>0</v>
      </c>
      <c r="AC213">
        <v>0</v>
      </c>
      <c r="AD213">
        <v>94.7</v>
      </c>
      <c r="AE213">
        <v>1212232.1000000001</v>
      </c>
      <c r="AF213">
        <v>270311.5</v>
      </c>
      <c r="AH213" s="3">
        <v>90</v>
      </c>
      <c r="AI213" s="3">
        <v>3</v>
      </c>
      <c r="AJ213" s="3">
        <v>5</v>
      </c>
      <c r="AO213">
        <v>97.3</v>
      </c>
      <c r="AP213">
        <v>1166289.5</v>
      </c>
      <c r="AQ213">
        <v>274180.7</v>
      </c>
    </row>
    <row r="214" spans="1:43" x14ac:dyDescent="0.25">
      <c r="A214" s="3">
        <v>60</v>
      </c>
      <c r="B214" s="3">
        <v>3</v>
      </c>
      <c r="C214" s="3">
        <v>7</v>
      </c>
      <c r="H214">
        <v>0</v>
      </c>
      <c r="I214">
        <v>3.6121086551180328E-5</v>
      </c>
      <c r="J214">
        <v>3.0288390907036421E-5</v>
      </c>
      <c r="L214" s="3">
        <v>60</v>
      </c>
      <c r="M214" s="3">
        <v>3</v>
      </c>
      <c r="N214" s="3">
        <v>7</v>
      </c>
      <c r="S214">
        <v>0</v>
      </c>
      <c r="T214">
        <v>0.5</v>
      </c>
      <c r="U214">
        <v>-9.9999999976716936E-2</v>
      </c>
      <c r="W214" s="3">
        <v>60</v>
      </c>
      <c r="X214" s="3">
        <v>3</v>
      </c>
      <c r="Y214" s="3">
        <v>7</v>
      </c>
      <c r="Z214">
        <v>310</v>
      </c>
      <c r="AA214">
        <v>1.5769999999999999E-2</v>
      </c>
      <c r="AB214">
        <v>0</v>
      </c>
      <c r="AC214">
        <v>0</v>
      </c>
      <c r="AD214">
        <v>97.3</v>
      </c>
      <c r="AE214">
        <v>1384233.5</v>
      </c>
      <c r="AF214">
        <v>330159.40000000002</v>
      </c>
      <c r="AH214" s="3">
        <v>90</v>
      </c>
      <c r="AI214" s="3">
        <v>3</v>
      </c>
      <c r="AJ214" s="3">
        <v>6</v>
      </c>
      <c r="AO214">
        <v>99.7</v>
      </c>
      <c r="AP214">
        <v>1297710.3999999999</v>
      </c>
      <c r="AQ214">
        <v>322284.59999999998</v>
      </c>
    </row>
    <row r="215" spans="1:43" x14ac:dyDescent="0.25">
      <c r="A215" s="3">
        <v>60</v>
      </c>
      <c r="B215" s="3">
        <v>3</v>
      </c>
      <c r="C215" s="3">
        <v>8</v>
      </c>
      <c r="H215">
        <v>0</v>
      </c>
      <c r="I215">
        <v>3.8516968335401408E-5</v>
      </c>
      <c r="J215">
        <v>5.0267195279418143E-5</v>
      </c>
      <c r="L215" s="3">
        <v>60</v>
      </c>
      <c r="M215" s="3">
        <v>3</v>
      </c>
      <c r="N215" s="3">
        <v>8</v>
      </c>
      <c r="S215">
        <v>0</v>
      </c>
      <c r="T215">
        <v>0.60000000009313226</v>
      </c>
      <c r="U215">
        <v>-0.2000000000116415</v>
      </c>
      <c r="W215" s="3">
        <v>60</v>
      </c>
      <c r="X215" s="3">
        <v>3</v>
      </c>
      <c r="Y215" s="3">
        <v>8</v>
      </c>
      <c r="Z215">
        <v>337.92</v>
      </c>
      <c r="AA215">
        <v>1.5779999999999999E-2</v>
      </c>
      <c r="AB215">
        <v>0</v>
      </c>
      <c r="AC215">
        <v>0</v>
      </c>
      <c r="AD215">
        <v>100.1</v>
      </c>
      <c r="AE215">
        <v>1557755.6</v>
      </c>
      <c r="AF215">
        <v>397873.6</v>
      </c>
      <c r="AH215" s="3">
        <v>90</v>
      </c>
      <c r="AI215" s="3">
        <v>3</v>
      </c>
      <c r="AJ215" s="3">
        <v>7</v>
      </c>
      <c r="AO215">
        <v>102.4</v>
      </c>
      <c r="AP215">
        <v>1437364.9</v>
      </c>
      <c r="AQ215">
        <v>378706.5</v>
      </c>
    </row>
    <row r="216" spans="1:43" x14ac:dyDescent="0.25">
      <c r="A216" s="3">
        <v>60</v>
      </c>
      <c r="B216" s="3">
        <v>3</v>
      </c>
      <c r="C216" s="3">
        <v>9</v>
      </c>
      <c r="H216">
        <v>0</v>
      </c>
      <c r="I216">
        <v>4.3123213081857918E-5</v>
      </c>
      <c r="J216">
        <v>2.1571077679160119E-5</v>
      </c>
      <c r="L216" s="3">
        <v>60</v>
      </c>
      <c r="M216" s="3">
        <v>3</v>
      </c>
      <c r="N216" s="3">
        <v>9</v>
      </c>
      <c r="S216">
        <v>0</v>
      </c>
      <c r="T216">
        <v>1.5</v>
      </c>
      <c r="U216">
        <v>-0.1000000000349246</v>
      </c>
      <c r="W216" s="3">
        <v>60</v>
      </c>
      <c r="X216" s="3">
        <v>3</v>
      </c>
      <c r="Y216" s="3">
        <v>9</v>
      </c>
      <c r="Z216">
        <v>367.38</v>
      </c>
      <c r="AA216">
        <v>1.5789999999999998E-2</v>
      </c>
      <c r="AB216">
        <v>78.8</v>
      </c>
      <c r="AC216">
        <v>4.5</v>
      </c>
      <c r="AD216">
        <v>117.9</v>
      </c>
      <c r="AE216">
        <v>3478406.5</v>
      </c>
      <c r="AF216">
        <v>463583.6</v>
      </c>
      <c r="AH216" s="3">
        <v>90</v>
      </c>
      <c r="AI216" s="3">
        <v>3</v>
      </c>
      <c r="AJ216" s="3">
        <v>8</v>
      </c>
      <c r="AO216">
        <v>105.4</v>
      </c>
      <c r="AP216">
        <v>1591408.8</v>
      </c>
      <c r="AQ216">
        <v>446209</v>
      </c>
    </row>
    <row r="217" spans="1:43" x14ac:dyDescent="0.25">
      <c r="A217" s="3">
        <v>60</v>
      </c>
      <c r="B217" s="3">
        <v>3</v>
      </c>
      <c r="C217" s="3">
        <v>10</v>
      </c>
      <c r="H217">
        <v>0</v>
      </c>
      <c r="I217">
        <v>3.4927046713295049E-5</v>
      </c>
      <c r="J217">
        <v>6.6455526387293684E-5</v>
      </c>
      <c r="L217" s="3">
        <v>60</v>
      </c>
      <c r="M217" s="3">
        <v>3</v>
      </c>
      <c r="N217" s="3">
        <v>10</v>
      </c>
      <c r="S217">
        <v>0</v>
      </c>
      <c r="T217">
        <v>1.5</v>
      </c>
      <c r="U217">
        <v>-0.40000000002328312</v>
      </c>
      <c r="W217" s="3">
        <v>60</v>
      </c>
      <c r="X217" s="3">
        <v>3</v>
      </c>
      <c r="Y217" s="3">
        <v>10</v>
      </c>
      <c r="Z217">
        <v>413.62</v>
      </c>
      <c r="AA217">
        <v>1.575E-2</v>
      </c>
      <c r="AB217">
        <v>88.1</v>
      </c>
      <c r="AC217">
        <v>5.0999999999999996</v>
      </c>
      <c r="AD217">
        <v>127.3</v>
      </c>
      <c r="AE217">
        <v>4294667.5</v>
      </c>
      <c r="AF217">
        <v>601905.9</v>
      </c>
      <c r="AH217" s="3">
        <v>90</v>
      </c>
      <c r="AI217" s="3">
        <v>3</v>
      </c>
      <c r="AJ217" s="3">
        <v>9</v>
      </c>
      <c r="AO217">
        <v>127.4</v>
      </c>
      <c r="AP217">
        <v>3476400.5</v>
      </c>
      <c r="AQ217">
        <v>510137</v>
      </c>
    </row>
    <row r="218" spans="1:43" x14ac:dyDescent="0.25">
      <c r="A218" s="3">
        <v>60</v>
      </c>
      <c r="B218" s="3">
        <v>3</v>
      </c>
      <c r="C218" s="3">
        <v>11</v>
      </c>
      <c r="H218">
        <v>0</v>
      </c>
      <c r="I218">
        <v>3.6604906206650048E-5</v>
      </c>
      <c r="J218">
        <v>0</v>
      </c>
      <c r="L218" s="3">
        <v>60</v>
      </c>
      <c r="M218" s="3">
        <v>3</v>
      </c>
      <c r="N218" s="3">
        <v>11</v>
      </c>
      <c r="S218">
        <v>0</v>
      </c>
      <c r="T218">
        <v>-1.299999999813735</v>
      </c>
      <c r="U218">
        <v>0</v>
      </c>
      <c r="W218" s="3">
        <v>60</v>
      </c>
      <c r="X218" s="3">
        <v>3</v>
      </c>
      <c r="Y218" s="3">
        <v>11</v>
      </c>
      <c r="Z218">
        <v>470.49</v>
      </c>
      <c r="AA218">
        <v>1.5699999999999999E-2</v>
      </c>
      <c r="AB218">
        <v>13421.4</v>
      </c>
      <c r="AC218">
        <v>5.0999999999999996</v>
      </c>
      <c r="AD218">
        <v>238.5</v>
      </c>
      <c r="AE218">
        <v>3551435.2</v>
      </c>
      <c r="AF218">
        <v>12612721</v>
      </c>
      <c r="AH218" s="3">
        <v>90</v>
      </c>
      <c r="AI218" s="3">
        <v>3</v>
      </c>
      <c r="AJ218" s="3">
        <v>10</v>
      </c>
      <c r="AO218">
        <v>138.69999999999999</v>
      </c>
      <c r="AP218">
        <v>4272200.5</v>
      </c>
      <c r="AQ218">
        <v>663065.59999999998</v>
      </c>
    </row>
    <row r="219" spans="1:43" x14ac:dyDescent="0.25">
      <c r="A219" s="3">
        <v>60</v>
      </c>
      <c r="B219" s="3">
        <v>3</v>
      </c>
      <c r="C219" s="3">
        <v>12</v>
      </c>
      <c r="H219">
        <v>0</v>
      </c>
      <c r="I219">
        <v>0</v>
      </c>
      <c r="J219">
        <v>0</v>
      </c>
      <c r="L219" s="3">
        <v>60</v>
      </c>
      <c r="M219" s="3">
        <v>3</v>
      </c>
      <c r="N219" s="3">
        <v>12</v>
      </c>
      <c r="S219">
        <v>0</v>
      </c>
      <c r="T219">
        <v>0</v>
      </c>
      <c r="U219">
        <v>0</v>
      </c>
      <c r="W219" s="3">
        <v>60</v>
      </c>
      <c r="X219" s="3">
        <v>3</v>
      </c>
      <c r="Y219" s="3">
        <v>12</v>
      </c>
      <c r="Z219">
        <v>93.7</v>
      </c>
      <c r="AA219">
        <v>1.5650000000000001E-2</v>
      </c>
      <c r="AB219">
        <v>88.1</v>
      </c>
      <c r="AC219">
        <v>5.0999999999999996</v>
      </c>
      <c r="AD219">
        <v>86.4</v>
      </c>
      <c r="AE219">
        <v>147294.5</v>
      </c>
      <c r="AF219">
        <v>6403.9</v>
      </c>
      <c r="AH219" s="3">
        <v>90</v>
      </c>
      <c r="AI219" s="3">
        <v>3</v>
      </c>
      <c r="AJ219" s="3">
        <v>11</v>
      </c>
      <c r="AO219">
        <v>270.89999999999998</v>
      </c>
      <c r="AP219">
        <v>3290090.5</v>
      </c>
      <c r="AQ219">
        <v>12636083</v>
      </c>
    </row>
    <row r="220" spans="1:43" x14ac:dyDescent="0.25">
      <c r="A220" s="3">
        <v>60</v>
      </c>
      <c r="B220" s="3">
        <v>3</v>
      </c>
      <c r="C220" s="3">
        <v>13</v>
      </c>
      <c r="H220">
        <v>0</v>
      </c>
      <c r="I220">
        <v>1.7030277278211691E-4</v>
      </c>
      <c r="J220">
        <v>0</v>
      </c>
      <c r="L220" s="3">
        <v>60</v>
      </c>
      <c r="M220" s="3">
        <v>3</v>
      </c>
      <c r="N220" s="3">
        <v>13</v>
      </c>
      <c r="S220">
        <v>0</v>
      </c>
      <c r="T220">
        <v>-0.19999999999708959</v>
      </c>
      <c r="U220">
        <v>0</v>
      </c>
      <c r="W220" s="3">
        <v>60</v>
      </c>
      <c r="X220" s="3">
        <v>3</v>
      </c>
      <c r="Y220" s="3">
        <v>13</v>
      </c>
      <c r="Z220">
        <v>91.18</v>
      </c>
      <c r="AA220">
        <v>1.5610000000000001E-2</v>
      </c>
      <c r="AB220">
        <v>88.1</v>
      </c>
      <c r="AC220">
        <v>5.0999999999999996</v>
      </c>
      <c r="AD220">
        <v>86.1</v>
      </c>
      <c r="AE220">
        <v>117437.7</v>
      </c>
      <c r="AF220">
        <v>4412.3999999999996</v>
      </c>
      <c r="AH220" s="3">
        <v>90</v>
      </c>
      <c r="AI220" s="3">
        <v>3</v>
      </c>
      <c r="AJ220" s="3">
        <v>12</v>
      </c>
      <c r="AO220">
        <v>86.7</v>
      </c>
      <c r="AP220">
        <v>147973.1</v>
      </c>
      <c r="AQ220">
        <v>5725.3</v>
      </c>
    </row>
    <row r="221" spans="1:43" x14ac:dyDescent="0.25">
      <c r="A221" s="3">
        <v>60</v>
      </c>
      <c r="B221" s="3">
        <v>3</v>
      </c>
      <c r="C221" s="3">
        <v>14</v>
      </c>
      <c r="H221">
        <v>0</v>
      </c>
      <c r="I221">
        <v>1.374462756949913E-4</v>
      </c>
      <c r="J221">
        <v>0</v>
      </c>
      <c r="L221" s="3">
        <v>60</v>
      </c>
      <c r="M221" s="3">
        <v>3</v>
      </c>
      <c r="N221" s="3">
        <v>14</v>
      </c>
      <c r="S221">
        <v>0</v>
      </c>
      <c r="T221">
        <v>0.10000000000582079</v>
      </c>
      <c r="U221">
        <v>0</v>
      </c>
      <c r="W221" s="3">
        <v>60</v>
      </c>
      <c r="X221" s="3">
        <v>3</v>
      </c>
      <c r="Y221" s="3">
        <v>14</v>
      </c>
      <c r="Z221">
        <v>88.27</v>
      </c>
      <c r="AA221">
        <v>1.5559999999999999E-2</v>
      </c>
      <c r="AB221">
        <v>86.8</v>
      </c>
      <c r="AC221">
        <v>5</v>
      </c>
      <c r="AD221">
        <v>85.7</v>
      </c>
      <c r="AE221">
        <v>72755.8</v>
      </c>
      <c r="AF221">
        <v>2235.8000000000002</v>
      </c>
      <c r="AH221" s="3">
        <v>90</v>
      </c>
      <c r="AI221" s="3">
        <v>3</v>
      </c>
      <c r="AJ221" s="3">
        <v>13</v>
      </c>
      <c r="AO221">
        <v>86.3</v>
      </c>
      <c r="AP221">
        <v>117953.7</v>
      </c>
      <c r="AQ221">
        <v>3896.6</v>
      </c>
    </row>
    <row r="222" spans="1:43" x14ac:dyDescent="0.25">
      <c r="A222" s="3">
        <v>60</v>
      </c>
      <c r="B222" s="3">
        <v>4</v>
      </c>
      <c r="C222" s="3">
        <v>1</v>
      </c>
      <c r="D222">
        <v>0</v>
      </c>
      <c r="E222">
        <v>6.451612903225544E-2</v>
      </c>
      <c r="H222">
        <v>0</v>
      </c>
      <c r="L222" s="3">
        <v>60</v>
      </c>
      <c r="M222" s="3">
        <v>4</v>
      </c>
      <c r="N222" s="3">
        <v>1</v>
      </c>
      <c r="O222">
        <v>0</v>
      </c>
      <c r="P222">
        <v>9.9999999999995925E-6</v>
      </c>
      <c r="S222">
        <v>0</v>
      </c>
      <c r="T222">
        <v>0</v>
      </c>
      <c r="U222">
        <v>0</v>
      </c>
      <c r="W222" s="3">
        <v>60</v>
      </c>
      <c r="X222" s="3">
        <v>4</v>
      </c>
      <c r="Y222" s="3">
        <v>1</v>
      </c>
      <c r="Z222">
        <v>85</v>
      </c>
      <c r="AA222">
        <v>1.5509999999999999E-2</v>
      </c>
      <c r="AB222">
        <v>0.1</v>
      </c>
      <c r="AC222">
        <v>0</v>
      </c>
      <c r="AD222">
        <v>85</v>
      </c>
      <c r="AE222">
        <v>0</v>
      </c>
      <c r="AF222">
        <v>0</v>
      </c>
      <c r="AH222" s="3">
        <v>90</v>
      </c>
      <c r="AI222" s="3">
        <v>3</v>
      </c>
      <c r="AJ222" s="3">
        <v>14</v>
      </c>
      <c r="AO222">
        <v>85.8</v>
      </c>
      <c r="AP222">
        <v>73053.899999999994</v>
      </c>
      <c r="AQ222">
        <v>1937.6</v>
      </c>
    </row>
    <row r="223" spans="1:43" x14ac:dyDescent="0.25">
      <c r="A223" s="3">
        <v>60</v>
      </c>
      <c r="B223" s="3">
        <v>4</v>
      </c>
      <c r="C223" s="3">
        <v>2</v>
      </c>
      <c r="H223">
        <v>0</v>
      </c>
      <c r="L223" s="3">
        <v>60</v>
      </c>
      <c r="M223" s="3">
        <v>4</v>
      </c>
      <c r="N223" s="3">
        <v>2</v>
      </c>
      <c r="S223">
        <v>0</v>
      </c>
      <c r="T223">
        <v>0</v>
      </c>
      <c r="U223">
        <v>0</v>
      </c>
      <c r="W223" s="3">
        <v>60</v>
      </c>
      <c r="X223" s="3">
        <v>4</v>
      </c>
      <c r="Y223" s="3">
        <v>2</v>
      </c>
      <c r="Z223">
        <v>85</v>
      </c>
      <c r="AA223">
        <v>1.5509999999999999E-2</v>
      </c>
      <c r="AB223">
        <v>0.1</v>
      </c>
      <c r="AC223">
        <v>0</v>
      </c>
      <c r="AD223">
        <v>85</v>
      </c>
      <c r="AE223">
        <v>0</v>
      </c>
      <c r="AF223">
        <v>0</v>
      </c>
      <c r="AH223" s="3">
        <v>90</v>
      </c>
      <c r="AI223" s="3">
        <v>4</v>
      </c>
      <c r="AJ223" s="3">
        <v>1</v>
      </c>
      <c r="AK223">
        <v>85</v>
      </c>
      <c r="AL223">
        <v>1.55E-2</v>
      </c>
      <c r="AO223">
        <v>85</v>
      </c>
      <c r="AP223">
        <v>0</v>
      </c>
      <c r="AQ223">
        <v>0</v>
      </c>
    </row>
    <row r="224" spans="1:43" x14ac:dyDescent="0.25">
      <c r="A224" s="3">
        <v>60</v>
      </c>
      <c r="B224" s="3">
        <v>5</v>
      </c>
      <c r="C224" s="3">
        <v>1</v>
      </c>
      <c r="D224">
        <v>4.678362573100147E-2</v>
      </c>
      <c r="E224">
        <v>6.451612903225544E-2</v>
      </c>
      <c r="L224" s="3">
        <v>60</v>
      </c>
      <c r="M224" s="3">
        <v>5</v>
      </c>
      <c r="N224" s="3">
        <v>1</v>
      </c>
      <c r="O224">
        <v>4.0000000000006253E-2</v>
      </c>
      <c r="P224">
        <v>9.9999999999995925E-6</v>
      </c>
      <c r="W224" s="3">
        <v>60</v>
      </c>
      <c r="X224" s="3">
        <v>5</v>
      </c>
      <c r="Y224" s="3">
        <v>1</v>
      </c>
      <c r="Z224">
        <v>85.54</v>
      </c>
      <c r="AA224">
        <v>1.5509999999999999E-2</v>
      </c>
      <c r="AH224" s="3">
        <v>90</v>
      </c>
      <c r="AI224" s="3">
        <v>4</v>
      </c>
      <c r="AJ224" s="3">
        <v>2</v>
      </c>
      <c r="AO224">
        <v>85</v>
      </c>
      <c r="AP224">
        <v>0</v>
      </c>
      <c r="AQ224">
        <v>0</v>
      </c>
    </row>
    <row r="225" spans="1:43" x14ac:dyDescent="0.25">
      <c r="A225" s="3">
        <v>60</v>
      </c>
      <c r="B225" s="3">
        <v>5</v>
      </c>
      <c r="C225" s="3">
        <v>2</v>
      </c>
      <c r="L225" s="3">
        <v>60</v>
      </c>
      <c r="M225" s="3">
        <v>5</v>
      </c>
      <c r="N225" s="3">
        <v>2</v>
      </c>
      <c r="W225" s="3">
        <v>60</v>
      </c>
      <c r="X225" s="3">
        <v>5</v>
      </c>
      <c r="Y225" s="3">
        <v>2</v>
      </c>
      <c r="Z225">
        <v>85.43</v>
      </c>
      <c r="AA225">
        <v>1.5509999999999999E-2</v>
      </c>
      <c r="AH225" s="3">
        <v>90</v>
      </c>
      <c r="AI225" s="3">
        <v>5</v>
      </c>
      <c r="AJ225" s="3">
        <v>1</v>
      </c>
      <c r="AK225">
        <v>89.1</v>
      </c>
      <c r="AL225">
        <v>1.55E-2</v>
      </c>
    </row>
    <row r="226" spans="1:43" x14ac:dyDescent="0.25">
      <c r="A226" s="3">
        <v>70</v>
      </c>
      <c r="B226" s="3">
        <v>1</v>
      </c>
      <c r="C226" s="3">
        <v>1</v>
      </c>
      <c r="D226">
        <v>1.1764705882358961E-2</v>
      </c>
      <c r="E226">
        <v>6.451612903225544E-2</v>
      </c>
      <c r="L226" s="3">
        <v>70</v>
      </c>
      <c r="M226" s="3">
        <v>1</v>
      </c>
      <c r="N226" s="3">
        <v>1</v>
      </c>
      <c r="O226">
        <v>1.0000000000005119E-2</v>
      </c>
      <c r="P226">
        <v>9.9999999999995925E-6</v>
      </c>
      <c r="W226" s="3">
        <v>70</v>
      </c>
      <c r="X226" s="3">
        <v>1</v>
      </c>
      <c r="Y226" s="3">
        <v>1</v>
      </c>
      <c r="Z226">
        <v>85.01</v>
      </c>
      <c r="AA226">
        <v>1.5509999999999999E-2</v>
      </c>
      <c r="AB226">
        <v>1</v>
      </c>
      <c r="AC226">
        <v>0</v>
      </c>
      <c r="AH226" s="3">
        <v>100</v>
      </c>
      <c r="AI226" s="3">
        <v>1</v>
      </c>
      <c r="AJ226" s="3">
        <v>1</v>
      </c>
      <c r="AK226">
        <v>85</v>
      </c>
      <c r="AL226">
        <v>1.55E-2</v>
      </c>
    </row>
    <row r="227" spans="1:43" x14ac:dyDescent="0.25">
      <c r="A227" s="3">
        <v>70</v>
      </c>
      <c r="B227" s="3">
        <v>1</v>
      </c>
      <c r="C227" s="3">
        <v>2</v>
      </c>
      <c r="L227" s="3">
        <v>70</v>
      </c>
      <c r="M227" s="3">
        <v>1</v>
      </c>
      <c r="N227" s="3">
        <v>2</v>
      </c>
      <c r="W227" s="3">
        <v>70</v>
      </c>
      <c r="X227" s="3">
        <v>1</v>
      </c>
      <c r="Y227" s="3">
        <v>2</v>
      </c>
      <c r="Z227">
        <v>85.02</v>
      </c>
      <c r="AA227">
        <v>1.5509999999999999E-2</v>
      </c>
      <c r="AB227">
        <v>1</v>
      </c>
      <c r="AC227">
        <v>0</v>
      </c>
      <c r="AH227" s="3">
        <v>100</v>
      </c>
      <c r="AI227" s="3">
        <v>2</v>
      </c>
      <c r="AJ227" s="3">
        <v>1</v>
      </c>
      <c r="AK227">
        <v>110.8</v>
      </c>
      <c r="AL227">
        <v>1.5599999999999999E-2</v>
      </c>
      <c r="AO227">
        <v>85.8</v>
      </c>
      <c r="AP227">
        <v>480954.1</v>
      </c>
      <c r="AQ227">
        <v>76525.100000000006</v>
      </c>
    </row>
    <row r="228" spans="1:43" x14ac:dyDescent="0.25">
      <c r="A228" s="3">
        <v>70</v>
      </c>
      <c r="B228" s="3">
        <v>1</v>
      </c>
      <c r="C228" s="3">
        <v>3</v>
      </c>
      <c r="L228" s="3">
        <v>70</v>
      </c>
      <c r="M228" s="3">
        <v>1</v>
      </c>
      <c r="N228" s="3">
        <v>3</v>
      </c>
      <c r="W228" s="3">
        <v>70</v>
      </c>
      <c r="X228" s="3">
        <v>1</v>
      </c>
      <c r="Y228" s="3">
        <v>3</v>
      </c>
      <c r="Z228">
        <v>85.03</v>
      </c>
      <c r="AA228">
        <v>1.5509999999999999E-2</v>
      </c>
      <c r="AB228">
        <v>1</v>
      </c>
      <c r="AC228">
        <v>0</v>
      </c>
      <c r="AH228" s="3">
        <v>100</v>
      </c>
      <c r="AI228" s="3">
        <v>2</v>
      </c>
      <c r="AJ228" s="3">
        <v>2</v>
      </c>
      <c r="AO228">
        <v>87.4</v>
      </c>
      <c r="AP228">
        <v>1194840.3999999999</v>
      </c>
      <c r="AQ228">
        <v>210705.9</v>
      </c>
    </row>
    <row r="229" spans="1:43" x14ac:dyDescent="0.25">
      <c r="A229" s="3">
        <v>70</v>
      </c>
      <c r="B229" s="3">
        <v>1</v>
      </c>
      <c r="C229" s="3">
        <v>4</v>
      </c>
      <c r="L229" s="3">
        <v>70</v>
      </c>
      <c r="M229" s="3">
        <v>1</v>
      </c>
      <c r="N229" s="3">
        <v>4</v>
      </c>
      <c r="W229" s="3">
        <v>70</v>
      </c>
      <c r="X229" s="3">
        <v>1</v>
      </c>
      <c r="Y229" s="3">
        <v>4</v>
      </c>
      <c r="Z229">
        <v>85.04</v>
      </c>
      <c r="AA229">
        <v>1.5509999999999999E-2</v>
      </c>
      <c r="AB229">
        <v>1</v>
      </c>
      <c r="AC229">
        <v>0</v>
      </c>
      <c r="AH229" s="3">
        <v>100</v>
      </c>
      <c r="AI229" s="3">
        <v>3</v>
      </c>
      <c r="AJ229" s="3">
        <v>1</v>
      </c>
      <c r="AK229">
        <v>209.9</v>
      </c>
      <c r="AL229">
        <v>1.5699999999999999E-2</v>
      </c>
      <c r="AO229">
        <v>91</v>
      </c>
      <c r="AP229">
        <v>718012.3</v>
      </c>
      <c r="AQ229">
        <v>140911.9</v>
      </c>
    </row>
    <row r="230" spans="1:43" x14ac:dyDescent="0.25">
      <c r="A230" s="3">
        <v>70</v>
      </c>
      <c r="B230" s="3">
        <v>1</v>
      </c>
      <c r="C230" s="3">
        <v>5</v>
      </c>
      <c r="L230" s="3">
        <v>70</v>
      </c>
      <c r="M230" s="3">
        <v>1</v>
      </c>
      <c r="N230" s="3">
        <v>5</v>
      </c>
      <c r="W230" s="3">
        <v>70</v>
      </c>
      <c r="X230" s="3">
        <v>1</v>
      </c>
      <c r="Y230" s="3">
        <v>5</v>
      </c>
      <c r="Z230">
        <v>85.04</v>
      </c>
      <c r="AA230">
        <v>1.5509999999999999E-2</v>
      </c>
      <c r="AB230">
        <v>1</v>
      </c>
      <c r="AC230">
        <v>0</v>
      </c>
      <c r="AH230" s="3">
        <v>100</v>
      </c>
      <c r="AI230" s="3">
        <v>3</v>
      </c>
      <c r="AJ230" s="3">
        <v>2</v>
      </c>
      <c r="AO230">
        <v>92.6</v>
      </c>
      <c r="AP230">
        <v>834268.8</v>
      </c>
      <c r="AQ230">
        <v>172825.2</v>
      </c>
    </row>
    <row r="231" spans="1:43" x14ac:dyDescent="0.25">
      <c r="A231" s="3">
        <v>70</v>
      </c>
      <c r="B231" s="3">
        <v>1</v>
      </c>
      <c r="C231" s="3">
        <v>6</v>
      </c>
      <c r="L231" s="3">
        <v>70</v>
      </c>
      <c r="M231" s="3">
        <v>1</v>
      </c>
      <c r="N231" s="3">
        <v>6</v>
      </c>
      <c r="W231" s="3">
        <v>70</v>
      </c>
      <c r="X231" s="3">
        <v>1</v>
      </c>
      <c r="Y231" s="3">
        <v>6</v>
      </c>
      <c r="Z231">
        <v>85.05</v>
      </c>
      <c r="AA231">
        <v>1.5509999999999999E-2</v>
      </c>
      <c r="AB231">
        <v>1</v>
      </c>
      <c r="AC231">
        <v>0</v>
      </c>
      <c r="AH231" s="3">
        <v>100</v>
      </c>
      <c r="AI231" s="3">
        <v>3</v>
      </c>
      <c r="AJ231" s="3">
        <v>3</v>
      </c>
      <c r="AO231">
        <v>94.4</v>
      </c>
      <c r="AP231">
        <v>946781.2</v>
      </c>
      <c r="AQ231">
        <v>206404.6</v>
      </c>
    </row>
    <row r="232" spans="1:43" x14ac:dyDescent="0.25">
      <c r="A232" s="3">
        <v>70</v>
      </c>
      <c r="B232" s="3">
        <v>1</v>
      </c>
      <c r="C232" s="3">
        <v>7</v>
      </c>
      <c r="L232" s="3">
        <v>70</v>
      </c>
      <c r="M232" s="3">
        <v>1</v>
      </c>
      <c r="N232" s="3">
        <v>7</v>
      </c>
      <c r="W232" s="3">
        <v>70</v>
      </c>
      <c r="X232" s="3">
        <v>1</v>
      </c>
      <c r="Y232" s="3">
        <v>7</v>
      </c>
      <c r="Z232">
        <v>85.05</v>
      </c>
      <c r="AA232">
        <v>1.5509999999999999E-2</v>
      </c>
      <c r="AB232">
        <v>1</v>
      </c>
      <c r="AC232">
        <v>0</v>
      </c>
      <c r="AH232" s="3">
        <v>100</v>
      </c>
      <c r="AI232" s="3">
        <v>3</v>
      </c>
      <c r="AJ232" s="3">
        <v>4</v>
      </c>
      <c r="AO232">
        <v>96.4</v>
      </c>
      <c r="AP232">
        <v>1059930.5</v>
      </c>
      <c r="AQ232">
        <v>242901.3</v>
      </c>
    </row>
    <row r="233" spans="1:43" x14ac:dyDescent="0.25">
      <c r="A233" s="3">
        <v>70</v>
      </c>
      <c r="B233" s="3">
        <v>1</v>
      </c>
      <c r="C233" s="3">
        <v>8</v>
      </c>
      <c r="L233" s="3">
        <v>70</v>
      </c>
      <c r="M233" s="3">
        <v>1</v>
      </c>
      <c r="N233" s="3">
        <v>8</v>
      </c>
      <c r="W233" s="3">
        <v>70</v>
      </c>
      <c r="X233" s="3">
        <v>1</v>
      </c>
      <c r="Y233" s="3">
        <v>8</v>
      </c>
      <c r="Z233">
        <v>85.05</v>
      </c>
      <c r="AA233">
        <v>1.5509999999999999E-2</v>
      </c>
      <c r="AB233">
        <v>1</v>
      </c>
      <c r="AC233">
        <v>0</v>
      </c>
      <c r="AH233" s="3">
        <v>100</v>
      </c>
      <c r="AI233" s="3">
        <v>3</v>
      </c>
      <c r="AJ233" s="3">
        <v>5</v>
      </c>
      <c r="AO233">
        <v>98.6</v>
      </c>
      <c r="AP233">
        <v>1178449.3</v>
      </c>
      <c r="AQ233">
        <v>284083.40000000002</v>
      </c>
    </row>
    <row r="234" spans="1:43" x14ac:dyDescent="0.25">
      <c r="A234" s="3">
        <v>70</v>
      </c>
      <c r="B234" s="3">
        <v>1</v>
      </c>
      <c r="C234" s="3">
        <v>9</v>
      </c>
      <c r="L234" s="3">
        <v>70</v>
      </c>
      <c r="M234" s="3">
        <v>1</v>
      </c>
      <c r="N234" s="3">
        <v>9</v>
      </c>
      <c r="W234" s="3">
        <v>70</v>
      </c>
      <c r="X234" s="3">
        <v>1</v>
      </c>
      <c r="Y234" s="3">
        <v>9</v>
      </c>
      <c r="Z234">
        <v>85.05</v>
      </c>
      <c r="AA234">
        <v>1.5509999999999999E-2</v>
      </c>
      <c r="AB234">
        <v>1</v>
      </c>
      <c r="AC234">
        <v>0</v>
      </c>
      <c r="AH234" s="3">
        <v>100</v>
      </c>
      <c r="AI234" s="3">
        <v>3</v>
      </c>
      <c r="AJ234" s="3">
        <v>6</v>
      </c>
      <c r="AO234">
        <v>101</v>
      </c>
      <c r="AP234">
        <v>1304662.3999999999</v>
      </c>
      <c r="AQ234">
        <v>331981.7</v>
      </c>
    </row>
    <row r="235" spans="1:43" x14ac:dyDescent="0.25">
      <c r="A235" s="3">
        <v>70</v>
      </c>
      <c r="B235" s="3">
        <v>1</v>
      </c>
      <c r="C235" s="3">
        <v>10</v>
      </c>
      <c r="L235" s="3">
        <v>70</v>
      </c>
      <c r="M235" s="3">
        <v>1</v>
      </c>
      <c r="N235" s="3">
        <v>10</v>
      </c>
      <c r="W235" s="3">
        <v>70</v>
      </c>
      <c r="X235" s="3">
        <v>1</v>
      </c>
      <c r="Y235" s="3">
        <v>10</v>
      </c>
      <c r="Z235">
        <v>85.05</v>
      </c>
      <c r="AA235">
        <v>1.5509999999999999E-2</v>
      </c>
      <c r="AB235">
        <v>1</v>
      </c>
      <c r="AC235">
        <v>0</v>
      </c>
      <c r="AH235" s="3">
        <v>100</v>
      </c>
      <c r="AI235" s="3">
        <v>3</v>
      </c>
      <c r="AJ235" s="3">
        <v>7</v>
      </c>
      <c r="AO235">
        <v>103.8</v>
      </c>
      <c r="AP235">
        <v>1441623.1</v>
      </c>
      <c r="AQ235">
        <v>388893.3</v>
      </c>
    </row>
    <row r="236" spans="1:43" x14ac:dyDescent="0.25">
      <c r="A236" s="3">
        <v>70</v>
      </c>
      <c r="B236" s="3">
        <v>2</v>
      </c>
      <c r="C236" s="3">
        <v>1</v>
      </c>
      <c r="D236">
        <v>4.4150110375282853E-2</v>
      </c>
      <c r="E236">
        <v>0.12903225806452209</v>
      </c>
      <c r="H236">
        <v>0</v>
      </c>
      <c r="I236">
        <v>4.717452877363208E-4</v>
      </c>
      <c r="J236">
        <v>6.5117732860065132E-4</v>
      </c>
      <c r="L236" s="3">
        <v>70</v>
      </c>
      <c r="M236" s="3">
        <v>2</v>
      </c>
      <c r="N236" s="3">
        <v>1</v>
      </c>
      <c r="O236">
        <v>4.0000000000006253E-2</v>
      </c>
      <c r="P236">
        <v>2.000000000000092E-5</v>
      </c>
      <c r="S236">
        <v>0</v>
      </c>
      <c r="T236">
        <v>0.5</v>
      </c>
      <c r="U236">
        <v>-9.9999999998544808E-2</v>
      </c>
      <c r="W236" s="3">
        <v>70</v>
      </c>
      <c r="X236" s="3">
        <v>2</v>
      </c>
      <c r="Y236" s="3">
        <v>1</v>
      </c>
      <c r="Z236">
        <v>90.64</v>
      </c>
      <c r="AA236">
        <v>1.5520000000000001E-2</v>
      </c>
      <c r="AB236">
        <v>0.1</v>
      </c>
      <c r="AC236">
        <v>0</v>
      </c>
      <c r="AD236">
        <v>85.1</v>
      </c>
      <c r="AE236">
        <v>105989.9</v>
      </c>
      <c r="AF236">
        <v>15356.7</v>
      </c>
      <c r="AH236" s="3">
        <v>100</v>
      </c>
      <c r="AI236" s="3">
        <v>3</v>
      </c>
      <c r="AJ236" s="3">
        <v>8</v>
      </c>
      <c r="AO236">
        <v>107</v>
      </c>
      <c r="AP236">
        <v>1594238.4</v>
      </c>
      <c r="AQ236">
        <v>457601.6</v>
      </c>
    </row>
    <row r="237" spans="1:43" x14ac:dyDescent="0.25">
      <c r="A237" s="3">
        <v>70</v>
      </c>
      <c r="B237" s="3">
        <v>2</v>
      </c>
      <c r="C237" s="3">
        <v>2</v>
      </c>
      <c r="H237">
        <v>0</v>
      </c>
      <c r="I237">
        <v>2.3737243901842699E-4</v>
      </c>
      <c r="J237">
        <v>3.1450398005473251E-4</v>
      </c>
      <c r="L237" s="3">
        <v>70</v>
      </c>
      <c r="M237" s="3">
        <v>2</v>
      </c>
      <c r="N237" s="3">
        <v>2</v>
      </c>
      <c r="S237">
        <v>0</v>
      </c>
      <c r="T237">
        <v>1</v>
      </c>
      <c r="U237">
        <v>0.2000000000043656</v>
      </c>
      <c r="W237" s="3">
        <v>70</v>
      </c>
      <c r="X237" s="3">
        <v>2</v>
      </c>
      <c r="Y237" s="3">
        <v>2</v>
      </c>
      <c r="Z237">
        <v>107.04</v>
      </c>
      <c r="AA237">
        <v>1.554E-2</v>
      </c>
      <c r="AB237">
        <v>0.1</v>
      </c>
      <c r="AC237">
        <v>0</v>
      </c>
      <c r="AD237">
        <v>85.6</v>
      </c>
      <c r="AE237">
        <v>421279.9</v>
      </c>
      <c r="AF237">
        <v>63592.4</v>
      </c>
      <c r="AH237" s="3">
        <v>100</v>
      </c>
      <c r="AI237" s="3">
        <v>3</v>
      </c>
      <c r="AJ237" s="3">
        <v>9</v>
      </c>
      <c r="AO237">
        <v>130.1</v>
      </c>
      <c r="AP237">
        <v>3469494.3</v>
      </c>
      <c r="AQ237">
        <v>522240.1</v>
      </c>
    </row>
    <row r="238" spans="1:43" x14ac:dyDescent="0.25">
      <c r="A238" s="3">
        <v>70</v>
      </c>
      <c r="B238" s="3">
        <v>3</v>
      </c>
      <c r="C238" s="3">
        <v>1</v>
      </c>
      <c r="D238">
        <v>1.9267822736031559E-2</v>
      </c>
      <c r="E238">
        <v>6.4102564102572618E-2</v>
      </c>
      <c r="H238">
        <v>0</v>
      </c>
      <c r="I238">
        <v>1.220285737227086E-4</v>
      </c>
      <c r="J238">
        <v>0</v>
      </c>
      <c r="L238" s="3">
        <v>70</v>
      </c>
      <c r="M238" s="3">
        <v>3</v>
      </c>
      <c r="N238" s="3">
        <v>1</v>
      </c>
      <c r="O238">
        <v>-3.000000000000114E-2</v>
      </c>
      <c r="P238">
        <v>1.0000000000001331E-5</v>
      </c>
      <c r="S238">
        <v>0</v>
      </c>
      <c r="T238">
        <v>0.5</v>
      </c>
      <c r="U238">
        <v>0</v>
      </c>
      <c r="W238" s="3">
        <v>70</v>
      </c>
      <c r="X238" s="3">
        <v>3</v>
      </c>
      <c r="Y238" s="3">
        <v>1</v>
      </c>
      <c r="Z238">
        <v>155.66999999999999</v>
      </c>
      <c r="AA238">
        <v>1.5610000000000001E-2</v>
      </c>
      <c r="AB238">
        <v>0</v>
      </c>
      <c r="AC238">
        <v>0</v>
      </c>
      <c r="AD238">
        <v>87.3</v>
      </c>
      <c r="AE238">
        <v>409740.6</v>
      </c>
      <c r="AF238">
        <v>67473.5</v>
      </c>
      <c r="AH238" s="3">
        <v>100</v>
      </c>
      <c r="AI238" s="3">
        <v>3</v>
      </c>
      <c r="AJ238" s="3">
        <v>10</v>
      </c>
      <c r="AO238">
        <v>141.9</v>
      </c>
      <c r="AP238">
        <v>4261345.5</v>
      </c>
      <c r="AQ238">
        <v>679736.4</v>
      </c>
    </row>
    <row r="239" spans="1:43" x14ac:dyDescent="0.25">
      <c r="A239" s="3">
        <v>70</v>
      </c>
      <c r="B239" s="3">
        <v>3</v>
      </c>
      <c r="C239" s="3">
        <v>2</v>
      </c>
      <c r="H239">
        <v>0</v>
      </c>
      <c r="I239">
        <v>1.023795219274126E-4</v>
      </c>
      <c r="J239">
        <v>9.6571051674030947E-5</v>
      </c>
      <c r="L239" s="3">
        <v>70</v>
      </c>
      <c r="M239" s="3">
        <v>3</v>
      </c>
      <c r="N239" s="3">
        <v>2</v>
      </c>
      <c r="S239">
        <v>0</v>
      </c>
      <c r="T239">
        <v>0.60000000009313226</v>
      </c>
      <c r="U239">
        <v>0.10000000000582079</v>
      </c>
      <c r="W239" s="3">
        <v>70</v>
      </c>
      <c r="X239" s="3">
        <v>3</v>
      </c>
      <c r="Y239" s="3">
        <v>2</v>
      </c>
      <c r="Z239">
        <v>184.44</v>
      </c>
      <c r="AA239">
        <v>1.5650000000000001E-2</v>
      </c>
      <c r="AB239">
        <v>0</v>
      </c>
      <c r="AC239">
        <v>0</v>
      </c>
      <c r="AD239">
        <v>88.6</v>
      </c>
      <c r="AE239">
        <v>586055.30000000005</v>
      </c>
      <c r="AF239">
        <v>103550.8</v>
      </c>
      <c r="AH239" s="3">
        <v>100</v>
      </c>
      <c r="AI239" s="3">
        <v>3</v>
      </c>
      <c r="AJ239" s="3">
        <v>11</v>
      </c>
      <c r="AO239">
        <v>280.3</v>
      </c>
      <c r="AP239">
        <v>3214287</v>
      </c>
      <c r="AQ239">
        <v>12640511</v>
      </c>
    </row>
    <row r="240" spans="1:43" x14ac:dyDescent="0.25">
      <c r="A240" s="3">
        <v>70</v>
      </c>
      <c r="B240" s="3">
        <v>3</v>
      </c>
      <c r="C240" s="3">
        <v>3</v>
      </c>
      <c r="H240">
        <v>0</v>
      </c>
      <c r="I240">
        <v>1.1686831862501609E-4</v>
      </c>
      <c r="J240">
        <v>0</v>
      </c>
      <c r="L240" s="3">
        <v>70</v>
      </c>
      <c r="M240" s="3">
        <v>3</v>
      </c>
      <c r="N240" s="3">
        <v>3</v>
      </c>
      <c r="S240">
        <v>0</v>
      </c>
      <c r="T240">
        <v>0.90000000002328306</v>
      </c>
      <c r="U240">
        <v>0</v>
      </c>
      <c r="W240" s="3">
        <v>70</v>
      </c>
      <c r="X240" s="3">
        <v>3</v>
      </c>
      <c r="Y240" s="3">
        <v>3</v>
      </c>
      <c r="Z240">
        <v>214.14</v>
      </c>
      <c r="AA240">
        <v>1.5689999999999999E-2</v>
      </c>
      <c r="AB240">
        <v>0</v>
      </c>
      <c r="AC240">
        <v>0</v>
      </c>
      <c r="AD240">
        <v>90.2</v>
      </c>
      <c r="AE240">
        <v>770098.4</v>
      </c>
      <c r="AF240">
        <v>146664.9</v>
      </c>
      <c r="AH240" s="3">
        <v>100</v>
      </c>
      <c r="AI240" s="3">
        <v>3</v>
      </c>
      <c r="AJ240" s="3">
        <v>12</v>
      </c>
      <c r="AO240">
        <v>86.8</v>
      </c>
      <c r="AP240">
        <v>148179.29999999999</v>
      </c>
      <c r="AQ240">
        <v>5519.1</v>
      </c>
    </row>
    <row r="241" spans="1:43" x14ac:dyDescent="0.25">
      <c r="A241" s="3">
        <v>70</v>
      </c>
      <c r="B241" s="3">
        <v>3</v>
      </c>
      <c r="C241" s="3">
        <v>4</v>
      </c>
      <c r="H241">
        <v>0</v>
      </c>
      <c r="I241">
        <v>1.1667012435477519E-4</v>
      </c>
      <c r="J241">
        <v>5.1701416038046528E-5</v>
      </c>
      <c r="L241" s="3">
        <v>70</v>
      </c>
      <c r="M241" s="3">
        <v>3</v>
      </c>
      <c r="N241" s="3">
        <v>4</v>
      </c>
      <c r="S241">
        <v>0</v>
      </c>
      <c r="T241">
        <v>1.100000000093132</v>
      </c>
      <c r="U241">
        <v>-9.9999999976716936E-2</v>
      </c>
      <c r="W241" s="3">
        <v>70</v>
      </c>
      <c r="X241" s="3">
        <v>3</v>
      </c>
      <c r="Y241" s="3">
        <v>4</v>
      </c>
      <c r="Z241">
        <v>242.34</v>
      </c>
      <c r="AA241">
        <v>1.5730000000000001E-2</v>
      </c>
      <c r="AB241">
        <v>0</v>
      </c>
      <c r="AC241">
        <v>0</v>
      </c>
      <c r="AD241">
        <v>92.1</v>
      </c>
      <c r="AE241">
        <v>942830.3</v>
      </c>
      <c r="AF241">
        <v>193418.2</v>
      </c>
      <c r="AH241" s="3">
        <v>100</v>
      </c>
      <c r="AI241" s="3">
        <v>3</v>
      </c>
      <c r="AJ241" s="3">
        <v>13</v>
      </c>
      <c r="AO241">
        <v>86.4</v>
      </c>
      <c r="AP241">
        <v>118108</v>
      </c>
      <c r="AQ241">
        <v>3742.3</v>
      </c>
    </row>
    <row r="242" spans="1:43" x14ac:dyDescent="0.25">
      <c r="A242" s="3">
        <v>70</v>
      </c>
      <c r="B242" s="3">
        <v>3</v>
      </c>
      <c r="C242" s="3">
        <v>5</v>
      </c>
      <c r="H242">
        <v>0</v>
      </c>
      <c r="I242">
        <v>1.3593063550290709E-4</v>
      </c>
      <c r="J242">
        <v>4.132479012412759E-5</v>
      </c>
      <c r="L242" s="3">
        <v>70</v>
      </c>
      <c r="M242" s="3">
        <v>3</v>
      </c>
      <c r="N242" s="3">
        <v>5</v>
      </c>
      <c r="S242">
        <v>0</v>
      </c>
      <c r="T242">
        <v>1.5</v>
      </c>
      <c r="U242">
        <v>0.10000000000582079</v>
      </c>
      <c r="W242" s="3">
        <v>70</v>
      </c>
      <c r="X242" s="3">
        <v>3</v>
      </c>
      <c r="Y242" s="3">
        <v>5</v>
      </c>
      <c r="Z242">
        <v>268.49</v>
      </c>
      <c r="AA242">
        <v>1.575E-2</v>
      </c>
      <c r="AB242">
        <v>0</v>
      </c>
      <c r="AC242">
        <v>0</v>
      </c>
      <c r="AD242">
        <v>94.2</v>
      </c>
      <c r="AE242">
        <v>1103505.5</v>
      </c>
      <c r="AF242">
        <v>241985.6</v>
      </c>
      <c r="AH242" s="3">
        <v>100</v>
      </c>
      <c r="AI242" s="3">
        <v>3</v>
      </c>
      <c r="AJ242" s="3">
        <v>14</v>
      </c>
      <c r="AO242">
        <v>85.9</v>
      </c>
      <c r="AP242">
        <v>73142.100000000006</v>
      </c>
      <c r="AQ242">
        <v>1849.4</v>
      </c>
    </row>
    <row r="243" spans="1:43" x14ac:dyDescent="0.25">
      <c r="A243" s="3">
        <v>70</v>
      </c>
      <c r="B243" s="3">
        <v>3</v>
      </c>
      <c r="C243" s="3">
        <v>6</v>
      </c>
      <c r="H243">
        <v>0</v>
      </c>
      <c r="I243">
        <v>1.2716140613915661E-4</v>
      </c>
      <c r="J243">
        <v>3.4065247906409343E-5</v>
      </c>
      <c r="L243" s="3">
        <v>70</v>
      </c>
      <c r="M243" s="3">
        <v>3</v>
      </c>
      <c r="N243" s="3">
        <v>6</v>
      </c>
      <c r="S243">
        <v>0</v>
      </c>
      <c r="T243">
        <v>1.600000000093132</v>
      </c>
      <c r="U243">
        <v>0.1000000000349246</v>
      </c>
      <c r="W243" s="3">
        <v>70</v>
      </c>
      <c r="X243" s="3">
        <v>3</v>
      </c>
      <c r="Y243" s="3">
        <v>6</v>
      </c>
      <c r="Z243">
        <v>293.62</v>
      </c>
      <c r="AA243">
        <v>1.5769999999999999E-2</v>
      </c>
      <c r="AB243">
        <v>0</v>
      </c>
      <c r="AC243">
        <v>0</v>
      </c>
      <c r="AD243">
        <v>96.6</v>
      </c>
      <c r="AE243">
        <v>1258245</v>
      </c>
      <c r="AF243">
        <v>293554.40000000002</v>
      </c>
      <c r="AH243" s="3">
        <v>100</v>
      </c>
      <c r="AI243" s="3">
        <v>4</v>
      </c>
      <c r="AJ243" s="3">
        <v>1</v>
      </c>
      <c r="AK243">
        <v>85</v>
      </c>
      <c r="AL243">
        <v>1.55E-2</v>
      </c>
      <c r="AO243">
        <v>85</v>
      </c>
      <c r="AP243">
        <v>0</v>
      </c>
      <c r="AQ243">
        <v>0</v>
      </c>
    </row>
    <row r="244" spans="1:43" x14ac:dyDescent="0.25">
      <c r="A244" s="3">
        <v>70</v>
      </c>
      <c r="B244" s="3">
        <v>3</v>
      </c>
      <c r="C244" s="3">
        <v>7</v>
      </c>
      <c r="H244">
        <v>0</v>
      </c>
      <c r="I244">
        <v>1.132324503037377E-4</v>
      </c>
      <c r="J244">
        <v>0</v>
      </c>
      <c r="L244" s="3">
        <v>70</v>
      </c>
      <c r="M244" s="3">
        <v>3</v>
      </c>
      <c r="N244" s="3">
        <v>7</v>
      </c>
      <c r="S244">
        <v>0</v>
      </c>
      <c r="T244">
        <v>1.600000000093132</v>
      </c>
      <c r="U244">
        <v>0</v>
      </c>
      <c r="W244" s="3">
        <v>70</v>
      </c>
      <c r="X244" s="3">
        <v>3</v>
      </c>
      <c r="Y244" s="3">
        <v>7</v>
      </c>
      <c r="Z244">
        <v>319.08</v>
      </c>
      <c r="AA244">
        <v>1.5779999999999999E-2</v>
      </c>
      <c r="AB244">
        <v>0</v>
      </c>
      <c r="AC244">
        <v>0</v>
      </c>
      <c r="AD244">
        <v>99.2</v>
      </c>
      <c r="AE244">
        <v>1413024.1</v>
      </c>
      <c r="AF244">
        <v>351119.4</v>
      </c>
      <c r="AH244" s="3">
        <v>100</v>
      </c>
      <c r="AI244" s="3">
        <v>4</v>
      </c>
      <c r="AJ244" s="3">
        <v>2</v>
      </c>
      <c r="AO244">
        <v>85</v>
      </c>
      <c r="AP244">
        <v>0</v>
      </c>
      <c r="AQ244">
        <v>0</v>
      </c>
    </row>
    <row r="245" spans="1:43" x14ac:dyDescent="0.25">
      <c r="A245" s="3">
        <v>70</v>
      </c>
      <c r="B245" s="3">
        <v>3</v>
      </c>
      <c r="C245" s="3">
        <v>8</v>
      </c>
      <c r="H245">
        <v>0</v>
      </c>
      <c r="I245">
        <v>1.078471420255783E-4</v>
      </c>
      <c r="J245">
        <v>2.3924675545923282E-5</v>
      </c>
      <c r="L245" s="3">
        <v>70</v>
      </c>
      <c r="M245" s="3">
        <v>3</v>
      </c>
      <c r="N245" s="3">
        <v>8</v>
      </c>
      <c r="S245">
        <v>0</v>
      </c>
      <c r="T245">
        <v>1.6999999999534341</v>
      </c>
      <c r="U245">
        <v>-9.9999999976716936E-2</v>
      </c>
      <c r="W245" s="3">
        <v>70</v>
      </c>
      <c r="X245" s="3">
        <v>3</v>
      </c>
      <c r="Y245" s="3">
        <v>8</v>
      </c>
      <c r="Z245">
        <v>345.85</v>
      </c>
      <c r="AA245">
        <v>1.5789999999999998E-2</v>
      </c>
      <c r="AB245">
        <v>0</v>
      </c>
      <c r="AC245">
        <v>0</v>
      </c>
      <c r="AD245">
        <v>102.1</v>
      </c>
      <c r="AE245">
        <v>1576306.8</v>
      </c>
      <c r="AF245">
        <v>417978.4</v>
      </c>
      <c r="AH245" s="3">
        <v>100</v>
      </c>
      <c r="AI245" s="3">
        <v>5</v>
      </c>
      <c r="AJ245" s="3">
        <v>1</v>
      </c>
      <c r="AK245">
        <v>91.1</v>
      </c>
      <c r="AL245">
        <v>1.55E-2</v>
      </c>
    </row>
    <row r="246" spans="1:43" x14ac:dyDescent="0.25">
      <c r="A246" s="3">
        <v>70</v>
      </c>
      <c r="B246" s="3">
        <v>3</v>
      </c>
      <c r="C246" s="3">
        <v>9</v>
      </c>
      <c r="H246">
        <v>0</v>
      </c>
      <c r="I246">
        <v>9.1829267129164713E-5</v>
      </c>
      <c r="J246">
        <v>6.2212603702513876E-5</v>
      </c>
      <c r="L246" s="3">
        <v>70</v>
      </c>
      <c r="M246" s="3">
        <v>3</v>
      </c>
      <c r="N246" s="3">
        <v>9</v>
      </c>
      <c r="S246">
        <v>0</v>
      </c>
      <c r="T246">
        <v>3.200000000186265</v>
      </c>
      <c r="U246">
        <v>-0.30000000004656607</v>
      </c>
      <c r="W246" s="3">
        <v>70</v>
      </c>
      <c r="X246" s="3">
        <v>3</v>
      </c>
      <c r="Y246" s="3">
        <v>9</v>
      </c>
      <c r="Z246">
        <v>374.61</v>
      </c>
      <c r="AA246">
        <v>1.5800000000000002E-2</v>
      </c>
      <c r="AB246">
        <v>75.5</v>
      </c>
      <c r="AC246">
        <v>4.5</v>
      </c>
      <c r="AD246">
        <v>121.4</v>
      </c>
      <c r="AE246">
        <v>3484731</v>
      </c>
      <c r="AF246">
        <v>482217.1</v>
      </c>
      <c r="AH246" s="3">
        <v>120</v>
      </c>
      <c r="AI246" s="3">
        <v>1</v>
      </c>
      <c r="AJ246" s="3">
        <v>1</v>
      </c>
      <c r="AK246">
        <v>85</v>
      </c>
      <c r="AL246">
        <v>1.55E-2</v>
      </c>
    </row>
    <row r="247" spans="1:43" x14ac:dyDescent="0.25">
      <c r="A247" s="3">
        <v>70</v>
      </c>
      <c r="B247" s="3">
        <v>3</v>
      </c>
      <c r="C247" s="3">
        <v>10</v>
      </c>
      <c r="H247">
        <v>0</v>
      </c>
      <c r="I247">
        <v>5.8246084581702242E-5</v>
      </c>
      <c r="J247">
        <v>7.9901139917602752E-5</v>
      </c>
      <c r="L247" s="3">
        <v>70</v>
      </c>
      <c r="M247" s="3">
        <v>3</v>
      </c>
      <c r="N247" s="3">
        <v>10</v>
      </c>
      <c r="S247">
        <v>0</v>
      </c>
      <c r="T247">
        <v>2.5</v>
      </c>
      <c r="U247">
        <v>-0.5</v>
      </c>
      <c r="W247" s="3">
        <v>70</v>
      </c>
      <c r="X247" s="3">
        <v>3</v>
      </c>
      <c r="Y247" s="3">
        <v>10</v>
      </c>
      <c r="Z247">
        <v>421.48</v>
      </c>
      <c r="AA247">
        <v>1.576E-2</v>
      </c>
      <c r="AB247">
        <v>84.4</v>
      </c>
      <c r="AC247">
        <v>5.0999999999999996</v>
      </c>
      <c r="AD247">
        <v>131.4</v>
      </c>
      <c r="AE247">
        <v>4292136.5</v>
      </c>
      <c r="AF247">
        <v>625772.80000000005</v>
      </c>
      <c r="AH247" s="3">
        <v>120</v>
      </c>
      <c r="AI247" s="3">
        <v>2</v>
      </c>
      <c r="AJ247" s="3">
        <v>1</v>
      </c>
      <c r="AK247">
        <v>128.1</v>
      </c>
      <c r="AL247">
        <v>1.5599999999999999E-2</v>
      </c>
      <c r="AO247">
        <v>86.7</v>
      </c>
      <c r="AP247">
        <v>792401.1</v>
      </c>
      <c r="AQ247">
        <v>135418.5</v>
      </c>
    </row>
    <row r="248" spans="1:43" x14ac:dyDescent="0.25">
      <c r="A248" s="3">
        <v>70</v>
      </c>
      <c r="B248" s="3">
        <v>3</v>
      </c>
      <c r="C248" s="3">
        <v>11</v>
      </c>
      <c r="H248">
        <v>0</v>
      </c>
      <c r="I248">
        <v>2.0224051875105169E-5</v>
      </c>
      <c r="J248">
        <v>7.921360534862938E-6</v>
      </c>
      <c r="L248" s="3">
        <v>70</v>
      </c>
      <c r="M248" s="3">
        <v>3</v>
      </c>
      <c r="N248" s="3">
        <v>11</v>
      </c>
      <c r="S248">
        <v>0</v>
      </c>
      <c r="T248">
        <v>0.70000000018626451</v>
      </c>
      <c r="U248">
        <v>-1</v>
      </c>
      <c r="W248" s="3">
        <v>70</v>
      </c>
      <c r="X248" s="3">
        <v>3</v>
      </c>
      <c r="Y248" s="3">
        <v>11</v>
      </c>
      <c r="Z248">
        <v>479.27</v>
      </c>
      <c r="AA248">
        <v>1.5709999999999998E-2</v>
      </c>
      <c r="AB248">
        <v>13417.8</v>
      </c>
      <c r="AC248">
        <v>5.0999999999999996</v>
      </c>
      <c r="AD248">
        <v>250.2</v>
      </c>
      <c r="AE248">
        <v>3461226</v>
      </c>
      <c r="AF248">
        <v>12624093</v>
      </c>
      <c r="AH248" s="3">
        <v>120</v>
      </c>
      <c r="AI248" s="3">
        <v>2</v>
      </c>
      <c r="AJ248" s="3">
        <v>2</v>
      </c>
      <c r="AO248">
        <v>88.9</v>
      </c>
      <c r="AP248">
        <v>1582627.8</v>
      </c>
      <c r="AQ248">
        <v>302842.8</v>
      </c>
    </row>
    <row r="249" spans="1:43" x14ac:dyDescent="0.25">
      <c r="A249" s="3">
        <v>70</v>
      </c>
      <c r="B249" s="3">
        <v>3</v>
      </c>
      <c r="C249" s="3">
        <v>12</v>
      </c>
      <c r="H249">
        <v>0</v>
      </c>
      <c r="I249">
        <v>0</v>
      </c>
      <c r="J249">
        <v>1.619328302611237E-3</v>
      </c>
      <c r="L249" s="3">
        <v>70</v>
      </c>
      <c r="M249" s="3">
        <v>3</v>
      </c>
      <c r="N249" s="3">
        <v>12</v>
      </c>
      <c r="S249">
        <v>0</v>
      </c>
      <c r="T249">
        <v>0</v>
      </c>
      <c r="U249">
        <v>-9.9999999999454303E-2</v>
      </c>
      <c r="W249" s="3">
        <v>70</v>
      </c>
      <c r="X249" s="3">
        <v>3</v>
      </c>
      <c r="Y249" s="3">
        <v>12</v>
      </c>
      <c r="Z249">
        <v>93.56</v>
      </c>
      <c r="AA249">
        <v>1.566E-2</v>
      </c>
      <c r="AB249">
        <v>84.4</v>
      </c>
      <c r="AC249">
        <v>5.0999999999999996</v>
      </c>
      <c r="AD249">
        <v>86.5</v>
      </c>
      <c r="AE249">
        <v>147523.1</v>
      </c>
      <c r="AF249">
        <v>6175.3</v>
      </c>
      <c r="AH249" s="3">
        <v>120</v>
      </c>
      <c r="AI249" s="3">
        <v>3</v>
      </c>
      <c r="AJ249" s="3">
        <v>1</v>
      </c>
      <c r="AK249">
        <v>224.8</v>
      </c>
      <c r="AL249">
        <v>1.5800000000000002E-2</v>
      </c>
      <c r="AO249">
        <v>93</v>
      </c>
      <c r="AP249">
        <v>784933.8</v>
      </c>
      <c r="AQ249">
        <v>164049.5</v>
      </c>
    </row>
    <row r="250" spans="1:43" x14ac:dyDescent="0.25">
      <c r="A250" s="3">
        <v>70</v>
      </c>
      <c r="B250" s="3">
        <v>3</v>
      </c>
      <c r="C250" s="3">
        <v>13</v>
      </c>
      <c r="H250">
        <v>0</v>
      </c>
      <c r="I250">
        <v>1.7004734968204511E-4</v>
      </c>
      <c r="J250">
        <v>2.3607176581766712E-3</v>
      </c>
      <c r="L250" s="3">
        <v>70</v>
      </c>
      <c r="M250" s="3">
        <v>3</v>
      </c>
      <c r="N250" s="3">
        <v>13</v>
      </c>
      <c r="S250">
        <v>0</v>
      </c>
      <c r="T250">
        <v>-0.19999999999708959</v>
      </c>
      <c r="U250">
        <v>0.1000000000003638</v>
      </c>
      <c r="W250" s="3">
        <v>70</v>
      </c>
      <c r="X250" s="3">
        <v>3</v>
      </c>
      <c r="Y250" s="3">
        <v>13</v>
      </c>
      <c r="Z250">
        <v>91.07</v>
      </c>
      <c r="AA250">
        <v>1.5610000000000001E-2</v>
      </c>
      <c r="AB250">
        <v>84.4</v>
      </c>
      <c r="AC250">
        <v>5.0999999999999996</v>
      </c>
      <c r="AD250">
        <v>86.2</v>
      </c>
      <c r="AE250">
        <v>117614.1</v>
      </c>
      <c r="AF250">
        <v>4236.1000000000004</v>
      </c>
      <c r="AH250" s="3">
        <v>120</v>
      </c>
      <c r="AI250" s="3">
        <v>3</v>
      </c>
      <c r="AJ250" s="3">
        <v>2</v>
      </c>
      <c r="AO250">
        <v>94.7</v>
      </c>
      <c r="AP250">
        <v>877714.6</v>
      </c>
      <c r="AQ250">
        <v>191720</v>
      </c>
    </row>
    <row r="251" spans="1:43" x14ac:dyDescent="0.25">
      <c r="A251" s="3">
        <v>70</v>
      </c>
      <c r="B251" s="3">
        <v>3</v>
      </c>
      <c r="C251" s="3">
        <v>14</v>
      </c>
      <c r="H251">
        <v>0</v>
      </c>
      <c r="I251">
        <v>0</v>
      </c>
      <c r="J251">
        <v>0</v>
      </c>
      <c r="L251" s="3">
        <v>70</v>
      </c>
      <c r="M251" s="3">
        <v>3</v>
      </c>
      <c r="N251" s="3">
        <v>14</v>
      </c>
      <c r="S251">
        <v>0</v>
      </c>
      <c r="T251">
        <v>0</v>
      </c>
      <c r="U251">
        <v>0</v>
      </c>
      <c r="W251" s="3">
        <v>70</v>
      </c>
      <c r="X251" s="3">
        <v>3</v>
      </c>
      <c r="Y251" s="3">
        <v>14</v>
      </c>
      <c r="Z251">
        <v>88.21</v>
      </c>
      <c r="AA251">
        <v>1.5559999999999999E-2</v>
      </c>
      <c r="AB251">
        <v>83.2</v>
      </c>
      <c r="AC251">
        <v>5</v>
      </c>
      <c r="AD251">
        <v>85.7</v>
      </c>
      <c r="AE251">
        <v>72859</v>
      </c>
      <c r="AF251">
        <v>2132.5</v>
      </c>
      <c r="AH251" s="3">
        <v>120</v>
      </c>
      <c r="AI251" s="3">
        <v>3</v>
      </c>
      <c r="AJ251" s="3">
        <v>3</v>
      </c>
      <c r="AO251">
        <v>96.5</v>
      </c>
      <c r="AP251">
        <v>973960</v>
      </c>
      <c r="AQ251">
        <v>222448.6</v>
      </c>
    </row>
    <row r="252" spans="1:43" x14ac:dyDescent="0.25">
      <c r="A252" s="3">
        <v>70</v>
      </c>
      <c r="B252" s="3">
        <v>4</v>
      </c>
      <c r="C252" s="3">
        <v>1</v>
      </c>
      <c r="D252">
        <v>0</v>
      </c>
      <c r="E252">
        <v>6.451612903225544E-2</v>
      </c>
      <c r="H252">
        <v>0</v>
      </c>
      <c r="L252" s="3">
        <v>70</v>
      </c>
      <c r="M252" s="3">
        <v>4</v>
      </c>
      <c r="N252" s="3">
        <v>1</v>
      </c>
      <c r="O252">
        <v>0</v>
      </c>
      <c r="P252">
        <v>9.9999999999995925E-6</v>
      </c>
      <c r="S252">
        <v>0</v>
      </c>
      <c r="T252">
        <v>0</v>
      </c>
      <c r="U252">
        <v>0</v>
      </c>
      <c r="W252" s="3">
        <v>70</v>
      </c>
      <c r="X252" s="3">
        <v>4</v>
      </c>
      <c r="Y252" s="3">
        <v>1</v>
      </c>
      <c r="Z252">
        <v>85</v>
      </c>
      <c r="AA252">
        <v>1.5509999999999999E-2</v>
      </c>
      <c r="AB252">
        <v>0.1</v>
      </c>
      <c r="AC252">
        <v>0</v>
      </c>
      <c r="AD252">
        <v>85</v>
      </c>
      <c r="AE252">
        <v>0</v>
      </c>
      <c r="AF252">
        <v>0</v>
      </c>
      <c r="AH252" s="3">
        <v>120</v>
      </c>
      <c r="AI252" s="3">
        <v>3</v>
      </c>
      <c r="AJ252" s="3">
        <v>4</v>
      </c>
      <c r="AO252">
        <v>98.6</v>
      </c>
      <c r="AP252">
        <v>1076862.1000000001</v>
      </c>
      <c r="AQ252">
        <v>257594.2</v>
      </c>
    </row>
    <row r="253" spans="1:43" x14ac:dyDescent="0.25">
      <c r="A253" s="3">
        <v>70</v>
      </c>
      <c r="B253" s="3">
        <v>4</v>
      </c>
      <c r="C253" s="3">
        <v>2</v>
      </c>
      <c r="H253">
        <v>0</v>
      </c>
      <c r="L253" s="3">
        <v>70</v>
      </c>
      <c r="M253" s="3">
        <v>4</v>
      </c>
      <c r="N253" s="3">
        <v>2</v>
      </c>
      <c r="S253">
        <v>0</v>
      </c>
      <c r="T253">
        <v>0</v>
      </c>
      <c r="U253">
        <v>0</v>
      </c>
      <c r="W253" s="3">
        <v>70</v>
      </c>
      <c r="X253" s="3">
        <v>4</v>
      </c>
      <c r="Y253" s="3">
        <v>2</v>
      </c>
      <c r="Z253">
        <v>85</v>
      </c>
      <c r="AA253">
        <v>1.5509999999999999E-2</v>
      </c>
      <c r="AB253">
        <v>0.1</v>
      </c>
      <c r="AC253">
        <v>0</v>
      </c>
      <c r="AD253">
        <v>85</v>
      </c>
      <c r="AE253">
        <v>0</v>
      </c>
      <c r="AF253">
        <v>0</v>
      </c>
      <c r="AH253" s="3">
        <v>120</v>
      </c>
      <c r="AI253" s="3">
        <v>3</v>
      </c>
      <c r="AJ253" s="3">
        <v>5</v>
      </c>
      <c r="AO253">
        <v>100.9</v>
      </c>
      <c r="AP253">
        <v>1189256.3</v>
      </c>
      <c r="AQ253">
        <v>298701.7</v>
      </c>
    </row>
    <row r="254" spans="1:43" x14ac:dyDescent="0.25">
      <c r="A254" s="3">
        <v>70</v>
      </c>
      <c r="B254" s="3">
        <v>5</v>
      </c>
      <c r="C254" s="3">
        <v>1</v>
      </c>
      <c r="D254">
        <v>1.1587485515632569E-2</v>
      </c>
      <c r="E254">
        <v>6.451612903225544E-2</v>
      </c>
      <c r="L254" s="3">
        <v>70</v>
      </c>
      <c r="M254" s="3">
        <v>5</v>
      </c>
      <c r="N254" s="3">
        <v>1</v>
      </c>
      <c r="O254">
        <v>-9.9999999999909051E-3</v>
      </c>
      <c r="P254">
        <v>9.9999999999995925E-6</v>
      </c>
      <c r="W254" s="3">
        <v>70</v>
      </c>
      <c r="X254" s="3">
        <v>5</v>
      </c>
      <c r="Y254" s="3">
        <v>1</v>
      </c>
      <c r="Z254">
        <v>86.29</v>
      </c>
      <c r="AA254">
        <v>1.5509999999999999E-2</v>
      </c>
      <c r="AH254" s="3">
        <v>120</v>
      </c>
      <c r="AI254" s="3">
        <v>3</v>
      </c>
      <c r="AJ254" s="3">
        <v>6</v>
      </c>
      <c r="AO254">
        <v>103.4</v>
      </c>
      <c r="AP254">
        <v>1310881</v>
      </c>
      <c r="AQ254">
        <v>347618.6</v>
      </c>
    </row>
    <row r="255" spans="1:43" x14ac:dyDescent="0.25">
      <c r="A255" s="3">
        <v>70</v>
      </c>
      <c r="B255" s="3">
        <v>5</v>
      </c>
      <c r="C255" s="3">
        <v>2</v>
      </c>
      <c r="L255" s="3">
        <v>70</v>
      </c>
      <c r="M255" s="3">
        <v>5</v>
      </c>
      <c r="N255" s="3">
        <v>2</v>
      </c>
      <c r="W255" s="3">
        <v>70</v>
      </c>
      <c r="X255" s="3">
        <v>5</v>
      </c>
      <c r="Y255" s="3">
        <v>2</v>
      </c>
      <c r="Z255">
        <v>86.06</v>
      </c>
      <c r="AA255">
        <v>1.5509999999999999E-2</v>
      </c>
      <c r="AH255" s="3">
        <v>120</v>
      </c>
      <c r="AI255" s="3">
        <v>3</v>
      </c>
      <c r="AJ255" s="3">
        <v>7</v>
      </c>
      <c r="AO255">
        <v>106.4</v>
      </c>
      <c r="AP255">
        <v>1446092.3</v>
      </c>
      <c r="AQ255">
        <v>406537.7</v>
      </c>
    </row>
    <row r="256" spans="1:43" x14ac:dyDescent="0.25">
      <c r="A256" s="3">
        <v>80</v>
      </c>
      <c r="B256" s="3">
        <v>1</v>
      </c>
      <c r="C256" s="3">
        <v>1</v>
      </c>
      <c r="D256">
        <v>1.1764705882358961E-2</v>
      </c>
      <c r="E256">
        <v>6.451612903225544E-2</v>
      </c>
      <c r="L256" s="3">
        <v>80</v>
      </c>
      <c r="M256" s="3">
        <v>1</v>
      </c>
      <c r="N256" s="3">
        <v>1</v>
      </c>
      <c r="O256">
        <v>1.0000000000005119E-2</v>
      </c>
      <c r="P256">
        <v>9.9999999999995925E-6</v>
      </c>
      <c r="W256" s="3">
        <v>80</v>
      </c>
      <c r="X256" s="3">
        <v>1</v>
      </c>
      <c r="Y256" s="3">
        <v>1</v>
      </c>
      <c r="Z256">
        <v>85.01</v>
      </c>
      <c r="AA256">
        <v>1.5509999999999999E-2</v>
      </c>
      <c r="AB256">
        <v>1</v>
      </c>
      <c r="AC256">
        <v>0</v>
      </c>
      <c r="AH256" s="3">
        <v>120</v>
      </c>
      <c r="AI256" s="3">
        <v>3</v>
      </c>
      <c r="AJ256" s="3">
        <v>8</v>
      </c>
      <c r="AO256">
        <v>109.8</v>
      </c>
      <c r="AP256">
        <v>1598197</v>
      </c>
      <c r="AQ256">
        <v>478341.3</v>
      </c>
    </row>
    <row r="257" spans="1:43" x14ac:dyDescent="0.25">
      <c r="A257" s="3">
        <v>80</v>
      </c>
      <c r="B257" s="3">
        <v>1</v>
      </c>
      <c r="C257" s="3">
        <v>2</v>
      </c>
      <c r="L257" s="3">
        <v>80</v>
      </c>
      <c r="M257" s="3">
        <v>1</v>
      </c>
      <c r="N257" s="3">
        <v>2</v>
      </c>
      <c r="W257" s="3">
        <v>80</v>
      </c>
      <c r="X257" s="3">
        <v>1</v>
      </c>
      <c r="Y257" s="3">
        <v>2</v>
      </c>
      <c r="Z257">
        <v>85.02</v>
      </c>
      <c r="AA257">
        <v>1.5509999999999999E-2</v>
      </c>
      <c r="AB257">
        <v>1</v>
      </c>
      <c r="AC257">
        <v>0</v>
      </c>
      <c r="AH257" s="3">
        <v>120</v>
      </c>
      <c r="AI257" s="3">
        <v>3</v>
      </c>
      <c r="AJ257" s="3">
        <v>9</v>
      </c>
      <c r="AO257">
        <v>135.1</v>
      </c>
      <c r="AP257">
        <v>3457671</v>
      </c>
      <c r="AQ257">
        <v>544901.4</v>
      </c>
    </row>
    <row r="258" spans="1:43" x14ac:dyDescent="0.25">
      <c r="A258" s="3">
        <v>80</v>
      </c>
      <c r="B258" s="3">
        <v>1</v>
      </c>
      <c r="C258" s="3">
        <v>3</v>
      </c>
      <c r="L258" s="3">
        <v>80</v>
      </c>
      <c r="M258" s="3">
        <v>1</v>
      </c>
      <c r="N258" s="3">
        <v>3</v>
      </c>
      <c r="W258" s="3">
        <v>80</v>
      </c>
      <c r="X258" s="3">
        <v>1</v>
      </c>
      <c r="Y258" s="3">
        <v>3</v>
      </c>
      <c r="Z258">
        <v>85.03</v>
      </c>
      <c r="AA258">
        <v>1.5509999999999999E-2</v>
      </c>
      <c r="AB258">
        <v>1</v>
      </c>
      <c r="AC258">
        <v>0</v>
      </c>
      <c r="AH258" s="3">
        <v>120</v>
      </c>
      <c r="AI258" s="3">
        <v>3</v>
      </c>
      <c r="AJ258" s="3">
        <v>10</v>
      </c>
      <c r="AO258">
        <v>148</v>
      </c>
      <c r="AP258">
        <v>4243061.5</v>
      </c>
      <c r="AQ258">
        <v>711179.6</v>
      </c>
    </row>
    <row r="259" spans="1:43" x14ac:dyDescent="0.25">
      <c r="A259" s="3">
        <v>80</v>
      </c>
      <c r="B259" s="3">
        <v>1</v>
      </c>
      <c r="C259" s="3">
        <v>4</v>
      </c>
      <c r="L259" s="3">
        <v>80</v>
      </c>
      <c r="M259" s="3">
        <v>1</v>
      </c>
      <c r="N259" s="3">
        <v>4</v>
      </c>
      <c r="W259" s="3">
        <v>80</v>
      </c>
      <c r="X259" s="3">
        <v>1</v>
      </c>
      <c r="Y259" s="3">
        <v>4</v>
      </c>
      <c r="Z259">
        <v>85.04</v>
      </c>
      <c r="AA259">
        <v>1.5509999999999999E-2</v>
      </c>
      <c r="AB259">
        <v>1</v>
      </c>
      <c r="AC259">
        <v>0</v>
      </c>
      <c r="AH259" s="3">
        <v>120</v>
      </c>
      <c r="AI259" s="3">
        <v>3</v>
      </c>
      <c r="AJ259" s="3">
        <v>11</v>
      </c>
      <c r="AO259">
        <v>297.5</v>
      </c>
      <c r="AP259">
        <v>3075846.5</v>
      </c>
      <c r="AQ259">
        <v>12647837</v>
      </c>
    </row>
    <row r="260" spans="1:43" x14ac:dyDescent="0.25">
      <c r="A260" s="3">
        <v>80</v>
      </c>
      <c r="B260" s="3">
        <v>1</v>
      </c>
      <c r="C260" s="3">
        <v>5</v>
      </c>
      <c r="L260" s="3">
        <v>80</v>
      </c>
      <c r="M260" s="3">
        <v>1</v>
      </c>
      <c r="N260" s="3">
        <v>5</v>
      </c>
      <c r="W260" s="3">
        <v>80</v>
      </c>
      <c r="X260" s="3">
        <v>1</v>
      </c>
      <c r="Y260" s="3">
        <v>5</v>
      </c>
      <c r="Z260">
        <v>85.05</v>
      </c>
      <c r="AA260">
        <v>1.5509999999999999E-2</v>
      </c>
      <c r="AB260">
        <v>1</v>
      </c>
      <c r="AC260">
        <v>0</v>
      </c>
      <c r="AH260" s="3">
        <v>120</v>
      </c>
      <c r="AI260" s="3">
        <v>3</v>
      </c>
      <c r="AJ260" s="3">
        <v>12</v>
      </c>
      <c r="AO260">
        <v>86.7</v>
      </c>
      <c r="AP260">
        <v>79446.2</v>
      </c>
      <c r="AQ260">
        <v>5316.5</v>
      </c>
    </row>
    <row r="261" spans="1:43" x14ac:dyDescent="0.25">
      <c r="A261" s="3">
        <v>80</v>
      </c>
      <c r="B261" s="3">
        <v>1</v>
      </c>
      <c r="C261" s="3">
        <v>6</v>
      </c>
      <c r="L261" s="3">
        <v>80</v>
      </c>
      <c r="M261" s="3">
        <v>1</v>
      </c>
      <c r="N261" s="3">
        <v>6</v>
      </c>
      <c r="W261" s="3">
        <v>80</v>
      </c>
      <c r="X261" s="3">
        <v>1</v>
      </c>
      <c r="Y261" s="3">
        <v>6</v>
      </c>
      <c r="Z261">
        <v>85.05</v>
      </c>
      <c r="AA261">
        <v>1.5509999999999999E-2</v>
      </c>
      <c r="AB261">
        <v>1</v>
      </c>
      <c r="AC261">
        <v>0</v>
      </c>
      <c r="AH261" s="3">
        <v>120</v>
      </c>
      <c r="AI261" s="3">
        <v>3</v>
      </c>
      <c r="AJ261" s="3">
        <v>13</v>
      </c>
      <c r="AO261">
        <v>86.6</v>
      </c>
      <c r="AP261">
        <v>118386.9</v>
      </c>
      <c r="AQ261">
        <v>3463.4</v>
      </c>
    </row>
    <row r="262" spans="1:43" x14ac:dyDescent="0.25">
      <c r="A262" s="3">
        <v>80</v>
      </c>
      <c r="B262" s="3">
        <v>1</v>
      </c>
      <c r="C262" s="3">
        <v>7</v>
      </c>
      <c r="L262" s="3">
        <v>80</v>
      </c>
      <c r="M262" s="3">
        <v>1</v>
      </c>
      <c r="N262" s="3">
        <v>7</v>
      </c>
      <c r="W262" s="3">
        <v>80</v>
      </c>
      <c r="X262" s="3">
        <v>1</v>
      </c>
      <c r="Y262" s="3">
        <v>7</v>
      </c>
      <c r="Z262">
        <v>85.05</v>
      </c>
      <c r="AA262">
        <v>1.5509999999999999E-2</v>
      </c>
      <c r="AB262">
        <v>1</v>
      </c>
      <c r="AC262">
        <v>0</v>
      </c>
      <c r="AH262" s="3">
        <v>120</v>
      </c>
      <c r="AI262" s="3">
        <v>3</v>
      </c>
      <c r="AJ262" s="3">
        <v>14</v>
      </c>
      <c r="AO262">
        <v>86</v>
      </c>
      <c r="AP262">
        <v>73301.8</v>
      </c>
      <c r="AQ262">
        <v>1689.7</v>
      </c>
    </row>
    <row r="263" spans="1:43" x14ac:dyDescent="0.25">
      <c r="A263" s="3">
        <v>80</v>
      </c>
      <c r="B263" s="3">
        <v>1</v>
      </c>
      <c r="C263" s="3">
        <v>8</v>
      </c>
      <c r="L263" s="3">
        <v>80</v>
      </c>
      <c r="M263" s="3">
        <v>1</v>
      </c>
      <c r="N263" s="3">
        <v>8</v>
      </c>
      <c r="W263" s="3">
        <v>80</v>
      </c>
      <c r="X263" s="3">
        <v>1</v>
      </c>
      <c r="Y263" s="3">
        <v>8</v>
      </c>
      <c r="Z263">
        <v>85.06</v>
      </c>
      <c r="AA263">
        <v>1.5509999999999999E-2</v>
      </c>
      <c r="AB263">
        <v>1</v>
      </c>
      <c r="AC263">
        <v>0</v>
      </c>
      <c r="AH263" s="3">
        <v>120</v>
      </c>
      <c r="AI263" s="3">
        <v>4</v>
      </c>
      <c r="AJ263" s="3">
        <v>1</v>
      </c>
      <c r="AK263">
        <v>85</v>
      </c>
      <c r="AL263">
        <v>1.55E-2</v>
      </c>
      <c r="AO263">
        <v>85</v>
      </c>
      <c r="AP263">
        <v>0</v>
      </c>
      <c r="AQ263">
        <v>0</v>
      </c>
    </row>
    <row r="264" spans="1:43" x14ac:dyDescent="0.25">
      <c r="A264" s="3">
        <v>80</v>
      </c>
      <c r="B264" s="3">
        <v>1</v>
      </c>
      <c r="C264" s="3">
        <v>9</v>
      </c>
      <c r="L264" s="3">
        <v>80</v>
      </c>
      <c r="M264" s="3">
        <v>1</v>
      </c>
      <c r="N264" s="3">
        <v>9</v>
      </c>
      <c r="W264" s="3">
        <v>80</v>
      </c>
      <c r="X264" s="3">
        <v>1</v>
      </c>
      <c r="Y264" s="3">
        <v>9</v>
      </c>
      <c r="Z264">
        <v>85.06</v>
      </c>
      <c r="AA264">
        <v>1.5509999999999999E-2</v>
      </c>
      <c r="AB264">
        <v>1</v>
      </c>
      <c r="AC264">
        <v>0</v>
      </c>
      <c r="AH264" s="3">
        <v>120</v>
      </c>
      <c r="AI264" s="3">
        <v>4</v>
      </c>
      <c r="AJ264" s="3">
        <v>2</v>
      </c>
      <c r="AO264">
        <v>85</v>
      </c>
      <c r="AP264">
        <v>0</v>
      </c>
      <c r="AQ264">
        <v>0</v>
      </c>
    </row>
    <row r="265" spans="1:43" x14ac:dyDescent="0.25">
      <c r="A265" s="3">
        <v>80</v>
      </c>
      <c r="B265" s="3">
        <v>1</v>
      </c>
      <c r="C265" s="3">
        <v>10</v>
      </c>
      <c r="L265" s="3">
        <v>80</v>
      </c>
      <c r="M265" s="3">
        <v>1</v>
      </c>
      <c r="N265" s="3">
        <v>10</v>
      </c>
      <c r="W265" s="3">
        <v>80</v>
      </c>
      <c r="X265" s="3">
        <v>1</v>
      </c>
      <c r="Y265" s="3">
        <v>10</v>
      </c>
      <c r="Z265">
        <v>85.06</v>
      </c>
      <c r="AA265">
        <v>1.5509999999999999E-2</v>
      </c>
      <c r="AB265">
        <v>1</v>
      </c>
      <c r="AC265">
        <v>0</v>
      </c>
      <c r="AH265" s="3">
        <v>120</v>
      </c>
      <c r="AI265" s="3">
        <v>5</v>
      </c>
      <c r="AJ265" s="3">
        <v>1</v>
      </c>
      <c r="AK265">
        <v>95.2</v>
      </c>
      <c r="AL265">
        <v>1.55E-2</v>
      </c>
    </row>
    <row r="266" spans="1:43" x14ac:dyDescent="0.25">
      <c r="A266" s="3">
        <v>80</v>
      </c>
      <c r="B266" s="3">
        <v>2</v>
      </c>
      <c r="C266" s="3">
        <v>1</v>
      </c>
      <c r="D266">
        <v>1.043841336115961E-2</v>
      </c>
      <c r="E266">
        <v>0.19354838709677749</v>
      </c>
      <c r="H266">
        <v>0</v>
      </c>
      <c r="I266">
        <v>1.9716166072923161E-4</v>
      </c>
      <c r="J266">
        <v>3.3108636057351697E-4</v>
      </c>
      <c r="L266" s="3">
        <v>80</v>
      </c>
      <c r="M266" s="3">
        <v>2</v>
      </c>
      <c r="N266" s="3">
        <v>1</v>
      </c>
      <c r="O266">
        <v>-9.9999999999909051E-3</v>
      </c>
      <c r="P266">
        <v>3.0000000000000509E-5</v>
      </c>
      <c r="S266">
        <v>0</v>
      </c>
      <c r="T266">
        <v>0.39999999999417918</v>
      </c>
      <c r="U266">
        <v>0.1000000000021828</v>
      </c>
      <c r="W266" s="3">
        <v>80</v>
      </c>
      <c r="X266" s="3">
        <v>2</v>
      </c>
      <c r="Y266" s="3">
        <v>1</v>
      </c>
      <c r="Z266">
        <v>95.79</v>
      </c>
      <c r="AA266">
        <v>1.553E-2</v>
      </c>
      <c r="AB266">
        <v>0.1</v>
      </c>
      <c r="AC266">
        <v>0</v>
      </c>
      <c r="AD266">
        <v>85.3</v>
      </c>
      <c r="AE266">
        <v>202879.6</v>
      </c>
      <c r="AF266">
        <v>30203.7</v>
      </c>
      <c r="AH266" s="3">
        <v>140</v>
      </c>
      <c r="AI266" s="3">
        <v>1</v>
      </c>
      <c r="AJ266" s="3">
        <v>1</v>
      </c>
      <c r="AK266">
        <v>85</v>
      </c>
      <c r="AL266">
        <v>1.55E-2</v>
      </c>
    </row>
    <row r="267" spans="1:43" x14ac:dyDescent="0.25">
      <c r="A267" s="3">
        <v>80</v>
      </c>
      <c r="B267" s="3">
        <v>2</v>
      </c>
      <c r="C267" s="3">
        <v>2</v>
      </c>
      <c r="H267">
        <v>0</v>
      </c>
      <c r="I267">
        <v>2.9604358482410901E-5</v>
      </c>
      <c r="J267">
        <v>9.303528548460577E-5</v>
      </c>
      <c r="L267" s="3">
        <v>80</v>
      </c>
      <c r="M267" s="3">
        <v>2</v>
      </c>
      <c r="N267" s="3">
        <v>2</v>
      </c>
      <c r="S267">
        <v>0</v>
      </c>
      <c r="T267">
        <v>0.20000000006984919</v>
      </c>
      <c r="U267">
        <v>9.9999999991268851E-2</v>
      </c>
      <c r="W267" s="3">
        <v>80</v>
      </c>
      <c r="X267" s="3">
        <v>2</v>
      </c>
      <c r="Y267" s="3">
        <v>2</v>
      </c>
      <c r="Z267">
        <v>120.45</v>
      </c>
      <c r="AA267">
        <v>1.5570000000000001E-2</v>
      </c>
      <c r="AB267">
        <v>0.1</v>
      </c>
      <c r="AC267">
        <v>0</v>
      </c>
      <c r="AD267">
        <v>86.1</v>
      </c>
      <c r="AE267">
        <v>675576.4</v>
      </c>
      <c r="AF267">
        <v>107486.2</v>
      </c>
      <c r="AH267" s="3">
        <v>140</v>
      </c>
      <c r="AI267" s="3">
        <v>2</v>
      </c>
      <c r="AJ267" s="3">
        <v>1</v>
      </c>
      <c r="AK267">
        <v>143.69999999999999</v>
      </c>
      <c r="AL267">
        <v>1.5599999999999999E-2</v>
      </c>
      <c r="AO267">
        <v>87.7</v>
      </c>
      <c r="AP267">
        <v>1061253.8999999999</v>
      </c>
      <c r="AQ267">
        <v>192861</v>
      </c>
    </row>
    <row r="268" spans="1:43" x14ac:dyDescent="0.25">
      <c r="A268" s="3">
        <v>80</v>
      </c>
      <c r="B268" s="3">
        <v>3</v>
      </c>
      <c r="C268" s="3">
        <v>1</v>
      </c>
      <c r="D268">
        <v>1.1179429849067529E-2</v>
      </c>
      <c r="E268">
        <v>0.25477707006368389</v>
      </c>
      <c r="H268">
        <v>0</v>
      </c>
      <c r="I268">
        <v>0</v>
      </c>
      <c r="J268">
        <v>0</v>
      </c>
      <c r="L268" s="3">
        <v>80</v>
      </c>
      <c r="M268" s="3">
        <v>3</v>
      </c>
      <c r="N268" s="3">
        <v>1</v>
      </c>
      <c r="O268">
        <v>1.999999999998181E-2</v>
      </c>
      <c r="P268">
        <v>-3.999999999999837E-5</v>
      </c>
      <c r="S268">
        <v>0</v>
      </c>
      <c r="T268">
        <v>0</v>
      </c>
      <c r="U268">
        <v>0</v>
      </c>
      <c r="W268" s="3">
        <v>80</v>
      </c>
      <c r="X268" s="3">
        <v>3</v>
      </c>
      <c r="Y268" s="3">
        <v>1</v>
      </c>
      <c r="Z268">
        <v>178.92</v>
      </c>
      <c r="AA268">
        <v>1.566E-2</v>
      </c>
      <c r="AB268">
        <v>0</v>
      </c>
      <c r="AC268">
        <v>0</v>
      </c>
      <c r="AD268">
        <v>88.5</v>
      </c>
      <c r="AE268">
        <v>545812.1</v>
      </c>
      <c r="AF268">
        <v>96559.5</v>
      </c>
      <c r="AH268" s="3">
        <v>140</v>
      </c>
      <c r="AI268" s="3">
        <v>2</v>
      </c>
      <c r="AJ268" s="3">
        <v>2</v>
      </c>
      <c r="AO268">
        <v>90.3</v>
      </c>
      <c r="AP268">
        <v>1816995.8</v>
      </c>
      <c r="AQ268">
        <v>368081.2</v>
      </c>
    </row>
    <row r="269" spans="1:43" x14ac:dyDescent="0.25">
      <c r="A269" s="3">
        <v>80</v>
      </c>
      <c r="B269" s="3">
        <v>3</v>
      </c>
      <c r="C269" s="3">
        <v>2</v>
      </c>
      <c r="H269">
        <v>0</v>
      </c>
      <c r="I269">
        <v>0</v>
      </c>
      <c r="J269">
        <v>7.4714348371952505E-5</v>
      </c>
      <c r="L269" s="3">
        <v>80</v>
      </c>
      <c r="M269" s="3">
        <v>3</v>
      </c>
      <c r="N269" s="3">
        <v>2</v>
      </c>
      <c r="S269">
        <v>0</v>
      </c>
      <c r="T269">
        <v>0</v>
      </c>
      <c r="U269">
        <v>0.10000000000582079</v>
      </c>
      <c r="W269" s="3">
        <v>80</v>
      </c>
      <c r="X269" s="3">
        <v>3</v>
      </c>
      <c r="Y269" s="3">
        <v>2</v>
      </c>
      <c r="Z269">
        <v>205.5</v>
      </c>
      <c r="AA269">
        <v>1.5699999999999999E-2</v>
      </c>
      <c r="AB269">
        <v>0</v>
      </c>
      <c r="AC269">
        <v>0</v>
      </c>
      <c r="AD269">
        <v>90</v>
      </c>
      <c r="AE269">
        <v>708590.4</v>
      </c>
      <c r="AF269">
        <v>133843.20000000001</v>
      </c>
      <c r="AH269" s="3">
        <v>140</v>
      </c>
      <c r="AI269" s="3">
        <v>3</v>
      </c>
      <c r="AJ269" s="3">
        <v>1</v>
      </c>
      <c r="AK269">
        <v>232.5</v>
      </c>
      <c r="AL269">
        <v>1.5800000000000002E-2</v>
      </c>
      <c r="AO269">
        <v>94.7</v>
      </c>
      <c r="AP269">
        <v>809317.9</v>
      </c>
      <c r="AQ269">
        <v>175861.7</v>
      </c>
    </row>
    <row r="270" spans="1:43" x14ac:dyDescent="0.25">
      <c r="A270" s="3">
        <v>80</v>
      </c>
      <c r="B270" s="3">
        <v>3</v>
      </c>
      <c r="C270" s="3">
        <v>3</v>
      </c>
      <c r="H270">
        <v>0</v>
      </c>
      <c r="I270">
        <v>0</v>
      </c>
      <c r="J270">
        <v>0</v>
      </c>
      <c r="L270" s="3">
        <v>80</v>
      </c>
      <c r="M270" s="3">
        <v>3</v>
      </c>
      <c r="N270" s="3">
        <v>3</v>
      </c>
      <c r="S270">
        <v>0</v>
      </c>
      <c r="T270">
        <v>0</v>
      </c>
      <c r="U270">
        <v>0</v>
      </c>
      <c r="W270" s="3">
        <v>80</v>
      </c>
      <c r="X270" s="3">
        <v>3</v>
      </c>
      <c r="Y270" s="3">
        <v>3</v>
      </c>
      <c r="Z270">
        <v>231.03</v>
      </c>
      <c r="AA270">
        <v>1.5730000000000001E-2</v>
      </c>
      <c r="AB270">
        <v>0</v>
      </c>
      <c r="AC270">
        <v>0</v>
      </c>
      <c r="AD270">
        <v>91.7</v>
      </c>
      <c r="AE270">
        <v>861561.8</v>
      </c>
      <c r="AF270">
        <v>174239.4</v>
      </c>
      <c r="AH270" s="3">
        <v>140</v>
      </c>
      <c r="AI270" s="3">
        <v>3</v>
      </c>
      <c r="AJ270" s="3">
        <v>2</v>
      </c>
      <c r="AO270">
        <v>96.4</v>
      </c>
      <c r="AP270">
        <v>893514.4</v>
      </c>
      <c r="AQ270">
        <v>202239.4</v>
      </c>
    </row>
    <row r="271" spans="1:43" x14ac:dyDescent="0.25">
      <c r="A271" s="3">
        <v>80</v>
      </c>
      <c r="B271" s="3">
        <v>3</v>
      </c>
      <c r="C271" s="3">
        <v>4</v>
      </c>
      <c r="H271">
        <v>0</v>
      </c>
      <c r="I271">
        <v>9.9471112073820429E-6</v>
      </c>
      <c r="J271">
        <v>4.6223066963688522E-5</v>
      </c>
      <c r="L271" s="3">
        <v>80</v>
      </c>
      <c r="M271" s="3">
        <v>3</v>
      </c>
      <c r="N271" s="3">
        <v>4</v>
      </c>
      <c r="S271">
        <v>0</v>
      </c>
      <c r="T271">
        <v>9.9999999976716936E-2</v>
      </c>
      <c r="U271">
        <v>9.9999999976716936E-2</v>
      </c>
      <c r="W271" s="3">
        <v>80</v>
      </c>
      <c r="X271" s="3">
        <v>3</v>
      </c>
      <c r="Y271" s="3">
        <v>4</v>
      </c>
      <c r="Z271">
        <v>254.98</v>
      </c>
      <c r="AA271">
        <v>1.575E-2</v>
      </c>
      <c r="AB271">
        <v>0</v>
      </c>
      <c r="AC271">
        <v>0</v>
      </c>
      <c r="AD271">
        <v>93.7</v>
      </c>
      <c r="AE271">
        <v>1005317.1</v>
      </c>
      <c r="AF271">
        <v>216342.3</v>
      </c>
      <c r="AH271" s="3">
        <v>140</v>
      </c>
      <c r="AI271" s="3">
        <v>3</v>
      </c>
      <c r="AJ271" s="3">
        <v>3</v>
      </c>
      <c r="AO271">
        <v>98.3</v>
      </c>
      <c r="AP271">
        <v>984613.4</v>
      </c>
      <c r="AQ271">
        <v>232619.8</v>
      </c>
    </row>
    <row r="272" spans="1:43" x14ac:dyDescent="0.25">
      <c r="A272" s="3">
        <v>80</v>
      </c>
      <c r="B272" s="3">
        <v>3</v>
      </c>
      <c r="C272" s="3">
        <v>5</v>
      </c>
      <c r="H272">
        <v>0</v>
      </c>
      <c r="I272">
        <v>5.2451972339303898E-5</v>
      </c>
      <c r="J272">
        <v>7.666595112225211E-5</v>
      </c>
      <c r="L272" s="3">
        <v>80</v>
      </c>
      <c r="M272" s="3">
        <v>3</v>
      </c>
      <c r="N272" s="3">
        <v>5</v>
      </c>
      <c r="S272">
        <v>0</v>
      </c>
      <c r="T272">
        <v>0.59999999986030161</v>
      </c>
      <c r="U272">
        <v>0.2000000000116415</v>
      </c>
      <c r="W272" s="3">
        <v>80</v>
      </c>
      <c r="X272" s="3">
        <v>3</v>
      </c>
      <c r="Y272" s="3">
        <v>5</v>
      </c>
      <c r="Z272">
        <v>278.05</v>
      </c>
      <c r="AA272">
        <v>1.5769999999999999E-2</v>
      </c>
      <c r="AB272">
        <v>0</v>
      </c>
      <c r="AC272">
        <v>0</v>
      </c>
      <c r="AD272">
        <v>95.8</v>
      </c>
      <c r="AE272">
        <v>1143904.2</v>
      </c>
      <c r="AF272">
        <v>260872.2</v>
      </c>
      <c r="AH272" s="3">
        <v>140</v>
      </c>
      <c r="AI272" s="3">
        <v>3</v>
      </c>
      <c r="AJ272" s="3">
        <v>4</v>
      </c>
      <c r="AO272">
        <v>100.5</v>
      </c>
      <c r="AP272">
        <v>1084638</v>
      </c>
      <c r="AQ272">
        <v>268195.5</v>
      </c>
    </row>
    <row r="273" spans="1:43" x14ac:dyDescent="0.25">
      <c r="A273" s="3">
        <v>80</v>
      </c>
      <c r="B273" s="3">
        <v>3</v>
      </c>
      <c r="C273" s="3">
        <v>6</v>
      </c>
      <c r="H273">
        <v>0</v>
      </c>
      <c r="I273">
        <v>1.5572429681819021E-5</v>
      </c>
      <c r="J273">
        <v>0</v>
      </c>
      <c r="L273" s="3">
        <v>80</v>
      </c>
      <c r="M273" s="3">
        <v>3</v>
      </c>
      <c r="N273" s="3">
        <v>6</v>
      </c>
      <c r="S273">
        <v>0</v>
      </c>
      <c r="T273">
        <v>-0.20000000018626449</v>
      </c>
      <c r="U273">
        <v>0</v>
      </c>
      <c r="W273" s="3">
        <v>80</v>
      </c>
      <c r="X273" s="3">
        <v>3</v>
      </c>
      <c r="Y273" s="3">
        <v>6</v>
      </c>
      <c r="Z273">
        <v>301.33</v>
      </c>
      <c r="AA273">
        <v>1.5779999999999999E-2</v>
      </c>
      <c r="AB273">
        <v>0</v>
      </c>
      <c r="AC273">
        <v>0</v>
      </c>
      <c r="AD273">
        <v>98.2</v>
      </c>
      <c r="AE273">
        <v>1284320.8999999999</v>
      </c>
      <c r="AF273">
        <v>310039.7</v>
      </c>
      <c r="AH273" s="3">
        <v>140</v>
      </c>
      <c r="AI273" s="3">
        <v>3</v>
      </c>
      <c r="AJ273" s="3">
        <v>5</v>
      </c>
      <c r="AO273">
        <v>102.9</v>
      </c>
      <c r="AP273">
        <v>1195164</v>
      </c>
      <c r="AQ273">
        <v>310396.09999999998</v>
      </c>
    </row>
    <row r="274" spans="1:43" x14ac:dyDescent="0.25">
      <c r="A274" s="3">
        <v>80</v>
      </c>
      <c r="B274" s="3">
        <v>3</v>
      </c>
      <c r="C274" s="3">
        <v>7</v>
      </c>
      <c r="H274">
        <v>0</v>
      </c>
      <c r="I274">
        <v>4.198616682413571E-5</v>
      </c>
      <c r="J274">
        <v>5.4555611811628617E-5</v>
      </c>
      <c r="L274" s="3">
        <v>80</v>
      </c>
      <c r="M274" s="3">
        <v>3</v>
      </c>
      <c r="N274" s="3">
        <v>7</v>
      </c>
      <c r="S274">
        <v>0</v>
      </c>
      <c r="T274">
        <v>-0.60000000009313226</v>
      </c>
      <c r="U274">
        <v>-0.2000000000116415</v>
      </c>
      <c r="W274" s="3">
        <v>80</v>
      </c>
      <c r="X274" s="3">
        <v>3</v>
      </c>
      <c r="Y274" s="3">
        <v>7</v>
      </c>
      <c r="Z274">
        <v>325.73</v>
      </c>
      <c r="AA274">
        <v>1.5789999999999998E-2</v>
      </c>
      <c r="AB274">
        <v>0</v>
      </c>
      <c r="AC274">
        <v>0</v>
      </c>
      <c r="AD274">
        <v>100.8</v>
      </c>
      <c r="AE274">
        <v>1429041.5</v>
      </c>
      <c r="AF274">
        <v>366598.2</v>
      </c>
      <c r="AH274" s="3">
        <v>140</v>
      </c>
      <c r="AI274" s="3">
        <v>3</v>
      </c>
      <c r="AJ274" s="3">
        <v>6</v>
      </c>
      <c r="AO274">
        <v>105.6</v>
      </c>
      <c r="AP274">
        <v>1315669.8999999999</v>
      </c>
      <c r="AQ274">
        <v>361018.3</v>
      </c>
    </row>
    <row r="275" spans="1:43" x14ac:dyDescent="0.25">
      <c r="A275" s="3">
        <v>80</v>
      </c>
      <c r="B275" s="3">
        <v>3</v>
      </c>
      <c r="C275" s="3">
        <v>8</v>
      </c>
      <c r="H275">
        <v>0</v>
      </c>
      <c r="I275">
        <v>6.3040568938613052E-5</v>
      </c>
      <c r="J275">
        <v>9.2290405610168349E-5</v>
      </c>
      <c r="L275" s="3">
        <v>80</v>
      </c>
      <c r="M275" s="3">
        <v>3</v>
      </c>
      <c r="N275" s="3">
        <v>8</v>
      </c>
      <c r="S275">
        <v>0</v>
      </c>
      <c r="T275">
        <v>-1</v>
      </c>
      <c r="U275">
        <v>-0.40000000002328312</v>
      </c>
      <c r="W275" s="3">
        <v>80</v>
      </c>
      <c r="X275" s="3">
        <v>3</v>
      </c>
      <c r="Y275" s="3">
        <v>8</v>
      </c>
      <c r="Z275">
        <v>351.92</v>
      </c>
      <c r="AA275">
        <v>1.5800000000000002E-2</v>
      </c>
      <c r="AB275">
        <v>0</v>
      </c>
      <c r="AC275">
        <v>0</v>
      </c>
      <c r="AD275">
        <v>103.8</v>
      </c>
      <c r="AE275">
        <v>1586279.1</v>
      </c>
      <c r="AF275">
        <v>433414.1</v>
      </c>
      <c r="AH275" s="3">
        <v>140</v>
      </c>
      <c r="AI275" s="3">
        <v>3</v>
      </c>
      <c r="AJ275" s="3">
        <v>7</v>
      </c>
      <c r="AO275">
        <v>108.8</v>
      </c>
      <c r="AP275">
        <v>1450671.4</v>
      </c>
      <c r="AQ275">
        <v>422234.6</v>
      </c>
    </row>
    <row r="276" spans="1:43" x14ac:dyDescent="0.25">
      <c r="A276" s="3">
        <v>80</v>
      </c>
      <c r="B276" s="3">
        <v>3</v>
      </c>
      <c r="C276" s="3">
        <v>9</v>
      </c>
      <c r="H276">
        <v>0</v>
      </c>
      <c r="I276">
        <v>9.4760823389249368E-5</v>
      </c>
      <c r="J276">
        <v>1.609273923744472E-4</v>
      </c>
      <c r="L276" s="3">
        <v>80</v>
      </c>
      <c r="M276" s="3">
        <v>3</v>
      </c>
      <c r="N276" s="3">
        <v>9</v>
      </c>
      <c r="S276">
        <v>0</v>
      </c>
      <c r="T276">
        <v>-3.299999999813735</v>
      </c>
      <c r="U276">
        <v>-0.79999999998835847</v>
      </c>
      <c r="W276" s="3">
        <v>80</v>
      </c>
      <c r="X276" s="3">
        <v>3</v>
      </c>
      <c r="Y276" s="3">
        <v>9</v>
      </c>
      <c r="Z276">
        <v>380.45</v>
      </c>
      <c r="AA276">
        <v>1.5800000000000002E-2</v>
      </c>
      <c r="AB276">
        <v>72.599999999999994</v>
      </c>
      <c r="AC276">
        <v>4.5</v>
      </c>
      <c r="AD276">
        <v>124.5</v>
      </c>
      <c r="AE276">
        <v>3482448.5</v>
      </c>
      <c r="AF276">
        <v>497117.8</v>
      </c>
      <c r="AH276" s="3">
        <v>140</v>
      </c>
      <c r="AI276" s="3">
        <v>3</v>
      </c>
      <c r="AJ276" s="3">
        <v>8</v>
      </c>
      <c r="AO276">
        <v>112.4</v>
      </c>
      <c r="AP276">
        <v>1602806</v>
      </c>
      <c r="AQ276">
        <v>497019.3</v>
      </c>
    </row>
    <row r="277" spans="1:43" x14ac:dyDescent="0.25">
      <c r="A277" s="3">
        <v>80</v>
      </c>
      <c r="B277" s="3">
        <v>3</v>
      </c>
      <c r="C277" s="3">
        <v>10</v>
      </c>
      <c r="H277">
        <v>0</v>
      </c>
      <c r="I277">
        <v>8.1713365855252948E-5</v>
      </c>
      <c r="J277">
        <v>1.5493448517826989E-4</v>
      </c>
      <c r="L277" s="3">
        <v>80</v>
      </c>
      <c r="M277" s="3">
        <v>3</v>
      </c>
      <c r="N277" s="3">
        <v>10</v>
      </c>
      <c r="S277">
        <v>0</v>
      </c>
      <c r="T277">
        <v>-3.5</v>
      </c>
      <c r="U277">
        <v>-1</v>
      </c>
      <c r="W277" s="3">
        <v>80</v>
      </c>
      <c r="X277" s="3">
        <v>3</v>
      </c>
      <c r="Y277" s="3">
        <v>10</v>
      </c>
      <c r="Z277">
        <v>427.98</v>
      </c>
      <c r="AA277">
        <v>1.576E-2</v>
      </c>
      <c r="AB277">
        <v>81.2</v>
      </c>
      <c r="AC277">
        <v>5.0999999999999996</v>
      </c>
      <c r="AD277">
        <v>135.19999999999999</v>
      </c>
      <c r="AE277">
        <v>4283261.5</v>
      </c>
      <c r="AF277">
        <v>645433.1</v>
      </c>
      <c r="AH277" s="3">
        <v>140</v>
      </c>
      <c r="AI277" s="3">
        <v>3</v>
      </c>
      <c r="AJ277" s="3">
        <v>9</v>
      </c>
      <c r="AO277">
        <v>139.69999999999999</v>
      </c>
      <c r="AP277">
        <v>3447049.8</v>
      </c>
      <c r="AQ277">
        <v>565143.80000000005</v>
      </c>
    </row>
    <row r="278" spans="1:43" x14ac:dyDescent="0.25">
      <c r="A278" s="3">
        <v>80</v>
      </c>
      <c r="B278" s="3">
        <v>3</v>
      </c>
      <c r="C278" s="3">
        <v>11</v>
      </c>
      <c r="H278">
        <v>0</v>
      </c>
      <c r="I278">
        <v>2.3719734724823961E-5</v>
      </c>
      <c r="J278">
        <v>7.9170452003903096E-6</v>
      </c>
      <c r="L278" s="3">
        <v>80</v>
      </c>
      <c r="M278" s="3">
        <v>3</v>
      </c>
      <c r="N278" s="3">
        <v>11</v>
      </c>
      <c r="S278">
        <v>0</v>
      </c>
      <c r="T278">
        <v>-0.79999999981373549</v>
      </c>
      <c r="U278">
        <v>-1</v>
      </c>
      <c r="W278" s="3">
        <v>80</v>
      </c>
      <c r="X278" s="3">
        <v>3</v>
      </c>
      <c r="Y278" s="3">
        <v>11</v>
      </c>
      <c r="Z278">
        <v>486.67</v>
      </c>
      <c r="AA278">
        <v>1.5709999999999998E-2</v>
      </c>
      <c r="AB278">
        <v>13414.6</v>
      </c>
      <c r="AC278">
        <v>5.0999999999999996</v>
      </c>
      <c r="AD278">
        <v>260.89999999999998</v>
      </c>
      <c r="AE278">
        <v>3372718.2</v>
      </c>
      <c r="AF278">
        <v>12630974</v>
      </c>
      <c r="AH278" s="3">
        <v>140</v>
      </c>
      <c r="AI278" s="3">
        <v>3</v>
      </c>
      <c r="AJ278" s="3">
        <v>10</v>
      </c>
      <c r="AO278">
        <v>153.6</v>
      </c>
      <c r="AP278">
        <v>4227513</v>
      </c>
      <c r="AQ278">
        <v>738892.4</v>
      </c>
    </row>
    <row r="279" spans="1:43" x14ac:dyDescent="0.25">
      <c r="A279" s="3">
        <v>80</v>
      </c>
      <c r="B279" s="3">
        <v>3</v>
      </c>
      <c r="C279" s="3">
        <v>12</v>
      </c>
      <c r="H279">
        <v>0</v>
      </c>
      <c r="I279">
        <v>0</v>
      </c>
      <c r="J279">
        <v>0</v>
      </c>
      <c r="L279" s="3">
        <v>80</v>
      </c>
      <c r="M279" s="3">
        <v>3</v>
      </c>
      <c r="N279" s="3">
        <v>12</v>
      </c>
      <c r="S279">
        <v>0</v>
      </c>
      <c r="T279">
        <v>0</v>
      </c>
      <c r="U279">
        <v>0</v>
      </c>
      <c r="W279" s="3">
        <v>80</v>
      </c>
      <c r="X279" s="3">
        <v>3</v>
      </c>
      <c r="Y279" s="3">
        <v>12</v>
      </c>
      <c r="Z279">
        <v>93.41</v>
      </c>
      <c r="AA279">
        <v>1.566E-2</v>
      </c>
      <c r="AB279">
        <v>81.2</v>
      </c>
      <c r="AC279">
        <v>5.0999999999999996</v>
      </c>
      <c r="AD279">
        <v>86.6</v>
      </c>
      <c r="AE279">
        <v>147753</v>
      </c>
      <c r="AF279">
        <v>5945.4</v>
      </c>
      <c r="AH279" s="3">
        <v>140</v>
      </c>
      <c r="AI279" s="3">
        <v>3</v>
      </c>
      <c r="AJ279" s="3">
        <v>11</v>
      </c>
      <c r="AO279">
        <v>313.2</v>
      </c>
      <c r="AP279">
        <v>2951153.3</v>
      </c>
      <c r="AQ279">
        <v>12650461</v>
      </c>
    </row>
    <row r="280" spans="1:43" x14ac:dyDescent="0.25">
      <c r="A280" s="3">
        <v>80</v>
      </c>
      <c r="B280" s="3">
        <v>3</v>
      </c>
      <c r="C280" s="3">
        <v>13</v>
      </c>
      <c r="H280">
        <v>0</v>
      </c>
      <c r="I280">
        <v>8.4898003531136212E-5</v>
      </c>
      <c r="J280">
        <v>0</v>
      </c>
      <c r="L280" s="3">
        <v>80</v>
      </c>
      <c r="M280" s="3">
        <v>3</v>
      </c>
      <c r="N280" s="3">
        <v>13</v>
      </c>
      <c r="S280">
        <v>0</v>
      </c>
      <c r="T280">
        <v>-9.9999999991268851E-2</v>
      </c>
      <c r="U280">
        <v>0</v>
      </c>
      <c r="W280" s="3">
        <v>80</v>
      </c>
      <c r="X280" s="3">
        <v>3</v>
      </c>
      <c r="Y280" s="3">
        <v>13</v>
      </c>
      <c r="Z280">
        <v>90.96</v>
      </c>
      <c r="AA280">
        <v>1.5610000000000001E-2</v>
      </c>
      <c r="AB280">
        <v>81.2</v>
      </c>
      <c r="AC280">
        <v>5.0999999999999996</v>
      </c>
      <c r="AD280">
        <v>86.3</v>
      </c>
      <c r="AE280">
        <v>117788.3</v>
      </c>
      <c r="AF280">
        <v>4061.9</v>
      </c>
      <c r="AH280" s="3">
        <v>140</v>
      </c>
      <c r="AI280" s="3">
        <v>3</v>
      </c>
      <c r="AJ280" s="3">
        <v>12</v>
      </c>
      <c r="AO280">
        <v>86.7</v>
      </c>
      <c r="AP280">
        <v>75545.8</v>
      </c>
      <c r="AQ280">
        <v>5133.2</v>
      </c>
    </row>
    <row r="281" spans="1:43" x14ac:dyDescent="0.25">
      <c r="A281" s="3">
        <v>80</v>
      </c>
      <c r="B281" s="3">
        <v>3</v>
      </c>
      <c r="C281" s="3">
        <v>14</v>
      </c>
      <c r="H281">
        <v>0</v>
      </c>
      <c r="I281">
        <v>0</v>
      </c>
      <c r="J281">
        <v>0</v>
      </c>
      <c r="L281" s="3">
        <v>80</v>
      </c>
      <c r="M281" s="3">
        <v>3</v>
      </c>
      <c r="N281" s="3">
        <v>14</v>
      </c>
      <c r="S281">
        <v>0</v>
      </c>
      <c r="T281">
        <v>0</v>
      </c>
      <c r="U281">
        <v>0</v>
      </c>
      <c r="W281" s="3">
        <v>80</v>
      </c>
      <c r="X281" s="3">
        <v>3</v>
      </c>
      <c r="Y281" s="3">
        <v>14</v>
      </c>
      <c r="Z281">
        <v>88.15</v>
      </c>
      <c r="AA281">
        <v>1.5559999999999999E-2</v>
      </c>
      <c r="AB281">
        <v>80.099999999999994</v>
      </c>
      <c r="AC281">
        <v>5</v>
      </c>
      <c r="AD281">
        <v>85.8</v>
      </c>
      <c r="AE281">
        <v>72959.3</v>
      </c>
      <c r="AF281">
        <v>2032.2</v>
      </c>
      <c r="AH281" s="3">
        <v>140</v>
      </c>
      <c r="AI281" s="3">
        <v>3</v>
      </c>
      <c r="AJ281" s="3">
        <v>13</v>
      </c>
      <c r="AO281">
        <v>86.4</v>
      </c>
      <c r="AP281">
        <v>49629.8</v>
      </c>
      <c r="AQ281">
        <v>3403.9</v>
      </c>
    </row>
    <row r="282" spans="1:43" x14ac:dyDescent="0.25">
      <c r="A282" s="3">
        <v>80</v>
      </c>
      <c r="B282" s="3">
        <v>4</v>
      </c>
      <c r="C282" s="3">
        <v>1</v>
      </c>
      <c r="D282">
        <v>0</v>
      </c>
      <c r="E282">
        <v>6.451612903225544E-2</v>
      </c>
      <c r="H282">
        <v>0</v>
      </c>
      <c r="L282" s="3">
        <v>80</v>
      </c>
      <c r="M282" s="3">
        <v>4</v>
      </c>
      <c r="N282" s="3">
        <v>1</v>
      </c>
      <c r="O282">
        <v>0</v>
      </c>
      <c r="P282">
        <v>9.9999999999995925E-6</v>
      </c>
      <c r="S282">
        <v>0</v>
      </c>
      <c r="T282">
        <v>0</v>
      </c>
      <c r="U282">
        <v>0</v>
      </c>
      <c r="W282" s="3">
        <v>80</v>
      </c>
      <c r="X282" s="3">
        <v>4</v>
      </c>
      <c r="Y282" s="3">
        <v>1</v>
      </c>
      <c r="Z282">
        <v>85</v>
      </c>
      <c r="AA282">
        <v>1.5509999999999999E-2</v>
      </c>
      <c r="AB282">
        <v>0.1</v>
      </c>
      <c r="AC282">
        <v>0</v>
      </c>
      <c r="AD282">
        <v>85</v>
      </c>
      <c r="AE282">
        <v>0</v>
      </c>
      <c r="AF282">
        <v>0</v>
      </c>
      <c r="AH282" s="3">
        <v>140</v>
      </c>
      <c r="AI282" s="3">
        <v>3</v>
      </c>
      <c r="AJ282" s="3">
        <v>14</v>
      </c>
      <c r="AO282">
        <v>86.1</v>
      </c>
      <c r="AP282">
        <v>73445.600000000006</v>
      </c>
      <c r="AQ282">
        <v>1546</v>
      </c>
    </row>
    <row r="283" spans="1:43" x14ac:dyDescent="0.25">
      <c r="A283" s="3">
        <v>80</v>
      </c>
      <c r="B283" s="3">
        <v>4</v>
      </c>
      <c r="C283" s="3">
        <v>2</v>
      </c>
      <c r="H283">
        <v>0</v>
      </c>
      <c r="L283" s="3">
        <v>80</v>
      </c>
      <c r="M283" s="3">
        <v>4</v>
      </c>
      <c r="N283" s="3">
        <v>2</v>
      </c>
      <c r="S283">
        <v>0</v>
      </c>
      <c r="T283">
        <v>0</v>
      </c>
      <c r="U283">
        <v>0</v>
      </c>
      <c r="W283" s="3">
        <v>80</v>
      </c>
      <c r="X283" s="3">
        <v>4</v>
      </c>
      <c r="Y283" s="3">
        <v>2</v>
      </c>
      <c r="Z283">
        <v>85</v>
      </c>
      <c r="AA283">
        <v>1.5509999999999999E-2</v>
      </c>
      <c r="AB283">
        <v>0.1</v>
      </c>
      <c r="AC283">
        <v>0</v>
      </c>
      <c r="AD283">
        <v>85</v>
      </c>
      <c r="AE283">
        <v>0</v>
      </c>
      <c r="AF283">
        <v>0</v>
      </c>
      <c r="AH283" s="3">
        <v>140</v>
      </c>
      <c r="AI283" s="3">
        <v>4</v>
      </c>
      <c r="AJ283" s="3">
        <v>1</v>
      </c>
      <c r="AK283">
        <v>85</v>
      </c>
      <c r="AL283">
        <v>1.55E-2</v>
      </c>
      <c r="AO283">
        <v>85</v>
      </c>
      <c r="AP283">
        <v>0</v>
      </c>
      <c r="AQ283">
        <v>0</v>
      </c>
    </row>
    <row r="284" spans="1:43" x14ac:dyDescent="0.25">
      <c r="A284" s="3">
        <v>80</v>
      </c>
      <c r="B284" s="3">
        <v>5</v>
      </c>
      <c r="C284" s="3">
        <v>1</v>
      </c>
      <c r="D284">
        <v>1.1428571428577269E-2</v>
      </c>
      <c r="E284">
        <v>6.451612903225544E-2</v>
      </c>
      <c r="L284" s="3">
        <v>80</v>
      </c>
      <c r="M284" s="3">
        <v>5</v>
      </c>
      <c r="N284" s="3">
        <v>1</v>
      </c>
      <c r="O284">
        <v>-1.0000000000005119E-2</v>
      </c>
      <c r="P284">
        <v>9.9999999999995925E-6</v>
      </c>
      <c r="W284" s="3">
        <v>80</v>
      </c>
      <c r="X284" s="3">
        <v>5</v>
      </c>
      <c r="Y284" s="3">
        <v>1</v>
      </c>
      <c r="Z284">
        <v>87.49</v>
      </c>
      <c r="AA284">
        <v>1.5509999999999999E-2</v>
      </c>
      <c r="AH284" s="3">
        <v>140</v>
      </c>
      <c r="AI284" s="3">
        <v>4</v>
      </c>
      <c r="AJ284" s="3">
        <v>2</v>
      </c>
      <c r="AO284">
        <v>85</v>
      </c>
      <c r="AP284">
        <v>0</v>
      </c>
      <c r="AQ284">
        <v>0</v>
      </c>
    </row>
    <row r="285" spans="1:43" x14ac:dyDescent="0.25">
      <c r="A285" s="3">
        <v>80</v>
      </c>
      <c r="B285" s="3">
        <v>5</v>
      </c>
      <c r="C285" s="3">
        <v>2</v>
      </c>
      <c r="L285" s="3">
        <v>80</v>
      </c>
      <c r="M285" s="3">
        <v>5</v>
      </c>
      <c r="N285" s="3">
        <v>2</v>
      </c>
      <c r="W285" s="3">
        <v>80</v>
      </c>
      <c r="X285" s="3">
        <v>5</v>
      </c>
      <c r="Y285" s="3">
        <v>2</v>
      </c>
      <c r="Z285">
        <v>87.14</v>
      </c>
      <c r="AA285">
        <v>1.5509999999999999E-2</v>
      </c>
      <c r="AH285" s="3">
        <v>140</v>
      </c>
      <c r="AI285" s="3">
        <v>5</v>
      </c>
      <c r="AJ285" s="3">
        <v>1</v>
      </c>
      <c r="AK285">
        <v>99</v>
      </c>
      <c r="AL285">
        <v>1.55E-2</v>
      </c>
    </row>
    <row r="286" spans="1:43" x14ac:dyDescent="0.25">
      <c r="A286" s="3">
        <v>90</v>
      </c>
      <c r="B286" s="3">
        <v>1</v>
      </c>
      <c r="C286" s="3">
        <v>1</v>
      </c>
      <c r="D286">
        <v>1.1764705882358961E-2</v>
      </c>
      <c r="E286">
        <v>6.451612903225544E-2</v>
      </c>
      <c r="L286" s="3">
        <v>90</v>
      </c>
      <c r="M286" s="3">
        <v>1</v>
      </c>
      <c r="N286" s="3">
        <v>1</v>
      </c>
      <c r="O286">
        <v>1.0000000000005119E-2</v>
      </c>
      <c r="P286">
        <v>9.9999999999995925E-6</v>
      </c>
      <c r="W286" s="3">
        <v>90</v>
      </c>
      <c r="X286" s="3">
        <v>1</v>
      </c>
      <c r="Y286" s="3">
        <v>1</v>
      </c>
      <c r="Z286">
        <v>85.01</v>
      </c>
      <c r="AA286">
        <v>1.5509999999999999E-2</v>
      </c>
      <c r="AB286">
        <v>1</v>
      </c>
      <c r="AC286">
        <v>0</v>
      </c>
      <c r="AH286" s="3">
        <v>160</v>
      </c>
      <c r="AI286" s="3">
        <v>1</v>
      </c>
      <c r="AJ286" s="3">
        <v>1</v>
      </c>
      <c r="AK286">
        <v>85</v>
      </c>
      <c r="AL286">
        <v>1.55E-2</v>
      </c>
    </row>
    <row r="287" spans="1:43" x14ac:dyDescent="0.25">
      <c r="A287" s="3">
        <v>90</v>
      </c>
      <c r="B287" s="3">
        <v>1</v>
      </c>
      <c r="C287" s="3">
        <v>2</v>
      </c>
      <c r="L287" s="3">
        <v>90</v>
      </c>
      <c r="M287" s="3">
        <v>1</v>
      </c>
      <c r="N287" s="3">
        <v>2</v>
      </c>
      <c r="W287" s="3">
        <v>90</v>
      </c>
      <c r="X287" s="3">
        <v>1</v>
      </c>
      <c r="Y287" s="3">
        <v>2</v>
      </c>
      <c r="Z287">
        <v>85.03</v>
      </c>
      <c r="AA287">
        <v>1.5509999999999999E-2</v>
      </c>
      <c r="AB287">
        <v>1</v>
      </c>
      <c r="AC287">
        <v>0</v>
      </c>
      <c r="AH287" s="3">
        <v>160</v>
      </c>
      <c r="AI287" s="3">
        <v>2</v>
      </c>
      <c r="AJ287" s="3">
        <v>1</v>
      </c>
      <c r="AK287">
        <v>155.69999999999999</v>
      </c>
      <c r="AL287">
        <v>1.5699999999999999E-2</v>
      </c>
      <c r="AO287">
        <v>88.7</v>
      </c>
      <c r="AP287">
        <v>1261015.5</v>
      </c>
      <c r="AQ287">
        <v>240220.7</v>
      </c>
    </row>
    <row r="288" spans="1:43" x14ac:dyDescent="0.25">
      <c r="A288" s="3">
        <v>90</v>
      </c>
      <c r="B288" s="3">
        <v>1</v>
      </c>
      <c r="C288" s="3">
        <v>3</v>
      </c>
      <c r="L288" s="3">
        <v>90</v>
      </c>
      <c r="M288" s="3">
        <v>1</v>
      </c>
      <c r="N288" s="3">
        <v>3</v>
      </c>
      <c r="W288" s="3">
        <v>90</v>
      </c>
      <c r="X288" s="3">
        <v>1</v>
      </c>
      <c r="Y288" s="3">
        <v>3</v>
      </c>
      <c r="Z288">
        <v>85.03</v>
      </c>
      <c r="AA288">
        <v>1.5509999999999999E-2</v>
      </c>
      <c r="AB288">
        <v>1</v>
      </c>
      <c r="AC288">
        <v>0</v>
      </c>
      <c r="AH288" s="3">
        <v>160</v>
      </c>
      <c r="AI288" s="3">
        <v>2</v>
      </c>
      <c r="AJ288" s="3">
        <v>2</v>
      </c>
      <c r="AO288">
        <v>91.6</v>
      </c>
      <c r="AP288">
        <v>1948913.4</v>
      </c>
      <c r="AQ288">
        <v>410324.9</v>
      </c>
    </row>
    <row r="289" spans="1:43" x14ac:dyDescent="0.25">
      <c r="A289" s="3">
        <v>90</v>
      </c>
      <c r="B289" s="3">
        <v>1</v>
      </c>
      <c r="C289" s="3">
        <v>4</v>
      </c>
      <c r="L289" s="3">
        <v>90</v>
      </c>
      <c r="M289" s="3">
        <v>1</v>
      </c>
      <c r="N289" s="3">
        <v>4</v>
      </c>
      <c r="W289" s="3">
        <v>90</v>
      </c>
      <c r="X289" s="3">
        <v>1</v>
      </c>
      <c r="Y289" s="3">
        <v>4</v>
      </c>
      <c r="Z289">
        <v>85.04</v>
      </c>
      <c r="AA289">
        <v>1.5509999999999999E-2</v>
      </c>
      <c r="AB289">
        <v>1</v>
      </c>
      <c r="AC289">
        <v>0</v>
      </c>
      <c r="AH289" s="3">
        <v>160</v>
      </c>
      <c r="AI289" s="3">
        <v>3</v>
      </c>
      <c r="AJ289" s="3">
        <v>1</v>
      </c>
      <c r="AK289">
        <v>237.5</v>
      </c>
      <c r="AL289">
        <v>1.5800000000000002E-2</v>
      </c>
      <c r="AO289">
        <v>96.2</v>
      </c>
      <c r="AP289">
        <v>820860.9</v>
      </c>
      <c r="AQ289">
        <v>183346.3</v>
      </c>
    </row>
    <row r="290" spans="1:43" x14ac:dyDescent="0.25">
      <c r="A290" s="3">
        <v>90</v>
      </c>
      <c r="B290" s="3">
        <v>1</v>
      </c>
      <c r="C290" s="3">
        <v>5</v>
      </c>
      <c r="L290" s="3">
        <v>90</v>
      </c>
      <c r="M290" s="3">
        <v>1</v>
      </c>
      <c r="N290" s="3">
        <v>5</v>
      </c>
      <c r="W290" s="3">
        <v>90</v>
      </c>
      <c r="X290" s="3">
        <v>1</v>
      </c>
      <c r="Y290" s="3">
        <v>5</v>
      </c>
      <c r="Z290">
        <v>85.05</v>
      </c>
      <c r="AA290">
        <v>1.5509999999999999E-2</v>
      </c>
      <c r="AB290">
        <v>1</v>
      </c>
      <c r="AC290">
        <v>0</v>
      </c>
      <c r="AH290" s="3">
        <v>160</v>
      </c>
      <c r="AI290" s="3">
        <v>3</v>
      </c>
      <c r="AJ290" s="3">
        <v>2</v>
      </c>
      <c r="AO290">
        <v>98</v>
      </c>
      <c r="AP290">
        <v>902501.5</v>
      </c>
      <c r="AQ290">
        <v>209808.5</v>
      </c>
    </row>
    <row r="291" spans="1:43" x14ac:dyDescent="0.25">
      <c r="A291" s="3">
        <v>90</v>
      </c>
      <c r="B291" s="3">
        <v>1</v>
      </c>
      <c r="C291" s="3">
        <v>6</v>
      </c>
      <c r="L291" s="3">
        <v>90</v>
      </c>
      <c r="M291" s="3">
        <v>1</v>
      </c>
      <c r="N291" s="3">
        <v>6</v>
      </c>
      <c r="W291" s="3">
        <v>90</v>
      </c>
      <c r="X291" s="3">
        <v>1</v>
      </c>
      <c r="Y291" s="3">
        <v>6</v>
      </c>
      <c r="Z291">
        <v>85.05</v>
      </c>
      <c r="AA291">
        <v>1.5509999999999999E-2</v>
      </c>
      <c r="AB291">
        <v>1</v>
      </c>
      <c r="AC291">
        <v>0</v>
      </c>
      <c r="AH291" s="3">
        <v>160</v>
      </c>
      <c r="AI291" s="3">
        <v>3</v>
      </c>
      <c r="AJ291" s="3">
        <v>3</v>
      </c>
      <c r="AO291">
        <v>100</v>
      </c>
      <c r="AP291">
        <v>992262.4</v>
      </c>
      <c r="AQ291">
        <v>240732.6</v>
      </c>
    </row>
    <row r="292" spans="1:43" x14ac:dyDescent="0.25">
      <c r="A292" s="3">
        <v>90</v>
      </c>
      <c r="B292" s="3">
        <v>1</v>
      </c>
      <c r="C292" s="3">
        <v>7</v>
      </c>
      <c r="L292" s="3">
        <v>90</v>
      </c>
      <c r="M292" s="3">
        <v>1</v>
      </c>
      <c r="N292" s="3">
        <v>7</v>
      </c>
      <c r="W292" s="3">
        <v>90</v>
      </c>
      <c r="X292" s="3">
        <v>1</v>
      </c>
      <c r="Y292" s="3">
        <v>7</v>
      </c>
      <c r="Z292">
        <v>85.06</v>
      </c>
      <c r="AA292">
        <v>1.5509999999999999E-2</v>
      </c>
      <c r="AB292">
        <v>1</v>
      </c>
      <c r="AC292">
        <v>0</v>
      </c>
      <c r="AH292" s="3">
        <v>160</v>
      </c>
      <c r="AI292" s="3">
        <v>3</v>
      </c>
      <c r="AJ292" s="3">
        <v>4</v>
      </c>
      <c r="AO292">
        <v>102.2</v>
      </c>
      <c r="AP292">
        <v>1091643.5</v>
      </c>
      <c r="AQ292">
        <v>277230.59999999998</v>
      </c>
    </row>
    <row r="293" spans="1:43" x14ac:dyDescent="0.25">
      <c r="A293" s="3">
        <v>90</v>
      </c>
      <c r="B293" s="3">
        <v>1</v>
      </c>
      <c r="C293" s="3">
        <v>8</v>
      </c>
      <c r="L293" s="3">
        <v>90</v>
      </c>
      <c r="M293" s="3">
        <v>1</v>
      </c>
      <c r="N293" s="3">
        <v>8</v>
      </c>
      <c r="W293" s="3">
        <v>90</v>
      </c>
      <c r="X293" s="3">
        <v>1</v>
      </c>
      <c r="Y293" s="3">
        <v>8</v>
      </c>
      <c r="Z293">
        <v>85.06</v>
      </c>
      <c r="AA293">
        <v>1.5509999999999999E-2</v>
      </c>
      <c r="AB293">
        <v>1</v>
      </c>
      <c r="AC293">
        <v>0</v>
      </c>
      <c r="AH293" s="3">
        <v>160</v>
      </c>
      <c r="AI293" s="3">
        <v>3</v>
      </c>
      <c r="AJ293" s="3">
        <v>5</v>
      </c>
      <c r="AO293">
        <v>104.8</v>
      </c>
      <c r="AP293">
        <v>1201113.5</v>
      </c>
      <c r="AQ293">
        <v>320698.2</v>
      </c>
    </row>
    <row r="294" spans="1:43" x14ac:dyDescent="0.25">
      <c r="A294" s="3">
        <v>90</v>
      </c>
      <c r="B294" s="3">
        <v>1</v>
      </c>
      <c r="C294" s="3">
        <v>9</v>
      </c>
      <c r="L294" s="3">
        <v>90</v>
      </c>
      <c r="M294" s="3">
        <v>1</v>
      </c>
      <c r="N294" s="3">
        <v>9</v>
      </c>
      <c r="W294" s="3">
        <v>90</v>
      </c>
      <c r="X294" s="3">
        <v>1</v>
      </c>
      <c r="Y294" s="3">
        <v>9</v>
      </c>
      <c r="Z294">
        <v>85.06</v>
      </c>
      <c r="AA294">
        <v>1.5509999999999999E-2</v>
      </c>
      <c r="AB294">
        <v>1</v>
      </c>
      <c r="AC294">
        <v>0</v>
      </c>
      <c r="AH294" s="3">
        <v>160</v>
      </c>
      <c r="AI294" s="3">
        <v>3</v>
      </c>
      <c r="AJ294" s="3">
        <v>6</v>
      </c>
      <c r="AO294">
        <v>107.7</v>
      </c>
      <c r="AP294">
        <v>1321352.1000000001</v>
      </c>
      <c r="AQ294">
        <v>372896.3</v>
      </c>
    </row>
    <row r="295" spans="1:43" x14ac:dyDescent="0.25">
      <c r="A295" s="3">
        <v>90</v>
      </c>
      <c r="B295" s="3">
        <v>1</v>
      </c>
      <c r="C295" s="3">
        <v>10</v>
      </c>
      <c r="L295" s="3">
        <v>90</v>
      </c>
      <c r="M295" s="3">
        <v>1</v>
      </c>
      <c r="N295" s="3">
        <v>10</v>
      </c>
      <c r="W295" s="3">
        <v>90</v>
      </c>
      <c r="X295" s="3">
        <v>1</v>
      </c>
      <c r="Y295" s="3">
        <v>10</v>
      </c>
      <c r="Z295">
        <v>85.06</v>
      </c>
      <c r="AA295">
        <v>1.5509999999999999E-2</v>
      </c>
      <c r="AB295">
        <v>1</v>
      </c>
      <c r="AC295">
        <v>0</v>
      </c>
      <c r="AH295" s="3">
        <v>160</v>
      </c>
      <c r="AI295" s="3">
        <v>3</v>
      </c>
      <c r="AJ295" s="3">
        <v>7</v>
      </c>
      <c r="AO295">
        <v>111</v>
      </c>
      <c r="AP295">
        <v>1456059</v>
      </c>
      <c r="AQ295">
        <v>436048.8</v>
      </c>
    </row>
    <row r="296" spans="1:43" x14ac:dyDescent="0.25">
      <c r="A296" s="3">
        <v>90</v>
      </c>
      <c r="B296" s="3">
        <v>2</v>
      </c>
      <c r="C296" s="3">
        <v>1</v>
      </c>
      <c r="D296">
        <v>2.9211295034080952E-2</v>
      </c>
      <c r="E296">
        <v>0.25806451612903297</v>
      </c>
      <c r="H296">
        <v>0</v>
      </c>
      <c r="I296">
        <v>0</v>
      </c>
      <c r="J296">
        <v>0</v>
      </c>
      <c r="L296" s="3">
        <v>90</v>
      </c>
      <c r="M296" s="3">
        <v>2</v>
      </c>
      <c r="N296" s="3">
        <v>1</v>
      </c>
      <c r="O296">
        <v>-3.000000000000114E-2</v>
      </c>
      <c r="P296">
        <v>4.0000000000000098E-5</v>
      </c>
      <c r="S296">
        <v>0</v>
      </c>
      <c r="T296">
        <v>0</v>
      </c>
      <c r="U296">
        <v>0</v>
      </c>
      <c r="W296" s="3">
        <v>90</v>
      </c>
      <c r="X296" s="3">
        <v>2</v>
      </c>
      <c r="Y296" s="3">
        <v>1</v>
      </c>
      <c r="Z296">
        <v>102.67</v>
      </c>
      <c r="AA296">
        <v>1.554E-2</v>
      </c>
      <c r="AB296">
        <v>0.1</v>
      </c>
      <c r="AC296">
        <v>0</v>
      </c>
      <c r="AD296">
        <v>85.5</v>
      </c>
      <c r="AE296">
        <v>331680.59999999998</v>
      </c>
      <c r="AF296">
        <v>50920.800000000003</v>
      </c>
      <c r="AH296" s="3">
        <v>160</v>
      </c>
      <c r="AI296" s="3">
        <v>3</v>
      </c>
      <c r="AJ296" s="3">
        <v>8</v>
      </c>
      <c r="AO296">
        <v>114.8</v>
      </c>
      <c r="AP296">
        <v>1607805.5</v>
      </c>
      <c r="AQ296">
        <v>513210</v>
      </c>
    </row>
    <row r="297" spans="1:43" x14ac:dyDescent="0.25">
      <c r="A297" s="3">
        <v>90</v>
      </c>
      <c r="B297" s="3">
        <v>2</v>
      </c>
      <c r="C297" s="3">
        <v>2</v>
      </c>
      <c r="H297">
        <v>0</v>
      </c>
      <c r="I297">
        <v>4.237639177559868E-5</v>
      </c>
      <c r="J297">
        <v>0</v>
      </c>
      <c r="L297" s="3">
        <v>90</v>
      </c>
      <c r="M297" s="3">
        <v>2</v>
      </c>
      <c r="N297" s="3">
        <v>2</v>
      </c>
      <c r="S297">
        <v>0</v>
      </c>
      <c r="T297">
        <v>-0.40000000002328312</v>
      </c>
      <c r="U297">
        <v>0</v>
      </c>
      <c r="W297" s="3">
        <v>90</v>
      </c>
      <c r="X297" s="3">
        <v>2</v>
      </c>
      <c r="Y297" s="3">
        <v>2</v>
      </c>
      <c r="Z297">
        <v>134.80000000000001</v>
      </c>
      <c r="AA297">
        <v>1.5599999999999999E-2</v>
      </c>
      <c r="AB297">
        <v>0.1</v>
      </c>
      <c r="AC297">
        <v>0</v>
      </c>
      <c r="AD297">
        <v>86.7</v>
      </c>
      <c r="AE297">
        <v>943921.4</v>
      </c>
      <c r="AF297">
        <v>158373.4</v>
      </c>
      <c r="AH297" s="3">
        <v>160</v>
      </c>
      <c r="AI297" s="3">
        <v>3</v>
      </c>
      <c r="AJ297" s="3">
        <v>9</v>
      </c>
      <c r="AO297">
        <v>143.9</v>
      </c>
      <c r="AP297">
        <v>3437374.3</v>
      </c>
      <c r="AQ297">
        <v>582178.1</v>
      </c>
    </row>
    <row r="298" spans="1:43" x14ac:dyDescent="0.25">
      <c r="A298" s="3">
        <v>90</v>
      </c>
      <c r="B298" s="3">
        <v>3</v>
      </c>
      <c r="C298" s="3">
        <v>1</v>
      </c>
      <c r="D298">
        <v>2.538071065990425E-2</v>
      </c>
      <c r="E298">
        <v>0</v>
      </c>
      <c r="H298">
        <v>0</v>
      </c>
      <c r="I298">
        <v>4.6173160731412243E-5</v>
      </c>
      <c r="J298">
        <v>8.2149828147341273E-5</v>
      </c>
      <c r="L298" s="3">
        <v>90</v>
      </c>
      <c r="M298" s="3">
        <v>3</v>
      </c>
      <c r="N298" s="3">
        <v>1</v>
      </c>
      <c r="O298">
        <v>5.0000000000011369E-2</v>
      </c>
      <c r="P298">
        <v>0</v>
      </c>
      <c r="S298">
        <v>0</v>
      </c>
      <c r="T298">
        <v>-0.29999999993015081</v>
      </c>
      <c r="U298">
        <v>-0.10000000000582079</v>
      </c>
      <c r="W298" s="3">
        <v>90</v>
      </c>
      <c r="X298" s="3">
        <v>3</v>
      </c>
      <c r="Y298" s="3">
        <v>1</v>
      </c>
      <c r="Z298">
        <v>197.05</v>
      </c>
      <c r="AA298">
        <v>1.5699999999999999E-2</v>
      </c>
      <c r="AB298">
        <v>0</v>
      </c>
      <c r="AC298">
        <v>0</v>
      </c>
      <c r="AD298">
        <v>89.8</v>
      </c>
      <c r="AE298">
        <v>649727.80000000005</v>
      </c>
      <c r="AF298">
        <v>121728.7</v>
      </c>
      <c r="AH298" s="3">
        <v>160</v>
      </c>
      <c r="AI298" s="3">
        <v>3</v>
      </c>
      <c r="AJ298" s="3">
        <v>10</v>
      </c>
      <c r="AO298">
        <v>158.69999999999999</v>
      </c>
      <c r="AP298">
        <v>4211906</v>
      </c>
      <c r="AQ298">
        <v>761756.3</v>
      </c>
    </row>
    <row r="299" spans="1:43" x14ac:dyDescent="0.25">
      <c r="A299" s="3">
        <v>90</v>
      </c>
      <c r="B299" s="3">
        <v>3</v>
      </c>
      <c r="C299" s="3">
        <v>2</v>
      </c>
      <c r="H299">
        <v>0</v>
      </c>
      <c r="I299">
        <v>5.0837884597910853E-5</v>
      </c>
      <c r="J299">
        <v>6.3794754416237007E-5</v>
      </c>
      <c r="L299" s="3">
        <v>90</v>
      </c>
      <c r="M299" s="3">
        <v>3</v>
      </c>
      <c r="N299" s="3">
        <v>2</v>
      </c>
      <c r="S299">
        <v>0</v>
      </c>
      <c r="T299">
        <v>-0.40000000002328312</v>
      </c>
      <c r="U299">
        <v>-0.10000000000582079</v>
      </c>
      <c r="W299" s="3">
        <v>90</v>
      </c>
      <c r="X299" s="3">
        <v>3</v>
      </c>
      <c r="Y299" s="3">
        <v>2</v>
      </c>
      <c r="Z299">
        <v>220.21</v>
      </c>
      <c r="AA299">
        <v>1.5730000000000001E-2</v>
      </c>
      <c r="AB299">
        <v>0</v>
      </c>
      <c r="AC299">
        <v>0</v>
      </c>
      <c r="AD299">
        <v>91.4</v>
      </c>
      <c r="AE299">
        <v>786814.4</v>
      </c>
      <c r="AF299">
        <v>156752.6</v>
      </c>
      <c r="AH299" s="3">
        <v>160</v>
      </c>
      <c r="AI299" s="3">
        <v>3</v>
      </c>
      <c r="AJ299" s="3">
        <v>11</v>
      </c>
      <c r="AO299">
        <v>327.5</v>
      </c>
      <c r="AP299">
        <v>2832414</v>
      </c>
      <c r="AQ299">
        <v>12646526</v>
      </c>
    </row>
    <row r="300" spans="1:43" x14ac:dyDescent="0.25">
      <c r="A300" s="3">
        <v>90</v>
      </c>
      <c r="B300" s="3">
        <v>3</v>
      </c>
      <c r="C300" s="3">
        <v>3</v>
      </c>
      <c r="H300">
        <v>0</v>
      </c>
      <c r="I300">
        <v>1.0918480005284211E-5</v>
      </c>
      <c r="J300">
        <v>5.1720241081398232E-5</v>
      </c>
      <c r="L300" s="3">
        <v>90</v>
      </c>
      <c r="M300" s="3">
        <v>3</v>
      </c>
      <c r="N300" s="3">
        <v>3</v>
      </c>
      <c r="S300">
        <v>0</v>
      </c>
      <c r="T300">
        <v>-9.9999999976716936E-2</v>
      </c>
      <c r="U300">
        <v>0.10000000000582079</v>
      </c>
      <c r="W300" s="3">
        <v>90</v>
      </c>
      <c r="X300" s="3">
        <v>3</v>
      </c>
      <c r="Y300" s="3">
        <v>3</v>
      </c>
      <c r="Z300">
        <v>242.16</v>
      </c>
      <c r="AA300">
        <v>1.576E-2</v>
      </c>
      <c r="AB300">
        <v>0</v>
      </c>
      <c r="AC300">
        <v>0</v>
      </c>
      <c r="AD300">
        <v>93.1</v>
      </c>
      <c r="AE300">
        <v>915878.3</v>
      </c>
      <c r="AF300">
        <v>193348</v>
      </c>
      <c r="AH300" s="3">
        <v>160</v>
      </c>
      <c r="AI300" s="3">
        <v>3</v>
      </c>
      <c r="AJ300" s="3">
        <v>12</v>
      </c>
      <c r="AO300">
        <v>86.7</v>
      </c>
      <c r="AP300">
        <v>71577.600000000006</v>
      </c>
      <c r="AQ300">
        <v>4919.8999999999996</v>
      </c>
    </row>
    <row r="301" spans="1:43" x14ac:dyDescent="0.25">
      <c r="A301" s="3">
        <v>90</v>
      </c>
      <c r="B301" s="3">
        <v>3</v>
      </c>
      <c r="C301" s="3">
        <v>4</v>
      </c>
      <c r="H301">
        <v>0</v>
      </c>
      <c r="I301">
        <v>2.8832087118896621E-5</v>
      </c>
      <c r="J301">
        <v>8.6230424069385177E-5</v>
      </c>
      <c r="L301" s="3">
        <v>90</v>
      </c>
      <c r="M301" s="3">
        <v>3</v>
      </c>
      <c r="N301" s="3">
        <v>4</v>
      </c>
      <c r="S301">
        <v>0</v>
      </c>
      <c r="T301">
        <v>-0.30000000004656607</v>
      </c>
      <c r="U301">
        <v>0.1999999999825377</v>
      </c>
      <c r="W301" s="3">
        <v>90</v>
      </c>
      <c r="X301" s="3">
        <v>3</v>
      </c>
      <c r="Y301" s="3">
        <v>4</v>
      </c>
      <c r="Z301">
        <v>263.38</v>
      </c>
      <c r="AA301">
        <v>1.5769999999999999E-2</v>
      </c>
      <c r="AB301">
        <v>0</v>
      </c>
      <c r="AC301">
        <v>0</v>
      </c>
      <c r="AD301">
        <v>95.1</v>
      </c>
      <c r="AE301">
        <v>1040507.1</v>
      </c>
      <c r="AF301">
        <v>231936.9</v>
      </c>
      <c r="AH301" s="3">
        <v>160</v>
      </c>
      <c r="AI301" s="3">
        <v>3</v>
      </c>
      <c r="AJ301" s="3">
        <v>13</v>
      </c>
      <c r="AO301">
        <v>86.4</v>
      </c>
      <c r="AP301">
        <v>48497.5</v>
      </c>
      <c r="AQ301">
        <v>3315.2</v>
      </c>
    </row>
    <row r="302" spans="1:43" x14ac:dyDescent="0.25">
      <c r="A302" s="3">
        <v>90</v>
      </c>
      <c r="B302" s="3">
        <v>3</v>
      </c>
      <c r="C302" s="3">
        <v>5</v>
      </c>
      <c r="H302">
        <v>0</v>
      </c>
      <c r="I302">
        <v>8.5742004879577502E-5</v>
      </c>
      <c r="J302">
        <v>7.2944594572718478E-5</v>
      </c>
      <c r="L302" s="3">
        <v>90</v>
      </c>
      <c r="M302" s="3">
        <v>3</v>
      </c>
      <c r="N302" s="3">
        <v>5</v>
      </c>
      <c r="S302">
        <v>0</v>
      </c>
      <c r="T302">
        <v>-1</v>
      </c>
      <c r="U302">
        <v>-0.2000000000116415</v>
      </c>
      <c r="W302" s="3">
        <v>90</v>
      </c>
      <c r="X302" s="3">
        <v>3</v>
      </c>
      <c r="Y302" s="3">
        <v>5</v>
      </c>
      <c r="Z302">
        <v>284.72000000000003</v>
      </c>
      <c r="AA302">
        <v>1.5789999999999998E-2</v>
      </c>
      <c r="AB302">
        <v>0</v>
      </c>
      <c r="AC302">
        <v>0</v>
      </c>
      <c r="AD302">
        <v>97.3</v>
      </c>
      <c r="AE302">
        <v>1166288.5</v>
      </c>
      <c r="AF302">
        <v>274180.5</v>
      </c>
      <c r="AH302" s="3">
        <v>160</v>
      </c>
      <c r="AI302" s="3">
        <v>3</v>
      </c>
      <c r="AJ302" s="3">
        <v>14</v>
      </c>
      <c r="AO302">
        <v>86.1</v>
      </c>
      <c r="AP302">
        <v>73578.2</v>
      </c>
      <c r="AQ302">
        <v>1413.3</v>
      </c>
    </row>
    <row r="303" spans="1:43" x14ac:dyDescent="0.25">
      <c r="A303" s="3">
        <v>90</v>
      </c>
      <c r="B303" s="3">
        <v>3</v>
      </c>
      <c r="C303" s="3">
        <v>6</v>
      </c>
      <c r="H303">
        <v>0</v>
      </c>
      <c r="I303">
        <v>1.078823133348448E-4</v>
      </c>
      <c r="J303">
        <v>9.3085428217283268E-5</v>
      </c>
      <c r="L303" s="3">
        <v>90</v>
      </c>
      <c r="M303" s="3">
        <v>3</v>
      </c>
      <c r="N303" s="3">
        <v>6</v>
      </c>
      <c r="S303">
        <v>0</v>
      </c>
      <c r="T303">
        <v>-1.399999999906868</v>
      </c>
      <c r="U303">
        <v>-0.29999999998835852</v>
      </c>
      <c r="W303" s="3">
        <v>90</v>
      </c>
      <c r="X303" s="3">
        <v>3</v>
      </c>
      <c r="Y303" s="3">
        <v>6</v>
      </c>
      <c r="Z303">
        <v>307.02999999999997</v>
      </c>
      <c r="AA303">
        <v>1.5789999999999998E-2</v>
      </c>
      <c r="AB303">
        <v>0</v>
      </c>
      <c r="AC303">
        <v>0</v>
      </c>
      <c r="AD303">
        <v>99.7</v>
      </c>
      <c r="AE303">
        <v>1297709</v>
      </c>
      <c r="AF303">
        <v>322284.3</v>
      </c>
      <c r="AH303" s="3">
        <v>160</v>
      </c>
      <c r="AI303" s="3">
        <v>4</v>
      </c>
      <c r="AJ303" s="3">
        <v>1</v>
      </c>
      <c r="AK303">
        <v>85</v>
      </c>
      <c r="AL303">
        <v>1.55E-2</v>
      </c>
      <c r="AO303">
        <v>85</v>
      </c>
      <c r="AP303">
        <v>0</v>
      </c>
      <c r="AQ303">
        <v>0</v>
      </c>
    </row>
    <row r="304" spans="1:43" x14ac:dyDescent="0.25">
      <c r="A304" s="3">
        <v>90</v>
      </c>
      <c r="B304" s="3">
        <v>3</v>
      </c>
      <c r="C304" s="3">
        <v>7</v>
      </c>
      <c r="H304">
        <v>0</v>
      </c>
      <c r="I304">
        <v>1.182719850716707E-4</v>
      </c>
      <c r="J304">
        <v>1.056226919852929E-4</v>
      </c>
      <c r="L304" s="3">
        <v>90</v>
      </c>
      <c r="M304" s="3">
        <v>3</v>
      </c>
      <c r="N304" s="3">
        <v>7</v>
      </c>
      <c r="S304">
        <v>0</v>
      </c>
      <c r="T304">
        <v>-1.6999999999534341</v>
      </c>
      <c r="U304">
        <v>-0.40000000002328312</v>
      </c>
      <c r="W304" s="3">
        <v>90</v>
      </c>
      <c r="X304" s="3">
        <v>3</v>
      </c>
      <c r="Y304" s="3">
        <v>7</v>
      </c>
      <c r="Z304">
        <v>330.93</v>
      </c>
      <c r="AA304">
        <v>1.5800000000000002E-2</v>
      </c>
      <c r="AB304">
        <v>0</v>
      </c>
      <c r="AC304">
        <v>0</v>
      </c>
      <c r="AD304">
        <v>102.4</v>
      </c>
      <c r="AE304">
        <v>1437363.2</v>
      </c>
      <c r="AF304">
        <v>378706.1</v>
      </c>
      <c r="AH304" s="3">
        <v>160</v>
      </c>
      <c r="AI304" s="3">
        <v>4</v>
      </c>
      <c r="AJ304" s="3">
        <v>2</v>
      </c>
      <c r="AO304">
        <v>85</v>
      </c>
      <c r="AP304">
        <v>0</v>
      </c>
      <c r="AQ304">
        <v>0</v>
      </c>
    </row>
    <row r="305" spans="1:43" x14ac:dyDescent="0.25">
      <c r="A305" s="3">
        <v>90</v>
      </c>
      <c r="B305" s="3">
        <v>3</v>
      </c>
      <c r="C305" s="3">
        <v>8</v>
      </c>
      <c r="H305">
        <v>0</v>
      </c>
      <c r="I305">
        <v>1.005398487235418E-4</v>
      </c>
      <c r="J305">
        <v>6.7233067909512918E-5</v>
      </c>
      <c r="L305" s="3">
        <v>90</v>
      </c>
      <c r="M305" s="3">
        <v>3</v>
      </c>
      <c r="N305" s="3">
        <v>8</v>
      </c>
      <c r="S305">
        <v>0</v>
      </c>
      <c r="T305">
        <v>-1.600000000093132</v>
      </c>
      <c r="U305">
        <v>-0.29999999998835852</v>
      </c>
      <c r="W305" s="3">
        <v>90</v>
      </c>
      <c r="X305" s="3">
        <v>3</v>
      </c>
      <c r="Y305" s="3">
        <v>8</v>
      </c>
      <c r="Z305">
        <v>356.94</v>
      </c>
      <c r="AA305">
        <v>1.5810000000000001E-2</v>
      </c>
      <c r="AB305">
        <v>0</v>
      </c>
      <c r="AC305">
        <v>0</v>
      </c>
      <c r="AD305">
        <v>105.4</v>
      </c>
      <c r="AE305">
        <v>1591407.2</v>
      </c>
      <c r="AF305">
        <v>446208.7</v>
      </c>
      <c r="AH305" s="3">
        <v>160</v>
      </c>
      <c r="AI305" s="3">
        <v>5</v>
      </c>
      <c r="AJ305" s="3">
        <v>1</v>
      </c>
      <c r="AK305">
        <v>101.9</v>
      </c>
      <c r="AL305">
        <v>1.5599999999999999E-2</v>
      </c>
    </row>
    <row r="306" spans="1:43" x14ac:dyDescent="0.25">
      <c r="A306" s="3">
        <v>90</v>
      </c>
      <c r="B306" s="3">
        <v>3</v>
      </c>
      <c r="C306" s="3">
        <v>9</v>
      </c>
      <c r="H306">
        <v>0</v>
      </c>
      <c r="I306">
        <v>9.4925771636890957E-5</v>
      </c>
      <c r="J306">
        <v>1.960257734230548E-5</v>
      </c>
      <c r="L306" s="3">
        <v>90</v>
      </c>
      <c r="M306" s="3">
        <v>3</v>
      </c>
      <c r="N306" s="3">
        <v>9</v>
      </c>
      <c r="S306">
        <v>0</v>
      </c>
      <c r="T306">
        <v>-3.299999999813735</v>
      </c>
      <c r="U306">
        <v>-9.9999999976716936E-2</v>
      </c>
      <c r="W306" s="3">
        <v>90</v>
      </c>
      <c r="X306" s="3">
        <v>3</v>
      </c>
      <c r="Y306" s="3">
        <v>9</v>
      </c>
      <c r="Z306">
        <v>385.56</v>
      </c>
      <c r="AA306">
        <v>1.5810000000000001E-2</v>
      </c>
      <c r="AB306">
        <v>70</v>
      </c>
      <c r="AC306">
        <v>4.5</v>
      </c>
      <c r="AD306">
        <v>127.4</v>
      </c>
      <c r="AE306">
        <v>3476397.2</v>
      </c>
      <c r="AF306">
        <v>510136.9</v>
      </c>
      <c r="AH306" s="3">
        <v>180</v>
      </c>
      <c r="AI306" s="3">
        <v>1</v>
      </c>
      <c r="AJ306" s="3">
        <v>1</v>
      </c>
      <c r="AK306">
        <v>85</v>
      </c>
      <c r="AL306">
        <v>1.55E-2</v>
      </c>
    </row>
    <row r="307" spans="1:43" x14ac:dyDescent="0.25">
      <c r="A307" s="3">
        <v>90</v>
      </c>
      <c r="B307" s="3">
        <v>3</v>
      </c>
      <c r="C307" s="3">
        <v>10</v>
      </c>
      <c r="H307">
        <v>0</v>
      </c>
      <c r="I307">
        <v>7.0221423362503709E-5</v>
      </c>
      <c r="J307">
        <v>4.5244392097878521E-5</v>
      </c>
      <c r="L307" s="3">
        <v>90</v>
      </c>
      <c r="M307" s="3">
        <v>3</v>
      </c>
      <c r="N307" s="3">
        <v>10</v>
      </c>
      <c r="S307">
        <v>0</v>
      </c>
      <c r="T307">
        <v>-3</v>
      </c>
      <c r="U307">
        <v>-0.29999999993015081</v>
      </c>
      <c r="W307" s="3">
        <v>90</v>
      </c>
      <c r="X307" s="3">
        <v>3</v>
      </c>
      <c r="Y307" s="3">
        <v>10</v>
      </c>
      <c r="Z307">
        <v>433.79</v>
      </c>
      <c r="AA307">
        <v>1.576E-2</v>
      </c>
      <c r="AB307">
        <v>78.3</v>
      </c>
      <c r="AC307">
        <v>5.0999999999999996</v>
      </c>
      <c r="AD307">
        <v>138.69999999999999</v>
      </c>
      <c r="AE307">
        <v>4272197.5</v>
      </c>
      <c r="AF307">
        <v>663065.30000000005</v>
      </c>
      <c r="AH307" s="3">
        <v>180</v>
      </c>
      <c r="AI307" s="3">
        <v>2</v>
      </c>
      <c r="AJ307" s="3">
        <v>1</v>
      </c>
      <c r="AK307">
        <v>164.4</v>
      </c>
      <c r="AL307">
        <v>1.5699999999999999E-2</v>
      </c>
      <c r="AO307">
        <v>89.6</v>
      </c>
      <c r="AP307">
        <v>1398323.9</v>
      </c>
      <c r="AQ307">
        <v>275681.7</v>
      </c>
    </row>
    <row r="308" spans="1:43" x14ac:dyDescent="0.25">
      <c r="A308" s="3">
        <v>90</v>
      </c>
      <c r="B308" s="3">
        <v>3</v>
      </c>
      <c r="C308" s="3">
        <v>11</v>
      </c>
      <c r="H308">
        <v>0</v>
      </c>
      <c r="I308">
        <v>2.1276010498381869E-5</v>
      </c>
      <c r="J308">
        <v>7.9138448204241771E-6</v>
      </c>
      <c r="L308" s="3">
        <v>90</v>
      </c>
      <c r="M308" s="3">
        <v>3</v>
      </c>
      <c r="N308" s="3">
        <v>11</v>
      </c>
      <c r="S308">
        <v>0</v>
      </c>
      <c r="T308">
        <v>-0.70000000018626451</v>
      </c>
      <c r="U308">
        <v>-1</v>
      </c>
      <c r="W308" s="3">
        <v>90</v>
      </c>
      <c r="X308" s="3">
        <v>3</v>
      </c>
      <c r="Y308" s="3">
        <v>11</v>
      </c>
      <c r="Z308">
        <v>493.39</v>
      </c>
      <c r="AA308">
        <v>1.5709999999999998E-2</v>
      </c>
      <c r="AB308">
        <v>13411.7</v>
      </c>
      <c r="AC308">
        <v>5.0999999999999996</v>
      </c>
      <c r="AD308">
        <v>270.89999999999998</v>
      </c>
      <c r="AE308">
        <v>3290089.8</v>
      </c>
      <c r="AF308">
        <v>12636082</v>
      </c>
      <c r="AH308" s="3">
        <v>180</v>
      </c>
      <c r="AI308" s="3">
        <v>2</v>
      </c>
      <c r="AJ308" s="3">
        <v>2</v>
      </c>
      <c r="AO308">
        <v>92.7</v>
      </c>
      <c r="AP308">
        <v>2025697</v>
      </c>
      <c r="AQ308">
        <v>438104.3</v>
      </c>
    </row>
    <row r="309" spans="1:43" x14ac:dyDescent="0.25">
      <c r="A309" s="3">
        <v>90</v>
      </c>
      <c r="B309" s="3">
        <v>3</v>
      </c>
      <c r="C309" s="3">
        <v>12</v>
      </c>
      <c r="H309">
        <v>0</v>
      </c>
      <c r="I309">
        <v>6.7579850665979671E-5</v>
      </c>
      <c r="J309">
        <v>0</v>
      </c>
      <c r="L309" s="3">
        <v>90</v>
      </c>
      <c r="M309" s="3">
        <v>3</v>
      </c>
      <c r="N309" s="3">
        <v>12</v>
      </c>
      <c r="S309">
        <v>0</v>
      </c>
      <c r="T309">
        <v>0.10000000000582079</v>
      </c>
      <c r="U309">
        <v>0</v>
      </c>
      <c r="W309" s="3">
        <v>90</v>
      </c>
      <c r="X309" s="3">
        <v>3</v>
      </c>
      <c r="Y309" s="3">
        <v>12</v>
      </c>
      <c r="Z309">
        <v>93.26</v>
      </c>
      <c r="AA309">
        <v>1.566E-2</v>
      </c>
      <c r="AB309">
        <v>78.3</v>
      </c>
      <c r="AC309">
        <v>5.0999999999999996</v>
      </c>
      <c r="AD309">
        <v>86.7</v>
      </c>
      <c r="AE309">
        <v>147973.20000000001</v>
      </c>
      <c r="AF309">
        <v>5725.3</v>
      </c>
      <c r="AH309" s="3">
        <v>180</v>
      </c>
      <c r="AI309" s="3">
        <v>3</v>
      </c>
      <c r="AJ309" s="3">
        <v>1</v>
      </c>
      <c r="AK309">
        <v>241.4</v>
      </c>
      <c r="AL309">
        <v>1.5800000000000002E-2</v>
      </c>
      <c r="AO309">
        <v>97.6</v>
      </c>
      <c r="AP309">
        <v>829374.8</v>
      </c>
      <c r="AQ309">
        <v>189244.1</v>
      </c>
    </row>
    <row r="310" spans="1:43" x14ac:dyDescent="0.25">
      <c r="A310" s="3">
        <v>90</v>
      </c>
      <c r="B310" s="3">
        <v>3</v>
      </c>
      <c r="C310" s="3">
        <v>13</v>
      </c>
      <c r="H310">
        <v>0</v>
      </c>
      <c r="I310">
        <v>8.4779027695840707E-5</v>
      </c>
      <c r="J310">
        <v>0</v>
      </c>
      <c r="L310" s="3">
        <v>90</v>
      </c>
      <c r="M310" s="3">
        <v>3</v>
      </c>
      <c r="N310" s="3">
        <v>13</v>
      </c>
      <c r="S310">
        <v>0</v>
      </c>
      <c r="T310">
        <v>-9.9999999991268851E-2</v>
      </c>
      <c r="U310">
        <v>0</v>
      </c>
      <c r="W310" s="3">
        <v>90</v>
      </c>
      <c r="X310" s="3">
        <v>3</v>
      </c>
      <c r="Y310" s="3">
        <v>13</v>
      </c>
      <c r="Z310">
        <v>90.85</v>
      </c>
      <c r="AA310">
        <v>1.5610000000000001E-2</v>
      </c>
      <c r="AB310">
        <v>78.3</v>
      </c>
      <c r="AC310">
        <v>5.0999999999999996</v>
      </c>
      <c r="AD310">
        <v>86.3</v>
      </c>
      <c r="AE310">
        <v>117953.60000000001</v>
      </c>
      <c r="AF310">
        <v>3896.6</v>
      </c>
      <c r="AH310" s="3">
        <v>180</v>
      </c>
      <c r="AI310" s="3">
        <v>3</v>
      </c>
      <c r="AJ310" s="3">
        <v>2</v>
      </c>
      <c r="AO310">
        <v>99.4</v>
      </c>
      <c r="AP310">
        <v>910334.3</v>
      </c>
      <c r="AQ310">
        <v>216192.9</v>
      </c>
    </row>
    <row r="311" spans="1:43" x14ac:dyDescent="0.25">
      <c r="A311" s="3">
        <v>90</v>
      </c>
      <c r="B311" s="3">
        <v>3</v>
      </c>
      <c r="C311" s="3">
        <v>14</v>
      </c>
      <c r="H311">
        <v>0</v>
      </c>
      <c r="I311">
        <v>0</v>
      </c>
      <c r="J311">
        <v>5.1610239471581564E-3</v>
      </c>
      <c r="L311" s="3">
        <v>90</v>
      </c>
      <c r="M311" s="3">
        <v>3</v>
      </c>
      <c r="N311" s="3">
        <v>14</v>
      </c>
      <c r="S311">
        <v>0</v>
      </c>
      <c r="T311">
        <v>0</v>
      </c>
      <c r="U311">
        <v>0.1000000000001364</v>
      </c>
      <c r="W311" s="3">
        <v>90</v>
      </c>
      <c r="X311" s="3">
        <v>3</v>
      </c>
      <c r="Y311" s="3">
        <v>14</v>
      </c>
      <c r="Z311">
        <v>88.09</v>
      </c>
      <c r="AA311">
        <v>1.5559999999999999E-2</v>
      </c>
      <c r="AB311">
        <v>77.2</v>
      </c>
      <c r="AC311">
        <v>5</v>
      </c>
      <c r="AD311">
        <v>85.8</v>
      </c>
      <c r="AE311">
        <v>73053.899999999994</v>
      </c>
      <c r="AF311">
        <v>1937.7</v>
      </c>
      <c r="AH311" s="3">
        <v>180</v>
      </c>
      <c r="AI311" s="3">
        <v>3</v>
      </c>
      <c r="AJ311" s="3">
        <v>3</v>
      </c>
      <c r="AO311">
        <v>101.5</v>
      </c>
      <c r="AP311">
        <v>999713.4</v>
      </c>
      <c r="AQ311">
        <v>247810</v>
      </c>
    </row>
    <row r="312" spans="1:43" x14ac:dyDescent="0.25">
      <c r="A312" s="3">
        <v>90</v>
      </c>
      <c r="B312" s="3">
        <v>4</v>
      </c>
      <c r="C312" s="3">
        <v>1</v>
      </c>
      <c r="D312">
        <v>0</v>
      </c>
      <c r="E312">
        <v>6.451612903225544E-2</v>
      </c>
      <c r="H312">
        <v>0</v>
      </c>
      <c r="L312" s="3">
        <v>90</v>
      </c>
      <c r="M312" s="3">
        <v>4</v>
      </c>
      <c r="N312" s="3">
        <v>1</v>
      </c>
      <c r="O312">
        <v>0</v>
      </c>
      <c r="P312">
        <v>9.9999999999995925E-6</v>
      </c>
      <c r="S312">
        <v>0</v>
      </c>
      <c r="T312">
        <v>0</v>
      </c>
      <c r="U312">
        <v>0</v>
      </c>
      <c r="W312" s="3">
        <v>90</v>
      </c>
      <c r="X312" s="3">
        <v>4</v>
      </c>
      <c r="Y312" s="3">
        <v>1</v>
      </c>
      <c r="Z312">
        <v>85</v>
      </c>
      <c r="AA312">
        <v>1.5509999999999999E-2</v>
      </c>
      <c r="AB312">
        <v>0.1</v>
      </c>
      <c r="AC312">
        <v>0</v>
      </c>
      <c r="AD312">
        <v>85</v>
      </c>
      <c r="AE312">
        <v>0</v>
      </c>
      <c r="AF312">
        <v>0</v>
      </c>
      <c r="AH312" s="3">
        <v>180</v>
      </c>
      <c r="AI312" s="3">
        <v>3</v>
      </c>
      <c r="AJ312" s="3">
        <v>4</v>
      </c>
      <c r="AO312">
        <v>103.9</v>
      </c>
      <c r="AP312">
        <v>1098806.3</v>
      </c>
      <c r="AQ312">
        <v>285180.3</v>
      </c>
    </row>
    <row r="313" spans="1:43" x14ac:dyDescent="0.25">
      <c r="A313" s="3">
        <v>90</v>
      </c>
      <c r="B313" s="3">
        <v>4</v>
      </c>
      <c r="C313" s="3">
        <v>2</v>
      </c>
      <c r="H313">
        <v>0</v>
      </c>
      <c r="L313" s="3">
        <v>90</v>
      </c>
      <c r="M313" s="3">
        <v>4</v>
      </c>
      <c r="N313" s="3">
        <v>2</v>
      </c>
      <c r="S313">
        <v>0</v>
      </c>
      <c r="T313">
        <v>0</v>
      </c>
      <c r="U313">
        <v>0</v>
      </c>
      <c r="W313" s="3">
        <v>90</v>
      </c>
      <c r="X313" s="3">
        <v>4</v>
      </c>
      <c r="Y313" s="3">
        <v>2</v>
      </c>
      <c r="Z313">
        <v>85</v>
      </c>
      <c r="AA313">
        <v>1.5509999999999999E-2</v>
      </c>
      <c r="AB313">
        <v>0.1</v>
      </c>
      <c r="AC313">
        <v>0</v>
      </c>
      <c r="AD313">
        <v>85</v>
      </c>
      <c r="AE313">
        <v>0</v>
      </c>
      <c r="AF313">
        <v>0</v>
      </c>
      <c r="AH313" s="3">
        <v>180</v>
      </c>
      <c r="AI313" s="3">
        <v>3</v>
      </c>
      <c r="AJ313" s="3">
        <v>5</v>
      </c>
      <c r="AO313">
        <v>106.5</v>
      </c>
      <c r="AP313">
        <v>1207312.8999999999</v>
      </c>
      <c r="AQ313">
        <v>329703.90000000002</v>
      </c>
    </row>
    <row r="314" spans="1:43" x14ac:dyDescent="0.25">
      <c r="A314" s="3">
        <v>90</v>
      </c>
      <c r="B314" s="3">
        <v>5</v>
      </c>
      <c r="C314" s="3">
        <v>1</v>
      </c>
      <c r="D314">
        <v>2.2446689113367269E-2</v>
      </c>
      <c r="E314">
        <v>0.12903225806452209</v>
      </c>
      <c r="L314" s="3">
        <v>90</v>
      </c>
      <c r="M314" s="3">
        <v>5</v>
      </c>
      <c r="N314" s="3">
        <v>1</v>
      </c>
      <c r="O314">
        <v>2.0000000000010228E-2</v>
      </c>
      <c r="P314">
        <v>2.000000000000092E-5</v>
      </c>
      <c r="W314" s="3">
        <v>90</v>
      </c>
      <c r="X314" s="3">
        <v>5</v>
      </c>
      <c r="Y314" s="3">
        <v>1</v>
      </c>
      <c r="Z314">
        <v>89.12</v>
      </c>
      <c r="AA314">
        <v>1.5520000000000001E-2</v>
      </c>
      <c r="AH314" s="3">
        <v>180</v>
      </c>
      <c r="AI314" s="3">
        <v>3</v>
      </c>
      <c r="AJ314" s="3">
        <v>6</v>
      </c>
      <c r="AO314">
        <v>109.6</v>
      </c>
      <c r="AP314">
        <v>1327078.8</v>
      </c>
      <c r="AQ314">
        <v>383137.7</v>
      </c>
    </row>
    <row r="315" spans="1:43" x14ac:dyDescent="0.25">
      <c r="A315" s="3">
        <v>90</v>
      </c>
      <c r="B315" s="3">
        <v>5</v>
      </c>
      <c r="C315" s="3">
        <v>2</v>
      </c>
      <c r="L315" s="3">
        <v>90</v>
      </c>
      <c r="M315" s="3">
        <v>5</v>
      </c>
      <c r="N315" s="3">
        <v>2</v>
      </c>
      <c r="W315" s="3">
        <v>90</v>
      </c>
      <c r="X315" s="3">
        <v>5</v>
      </c>
      <c r="Y315" s="3">
        <v>2</v>
      </c>
      <c r="Z315">
        <v>88.65</v>
      </c>
      <c r="AA315">
        <v>1.5520000000000001E-2</v>
      </c>
      <c r="AH315" s="3">
        <v>180</v>
      </c>
      <c r="AI315" s="3">
        <v>3</v>
      </c>
      <c r="AJ315" s="3">
        <v>7</v>
      </c>
      <c r="AO315">
        <v>113.1</v>
      </c>
      <c r="AP315">
        <v>1461206.4</v>
      </c>
      <c r="AQ315">
        <v>447776.1</v>
      </c>
    </row>
    <row r="316" spans="1:43" x14ac:dyDescent="0.25">
      <c r="A316" s="3">
        <v>100</v>
      </c>
      <c r="B316" s="3">
        <v>1</v>
      </c>
      <c r="C316" s="3">
        <v>1</v>
      </c>
      <c r="D316">
        <v>1.1764705882358961E-2</v>
      </c>
      <c r="E316">
        <v>6.451612903225544E-2</v>
      </c>
      <c r="L316" s="3">
        <v>100</v>
      </c>
      <c r="M316" s="3">
        <v>1</v>
      </c>
      <c r="N316" s="3">
        <v>1</v>
      </c>
      <c r="O316">
        <v>1.0000000000005119E-2</v>
      </c>
      <c r="P316">
        <v>9.9999999999995925E-6</v>
      </c>
      <c r="W316" s="3">
        <v>100</v>
      </c>
      <c r="X316" s="3">
        <v>1</v>
      </c>
      <c r="Y316" s="3">
        <v>1</v>
      </c>
      <c r="Z316">
        <v>85.01</v>
      </c>
      <c r="AA316">
        <v>1.5509999999999999E-2</v>
      </c>
      <c r="AB316">
        <v>1</v>
      </c>
      <c r="AC316">
        <v>0</v>
      </c>
      <c r="AH316" s="3">
        <v>180</v>
      </c>
      <c r="AI316" s="3">
        <v>3</v>
      </c>
      <c r="AJ316" s="3">
        <v>8</v>
      </c>
      <c r="AO316">
        <v>117.1</v>
      </c>
      <c r="AP316">
        <v>1612278.8</v>
      </c>
      <c r="AQ316">
        <v>526762.19999999995</v>
      </c>
    </row>
    <row r="317" spans="1:43" x14ac:dyDescent="0.25">
      <c r="A317" s="3">
        <v>100</v>
      </c>
      <c r="B317" s="3">
        <v>1</v>
      </c>
      <c r="C317" s="3">
        <v>2</v>
      </c>
      <c r="L317" s="3">
        <v>100</v>
      </c>
      <c r="M317" s="3">
        <v>1</v>
      </c>
      <c r="N317" s="3">
        <v>2</v>
      </c>
      <c r="W317" s="3">
        <v>100</v>
      </c>
      <c r="X317" s="3">
        <v>1</v>
      </c>
      <c r="Y317" s="3">
        <v>2</v>
      </c>
      <c r="Z317">
        <v>85.03</v>
      </c>
      <c r="AA317">
        <v>1.5509999999999999E-2</v>
      </c>
      <c r="AB317">
        <v>1</v>
      </c>
      <c r="AC317">
        <v>0</v>
      </c>
      <c r="AH317" s="3">
        <v>180</v>
      </c>
      <c r="AI317" s="3">
        <v>3</v>
      </c>
      <c r="AJ317" s="3">
        <v>9</v>
      </c>
      <c r="AO317">
        <v>147.80000000000001</v>
      </c>
      <c r="AP317">
        <v>3427585.5</v>
      </c>
      <c r="AQ317">
        <v>596028.6</v>
      </c>
    </row>
    <row r="318" spans="1:43" x14ac:dyDescent="0.25">
      <c r="A318" s="3">
        <v>100</v>
      </c>
      <c r="B318" s="3">
        <v>1</v>
      </c>
      <c r="C318" s="3">
        <v>3</v>
      </c>
      <c r="L318" s="3">
        <v>100</v>
      </c>
      <c r="M318" s="3">
        <v>1</v>
      </c>
      <c r="N318" s="3">
        <v>3</v>
      </c>
      <c r="W318" s="3">
        <v>100</v>
      </c>
      <c r="X318" s="3">
        <v>1</v>
      </c>
      <c r="Y318" s="3">
        <v>3</v>
      </c>
      <c r="Z318">
        <v>85.04</v>
      </c>
      <c r="AA318">
        <v>1.5509999999999999E-2</v>
      </c>
      <c r="AB318">
        <v>1</v>
      </c>
      <c r="AC318">
        <v>0</v>
      </c>
      <c r="AH318" s="3">
        <v>180</v>
      </c>
      <c r="AI318" s="3">
        <v>3</v>
      </c>
      <c r="AJ318" s="3">
        <v>10</v>
      </c>
      <c r="AO318">
        <v>163.5</v>
      </c>
      <c r="AP318">
        <v>4195334.5</v>
      </c>
      <c r="AQ318">
        <v>780019.8</v>
      </c>
    </row>
    <row r="319" spans="1:43" x14ac:dyDescent="0.25">
      <c r="A319" s="3">
        <v>100</v>
      </c>
      <c r="B319" s="3">
        <v>1</v>
      </c>
      <c r="C319" s="3">
        <v>4</v>
      </c>
      <c r="L319" s="3">
        <v>100</v>
      </c>
      <c r="M319" s="3">
        <v>1</v>
      </c>
      <c r="N319" s="3">
        <v>4</v>
      </c>
      <c r="W319" s="3">
        <v>100</v>
      </c>
      <c r="X319" s="3">
        <v>1</v>
      </c>
      <c r="Y319" s="3">
        <v>4</v>
      </c>
      <c r="Z319">
        <v>85.04</v>
      </c>
      <c r="AA319">
        <v>1.5509999999999999E-2</v>
      </c>
      <c r="AB319">
        <v>1</v>
      </c>
      <c r="AC319">
        <v>0</v>
      </c>
      <c r="AH319" s="3">
        <v>180</v>
      </c>
      <c r="AI319" s="3">
        <v>3</v>
      </c>
      <c r="AJ319" s="3">
        <v>11</v>
      </c>
      <c r="AO319">
        <v>340.7</v>
      </c>
      <c r="AP319">
        <v>2717101.5</v>
      </c>
      <c r="AQ319">
        <v>12636497</v>
      </c>
    </row>
    <row r="320" spans="1:43" x14ac:dyDescent="0.25">
      <c r="A320" s="3">
        <v>100</v>
      </c>
      <c r="B320" s="3">
        <v>1</v>
      </c>
      <c r="C320" s="3">
        <v>5</v>
      </c>
      <c r="L320" s="3">
        <v>100</v>
      </c>
      <c r="M320" s="3">
        <v>1</v>
      </c>
      <c r="N320" s="3">
        <v>5</v>
      </c>
      <c r="W320" s="3">
        <v>100</v>
      </c>
      <c r="X320" s="3">
        <v>1</v>
      </c>
      <c r="Y320" s="3">
        <v>5</v>
      </c>
      <c r="Z320">
        <v>85.05</v>
      </c>
      <c r="AA320">
        <v>1.5509999999999999E-2</v>
      </c>
      <c r="AB320">
        <v>1</v>
      </c>
      <c r="AC320">
        <v>0</v>
      </c>
      <c r="AH320" s="3">
        <v>180</v>
      </c>
      <c r="AI320" s="3">
        <v>3</v>
      </c>
      <c r="AJ320" s="3">
        <v>12</v>
      </c>
      <c r="AO320">
        <v>86.7</v>
      </c>
      <c r="AP320">
        <v>68146.2</v>
      </c>
      <c r="AQ320">
        <v>4723.5</v>
      </c>
    </row>
    <row r="321" spans="1:43" x14ac:dyDescent="0.25">
      <c r="A321" s="3">
        <v>100</v>
      </c>
      <c r="B321" s="3">
        <v>1</v>
      </c>
      <c r="C321" s="3">
        <v>6</v>
      </c>
      <c r="L321" s="3">
        <v>100</v>
      </c>
      <c r="M321" s="3">
        <v>1</v>
      </c>
      <c r="N321" s="3">
        <v>6</v>
      </c>
      <c r="W321" s="3">
        <v>100</v>
      </c>
      <c r="X321" s="3">
        <v>1</v>
      </c>
      <c r="Y321" s="3">
        <v>6</v>
      </c>
      <c r="Z321">
        <v>85.06</v>
      </c>
      <c r="AA321">
        <v>1.5509999999999999E-2</v>
      </c>
      <c r="AB321">
        <v>1</v>
      </c>
      <c r="AC321">
        <v>0</v>
      </c>
      <c r="AH321" s="3">
        <v>180</v>
      </c>
      <c r="AI321" s="3">
        <v>3</v>
      </c>
      <c r="AJ321" s="3">
        <v>13</v>
      </c>
      <c r="AO321">
        <v>86.3</v>
      </c>
      <c r="AP321">
        <v>46504.3</v>
      </c>
      <c r="AQ321">
        <v>3205.9</v>
      </c>
    </row>
    <row r="322" spans="1:43" x14ac:dyDescent="0.25">
      <c r="A322" s="3">
        <v>100</v>
      </c>
      <c r="B322" s="3">
        <v>1</v>
      </c>
      <c r="C322" s="3">
        <v>7</v>
      </c>
      <c r="L322" s="3">
        <v>100</v>
      </c>
      <c r="M322" s="3">
        <v>1</v>
      </c>
      <c r="N322" s="3">
        <v>7</v>
      </c>
      <c r="W322" s="3">
        <v>100</v>
      </c>
      <c r="X322" s="3">
        <v>1</v>
      </c>
      <c r="Y322" s="3">
        <v>7</v>
      </c>
      <c r="Z322">
        <v>85.06</v>
      </c>
      <c r="AA322">
        <v>1.5509999999999999E-2</v>
      </c>
      <c r="AB322">
        <v>1</v>
      </c>
      <c r="AC322">
        <v>0</v>
      </c>
      <c r="AH322" s="3">
        <v>180</v>
      </c>
      <c r="AI322" s="3">
        <v>3</v>
      </c>
      <c r="AJ322" s="3">
        <v>14</v>
      </c>
      <c r="AO322">
        <v>86.2</v>
      </c>
      <c r="AP322">
        <v>73702.5</v>
      </c>
      <c r="AQ322">
        <v>1289</v>
      </c>
    </row>
    <row r="323" spans="1:43" x14ac:dyDescent="0.25">
      <c r="A323" s="3">
        <v>100</v>
      </c>
      <c r="B323" s="3">
        <v>1</v>
      </c>
      <c r="C323" s="3">
        <v>8</v>
      </c>
      <c r="L323" s="3">
        <v>100</v>
      </c>
      <c r="M323" s="3">
        <v>1</v>
      </c>
      <c r="N323" s="3">
        <v>8</v>
      </c>
      <c r="W323" s="3">
        <v>100</v>
      </c>
      <c r="X323" s="3">
        <v>1</v>
      </c>
      <c r="Y323" s="3">
        <v>8</v>
      </c>
      <c r="Z323">
        <v>85.06</v>
      </c>
      <c r="AA323">
        <v>1.5509999999999999E-2</v>
      </c>
      <c r="AB323">
        <v>1</v>
      </c>
      <c r="AC323">
        <v>0</v>
      </c>
      <c r="AH323" s="3">
        <v>180</v>
      </c>
      <c r="AI323" s="3">
        <v>4</v>
      </c>
      <c r="AJ323" s="3">
        <v>1</v>
      </c>
      <c r="AK323">
        <v>85</v>
      </c>
      <c r="AL323">
        <v>1.55E-2</v>
      </c>
      <c r="AO323">
        <v>85</v>
      </c>
      <c r="AP323">
        <v>0</v>
      </c>
      <c r="AQ323">
        <v>0</v>
      </c>
    </row>
    <row r="324" spans="1:43" x14ac:dyDescent="0.25">
      <c r="A324" s="3">
        <v>100</v>
      </c>
      <c r="B324" s="3">
        <v>1</v>
      </c>
      <c r="C324" s="3">
        <v>9</v>
      </c>
      <c r="L324" s="3">
        <v>100</v>
      </c>
      <c r="M324" s="3">
        <v>1</v>
      </c>
      <c r="N324" s="3">
        <v>9</v>
      </c>
      <c r="W324" s="3">
        <v>100</v>
      </c>
      <c r="X324" s="3">
        <v>1</v>
      </c>
      <c r="Y324" s="3">
        <v>9</v>
      </c>
      <c r="Z324">
        <v>85.07</v>
      </c>
      <c r="AA324">
        <v>1.5509999999999999E-2</v>
      </c>
      <c r="AB324">
        <v>1</v>
      </c>
      <c r="AC324">
        <v>0</v>
      </c>
      <c r="AH324" s="3">
        <v>180</v>
      </c>
      <c r="AI324" s="3">
        <v>4</v>
      </c>
      <c r="AJ324" s="3">
        <v>2</v>
      </c>
      <c r="AO324">
        <v>85</v>
      </c>
      <c r="AP324">
        <v>0</v>
      </c>
      <c r="AQ324">
        <v>0</v>
      </c>
    </row>
    <row r="325" spans="1:43" x14ac:dyDescent="0.25">
      <c r="A325" s="3">
        <v>100</v>
      </c>
      <c r="B325" s="3">
        <v>1</v>
      </c>
      <c r="C325" s="3">
        <v>10</v>
      </c>
      <c r="L325" s="3">
        <v>100</v>
      </c>
      <c r="M325" s="3">
        <v>1</v>
      </c>
      <c r="N325" s="3">
        <v>10</v>
      </c>
      <c r="W325" s="3">
        <v>100</v>
      </c>
      <c r="X325" s="3">
        <v>1</v>
      </c>
      <c r="Y325" s="3">
        <v>10</v>
      </c>
      <c r="Z325">
        <v>85.07</v>
      </c>
      <c r="AA325">
        <v>1.5509999999999999E-2</v>
      </c>
      <c r="AB325">
        <v>1</v>
      </c>
      <c r="AC325">
        <v>0</v>
      </c>
      <c r="AH325" s="3">
        <v>180</v>
      </c>
      <c r="AI325" s="3">
        <v>5</v>
      </c>
      <c r="AJ325" s="3">
        <v>1</v>
      </c>
      <c r="AK325">
        <v>103.9</v>
      </c>
      <c r="AL325">
        <v>1.5599999999999999E-2</v>
      </c>
    </row>
    <row r="326" spans="1:43" x14ac:dyDescent="0.25">
      <c r="A326" s="3">
        <v>100</v>
      </c>
      <c r="B326" s="3">
        <v>2</v>
      </c>
      <c r="C326" s="3">
        <v>1</v>
      </c>
      <c r="D326">
        <v>1.80505415162419E-2</v>
      </c>
      <c r="E326">
        <v>0.25641025641025711</v>
      </c>
      <c r="H326">
        <v>0</v>
      </c>
      <c r="I326">
        <v>6.2376014685510756E-5</v>
      </c>
      <c r="J326">
        <v>1.3067607883664409E-4</v>
      </c>
      <c r="L326" s="3">
        <v>100</v>
      </c>
      <c r="M326" s="3">
        <v>2</v>
      </c>
      <c r="N326" s="3">
        <v>1</v>
      </c>
      <c r="O326">
        <v>-1.9999999999996021E-2</v>
      </c>
      <c r="P326">
        <v>-4.0000000000000098E-5</v>
      </c>
      <c r="S326">
        <v>0</v>
      </c>
      <c r="T326">
        <v>0.30000000004656607</v>
      </c>
      <c r="U326">
        <v>-0.10000000000582079</v>
      </c>
      <c r="W326" s="3">
        <v>100</v>
      </c>
      <c r="X326" s="3">
        <v>2</v>
      </c>
      <c r="Y326" s="3">
        <v>1</v>
      </c>
      <c r="Z326">
        <v>110.78</v>
      </c>
      <c r="AA326">
        <v>1.5559999999999999E-2</v>
      </c>
      <c r="AB326">
        <v>0.1</v>
      </c>
      <c r="AC326">
        <v>0</v>
      </c>
      <c r="AD326">
        <v>85.8</v>
      </c>
      <c r="AE326">
        <v>480954.4</v>
      </c>
      <c r="AF326">
        <v>76525</v>
      </c>
      <c r="AH326" s="3">
        <v>200</v>
      </c>
      <c r="AI326" s="3">
        <v>1</v>
      </c>
      <c r="AJ326" s="3">
        <v>1</v>
      </c>
      <c r="AK326">
        <v>85</v>
      </c>
      <c r="AL326">
        <v>1.55E-2</v>
      </c>
    </row>
    <row r="327" spans="1:43" x14ac:dyDescent="0.25">
      <c r="A327" s="3">
        <v>100</v>
      </c>
      <c r="B327" s="3">
        <v>2</v>
      </c>
      <c r="C327" s="3">
        <v>2</v>
      </c>
      <c r="H327">
        <v>0</v>
      </c>
      <c r="I327">
        <v>8.3693186213934741E-6</v>
      </c>
      <c r="J327">
        <v>0</v>
      </c>
      <c r="L327" s="3">
        <v>100</v>
      </c>
      <c r="M327" s="3">
        <v>2</v>
      </c>
      <c r="N327" s="3">
        <v>2</v>
      </c>
      <c r="S327">
        <v>0</v>
      </c>
      <c r="T327">
        <v>0.1000000000931323</v>
      </c>
      <c r="U327">
        <v>0</v>
      </c>
      <c r="W327" s="3">
        <v>100</v>
      </c>
      <c r="X327" s="3">
        <v>2</v>
      </c>
      <c r="Y327" s="3">
        <v>2</v>
      </c>
      <c r="Z327">
        <v>148.46</v>
      </c>
      <c r="AA327">
        <v>1.5630000000000002E-2</v>
      </c>
      <c r="AB327">
        <v>0.1</v>
      </c>
      <c r="AC327">
        <v>0</v>
      </c>
      <c r="AD327">
        <v>87.4</v>
      </c>
      <c r="AE327">
        <v>1194840.5</v>
      </c>
      <c r="AF327">
        <v>210705.9</v>
      </c>
      <c r="AH327" s="3">
        <v>200</v>
      </c>
      <c r="AI327" s="3">
        <v>2</v>
      </c>
      <c r="AJ327" s="3">
        <v>1</v>
      </c>
      <c r="AK327">
        <v>170.6</v>
      </c>
      <c r="AL327">
        <v>1.5800000000000002E-2</v>
      </c>
      <c r="AO327">
        <v>90.5</v>
      </c>
      <c r="AP327">
        <v>1490216</v>
      </c>
      <c r="AQ327">
        <v>301215.59999999998</v>
      </c>
    </row>
    <row r="328" spans="1:43" x14ac:dyDescent="0.25">
      <c r="A328" s="3">
        <v>100</v>
      </c>
      <c r="B328" s="3">
        <v>3</v>
      </c>
      <c r="C328" s="3">
        <v>1</v>
      </c>
      <c r="D328">
        <v>1.9056693663645569E-2</v>
      </c>
      <c r="E328">
        <v>0.19108280254778501</v>
      </c>
      <c r="H328">
        <v>0</v>
      </c>
      <c r="I328">
        <v>4.1782014030978413E-5</v>
      </c>
      <c r="J328">
        <v>7.0966327191543632E-5</v>
      </c>
      <c r="L328" s="3">
        <v>100</v>
      </c>
      <c r="M328" s="3">
        <v>3</v>
      </c>
      <c r="N328" s="3">
        <v>1</v>
      </c>
      <c r="O328">
        <v>3.9999999999992042E-2</v>
      </c>
      <c r="P328">
        <v>3.000000000000225E-5</v>
      </c>
      <c r="S328">
        <v>0</v>
      </c>
      <c r="T328">
        <v>0.29999999993015081</v>
      </c>
      <c r="U328">
        <v>0.10000000000582079</v>
      </c>
      <c r="W328" s="3">
        <v>100</v>
      </c>
      <c r="X328" s="3">
        <v>3</v>
      </c>
      <c r="Y328" s="3">
        <v>1</v>
      </c>
      <c r="Z328">
        <v>209.94</v>
      </c>
      <c r="AA328">
        <v>1.5730000000000001E-2</v>
      </c>
      <c r="AB328">
        <v>0</v>
      </c>
      <c r="AC328">
        <v>0</v>
      </c>
      <c r="AD328">
        <v>91</v>
      </c>
      <c r="AE328">
        <v>718012.6</v>
      </c>
      <c r="AF328">
        <v>140912</v>
      </c>
      <c r="AH328" s="3">
        <v>200</v>
      </c>
      <c r="AI328" s="3">
        <v>2</v>
      </c>
      <c r="AJ328" s="3">
        <v>2</v>
      </c>
      <c r="AO328">
        <v>93.7</v>
      </c>
      <c r="AP328">
        <v>2072264.5</v>
      </c>
      <c r="AQ328">
        <v>457812.9</v>
      </c>
    </row>
    <row r="329" spans="1:43" x14ac:dyDescent="0.25">
      <c r="A329" s="3">
        <v>100</v>
      </c>
      <c r="B329" s="3">
        <v>3</v>
      </c>
      <c r="C329" s="3">
        <v>2</v>
      </c>
      <c r="H329">
        <v>0</v>
      </c>
      <c r="I329">
        <v>1.198654438194464E-5</v>
      </c>
      <c r="J329">
        <v>0</v>
      </c>
      <c r="L329" s="3">
        <v>100</v>
      </c>
      <c r="M329" s="3">
        <v>3</v>
      </c>
      <c r="N329" s="3">
        <v>2</v>
      </c>
      <c r="S329">
        <v>0</v>
      </c>
      <c r="T329">
        <v>9.9999999976716936E-2</v>
      </c>
      <c r="U329">
        <v>0</v>
      </c>
      <c r="W329" s="3">
        <v>100</v>
      </c>
      <c r="X329" s="3">
        <v>3</v>
      </c>
      <c r="Y329" s="3">
        <v>2</v>
      </c>
      <c r="Z329">
        <v>230.09</v>
      </c>
      <c r="AA329">
        <v>1.576E-2</v>
      </c>
      <c r="AB329">
        <v>0</v>
      </c>
      <c r="AC329">
        <v>0</v>
      </c>
      <c r="AD329">
        <v>92.6</v>
      </c>
      <c r="AE329">
        <v>834268.9</v>
      </c>
      <c r="AF329">
        <v>172825.2</v>
      </c>
      <c r="AH329" s="3">
        <v>200</v>
      </c>
      <c r="AI329" s="3">
        <v>3</v>
      </c>
      <c r="AJ329" s="3">
        <v>1</v>
      </c>
      <c r="AK329">
        <v>244.8</v>
      </c>
      <c r="AL329">
        <v>1.5800000000000002E-2</v>
      </c>
      <c r="AO329">
        <v>98.8</v>
      </c>
      <c r="AP329">
        <v>836994.1</v>
      </c>
      <c r="AQ329">
        <v>194337.6</v>
      </c>
    </row>
    <row r="330" spans="1:43" x14ac:dyDescent="0.25">
      <c r="A330" s="3">
        <v>100</v>
      </c>
      <c r="B330" s="3">
        <v>3</v>
      </c>
      <c r="C330" s="3">
        <v>3</v>
      </c>
      <c r="H330">
        <v>0</v>
      </c>
      <c r="I330">
        <v>1.056210242589653E-5</v>
      </c>
      <c r="J330">
        <v>0</v>
      </c>
      <c r="L330" s="3">
        <v>100</v>
      </c>
      <c r="M330" s="3">
        <v>3</v>
      </c>
      <c r="N330" s="3">
        <v>3</v>
      </c>
      <c r="S330">
        <v>0</v>
      </c>
      <c r="T330">
        <v>0.1000000000931323</v>
      </c>
      <c r="U330">
        <v>0</v>
      </c>
      <c r="W330" s="3">
        <v>100</v>
      </c>
      <c r="X330" s="3">
        <v>3</v>
      </c>
      <c r="Y330" s="3">
        <v>3</v>
      </c>
      <c r="Z330">
        <v>249.63</v>
      </c>
      <c r="AA330">
        <v>1.5769999999999999E-2</v>
      </c>
      <c r="AB330">
        <v>0</v>
      </c>
      <c r="AC330">
        <v>0</v>
      </c>
      <c r="AD330">
        <v>94.4</v>
      </c>
      <c r="AE330">
        <v>946781.3</v>
      </c>
      <c r="AF330">
        <v>206404.6</v>
      </c>
      <c r="AH330" s="3">
        <v>200</v>
      </c>
      <c r="AI330" s="3">
        <v>3</v>
      </c>
      <c r="AJ330" s="3">
        <v>2</v>
      </c>
      <c r="AO330">
        <v>100.8</v>
      </c>
      <c r="AP330">
        <v>917629.1</v>
      </c>
      <c r="AQ330">
        <v>221779.3</v>
      </c>
    </row>
    <row r="331" spans="1:43" x14ac:dyDescent="0.25">
      <c r="A331" s="3">
        <v>100</v>
      </c>
      <c r="B331" s="3">
        <v>3</v>
      </c>
      <c r="C331" s="3">
        <v>4</v>
      </c>
      <c r="H331">
        <v>0</v>
      </c>
      <c r="I331">
        <v>9.4345808610217605E-6</v>
      </c>
      <c r="J331">
        <v>4.1168985088477061E-5</v>
      </c>
      <c r="L331" s="3">
        <v>100</v>
      </c>
      <c r="M331" s="3">
        <v>3</v>
      </c>
      <c r="N331" s="3">
        <v>4</v>
      </c>
      <c r="S331">
        <v>0</v>
      </c>
      <c r="T331">
        <v>-0.1000000000931323</v>
      </c>
      <c r="U331">
        <v>-9.9999999976716936E-2</v>
      </c>
      <c r="W331" s="3">
        <v>100</v>
      </c>
      <c r="X331" s="3">
        <v>3</v>
      </c>
      <c r="Y331" s="3">
        <v>4</v>
      </c>
      <c r="Z331">
        <v>269.26</v>
      </c>
      <c r="AA331">
        <v>1.5789999999999998E-2</v>
      </c>
      <c r="AB331">
        <v>0</v>
      </c>
      <c r="AC331">
        <v>0</v>
      </c>
      <c r="AD331">
        <v>96.4</v>
      </c>
      <c r="AE331">
        <v>1059930.3999999999</v>
      </c>
      <c r="AF331">
        <v>242901.2</v>
      </c>
      <c r="AH331" s="3">
        <v>200</v>
      </c>
      <c r="AI331" s="3">
        <v>3</v>
      </c>
      <c r="AJ331" s="3">
        <v>3</v>
      </c>
      <c r="AO331">
        <v>102.9</v>
      </c>
      <c r="AP331">
        <v>1006678.9</v>
      </c>
      <c r="AQ331">
        <v>253986.3</v>
      </c>
    </row>
    <row r="332" spans="1:43" x14ac:dyDescent="0.25">
      <c r="A332" s="3">
        <v>100</v>
      </c>
      <c r="B332" s="3">
        <v>3</v>
      </c>
      <c r="C332" s="3">
        <v>5</v>
      </c>
      <c r="H332">
        <v>0</v>
      </c>
      <c r="I332">
        <v>1.6971455619977358E-5</v>
      </c>
      <c r="J332">
        <v>7.0401860866084234E-5</v>
      </c>
      <c r="L332" s="3">
        <v>100</v>
      </c>
      <c r="M332" s="3">
        <v>3</v>
      </c>
      <c r="N332" s="3">
        <v>5</v>
      </c>
      <c r="S332">
        <v>0</v>
      </c>
      <c r="T332">
        <v>-0.1999999999534339</v>
      </c>
      <c r="U332">
        <v>-0.2000000000116415</v>
      </c>
      <c r="W332" s="3">
        <v>100</v>
      </c>
      <c r="X332" s="3">
        <v>3</v>
      </c>
      <c r="Y332" s="3">
        <v>5</v>
      </c>
      <c r="Z332">
        <v>289.7</v>
      </c>
      <c r="AA332">
        <v>1.5789999999999998E-2</v>
      </c>
      <c r="AB332">
        <v>0</v>
      </c>
      <c r="AC332">
        <v>0</v>
      </c>
      <c r="AD332">
        <v>98.6</v>
      </c>
      <c r="AE332">
        <v>1178449.1000000001</v>
      </c>
      <c r="AF332">
        <v>284083.20000000001</v>
      </c>
      <c r="AH332" s="3">
        <v>200</v>
      </c>
      <c r="AI332" s="3">
        <v>3</v>
      </c>
      <c r="AJ332" s="3">
        <v>4</v>
      </c>
      <c r="AO332">
        <v>105.4</v>
      </c>
      <c r="AP332">
        <v>1105383.3</v>
      </c>
      <c r="AQ332">
        <v>292048.3</v>
      </c>
    </row>
    <row r="333" spans="1:43" x14ac:dyDescent="0.25">
      <c r="A333" s="3">
        <v>100</v>
      </c>
      <c r="B333" s="3">
        <v>3</v>
      </c>
      <c r="C333" s="3">
        <v>6</v>
      </c>
      <c r="H333">
        <v>0</v>
      </c>
      <c r="I333">
        <v>3.0659272460589638E-5</v>
      </c>
      <c r="J333">
        <v>9.0366426820622474E-5</v>
      </c>
      <c r="L333" s="3">
        <v>100</v>
      </c>
      <c r="M333" s="3">
        <v>3</v>
      </c>
      <c r="N333" s="3">
        <v>6</v>
      </c>
      <c r="S333">
        <v>0</v>
      </c>
      <c r="T333">
        <v>-0.39999999990686769</v>
      </c>
      <c r="U333">
        <v>-0.29999999998835852</v>
      </c>
      <c r="W333" s="3">
        <v>100</v>
      </c>
      <c r="X333" s="3">
        <v>3</v>
      </c>
      <c r="Y333" s="3">
        <v>6</v>
      </c>
      <c r="Z333">
        <v>311.56</v>
      </c>
      <c r="AA333">
        <v>1.5800000000000002E-2</v>
      </c>
      <c r="AB333">
        <v>0</v>
      </c>
      <c r="AC333">
        <v>0</v>
      </c>
      <c r="AD333">
        <v>101</v>
      </c>
      <c r="AE333">
        <v>1304662</v>
      </c>
      <c r="AF333">
        <v>331981.40000000002</v>
      </c>
      <c r="AH333" s="3">
        <v>200</v>
      </c>
      <c r="AI333" s="3">
        <v>3</v>
      </c>
      <c r="AJ333" s="3">
        <v>5</v>
      </c>
      <c r="AO333">
        <v>108.2</v>
      </c>
      <c r="AP333">
        <v>1212882.8</v>
      </c>
      <c r="AQ333">
        <v>337393.5</v>
      </c>
    </row>
    <row r="334" spans="1:43" x14ac:dyDescent="0.25">
      <c r="A334" s="3">
        <v>100</v>
      </c>
      <c r="B334" s="3">
        <v>3</v>
      </c>
      <c r="C334" s="3">
        <v>7</v>
      </c>
      <c r="H334">
        <v>0</v>
      </c>
      <c r="I334">
        <v>0</v>
      </c>
      <c r="J334">
        <v>0</v>
      </c>
      <c r="L334" s="3">
        <v>100</v>
      </c>
      <c r="M334" s="3">
        <v>3</v>
      </c>
      <c r="N334" s="3">
        <v>7</v>
      </c>
      <c r="S334">
        <v>0</v>
      </c>
      <c r="T334">
        <v>0</v>
      </c>
      <c r="U334">
        <v>0</v>
      </c>
      <c r="W334" s="3">
        <v>100</v>
      </c>
      <c r="X334" s="3">
        <v>3</v>
      </c>
      <c r="Y334" s="3">
        <v>7</v>
      </c>
      <c r="Z334">
        <v>335.31</v>
      </c>
      <c r="AA334">
        <v>1.5810000000000001E-2</v>
      </c>
      <c r="AB334">
        <v>0</v>
      </c>
      <c r="AC334">
        <v>0</v>
      </c>
      <c r="AD334">
        <v>103.8</v>
      </c>
      <c r="AE334">
        <v>1441623.1</v>
      </c>
      <c r="AF334">
        <v>388893.3</v>
      </c>
      <c r="AH334" s="3">
        <v>200</v>
      </c>
      <c r="AI334" s="3">
        <v>3</v>
      </c>
      <c r="AJ334" s="3">
        <v>6</v>
      </c>
      <c r="AO334">
        <v>111.4</v>
      </c>
      <c r="AP334">
        <v>1332059</v>
      </c>
      <c r="AQ334">
        <v>391788.4</v>
      </c>
    </row>
    <row r="335" spans="1:43" x14ac:dyDescent="0.25">
      <c r="A335" s="3">
        <v>100</v>
      </c>
      <c r="B335" s="3">
        <v>3</v>
      </c>
      <c r="C335" s="3">
        <v>8</v>
      </c>
      <c r="H335">
        <v>0</v>
      </c>
      <c r="I335">
        <v>3.1362937939520223E-5</v>
      </c>
      <c r="J335">
        <v>2.1853070451441731E-5</v>
      </c>
      <c r="L335" s="3">
        <v>100</v>
      </c>
      <c r="M335" s="3">
        <v>3</v>
      </c>
      <c r="N335" s="3">
        <v>8</v>
      </c>
      <c r="S335">
        <v>0</v>
      </c>
      <c r="T335">
        <v>0.5</v>
      </c>
      <c r="U335">
        <v>0.1000000000349246</v>
      </c>
      <c r="W335" s="3">
        <v>100</v>
      </c>
      <c r="X335" s="3">
        <v>3</v>
      </c>
      <c r="Y335" s="3">
        <v>8</v>
      </c>
      <c r="Z335">
        <v>361.38</v>
      </c>
      <c r="AA335">
        <v>1.5810000000000001E-2</v>
      </c>
      <c r="AB335">
        <v>0</v>
      </c>
      <c r="AC335">
        <v>0</v>
      </c>
      <c r="AD335">
        <v>107</v>
      </c>
      <c r="AE335">
        <v>1594238.9</v>
      </c>
      <c r="AF335">
        <v>457601.7</v>
      </c>
      <c r="AH335" s="3">
        <v>200</v>
      </c>
      <c r="AI335" s="3">
        <v>3</v>
      </c>
      <c r="AJ335" s="3">
        <v>7</v>
      </c>
      <c r="AO335">
        <v>115</v>
      </c>
      <c r="AP335">
        <v>1465536.8</v>
      </c>
      <c r="AQ335">
        <v>457601.8</v>
      </c>
    </row>
    <row r="336" spans="1:43" x14ac:dyDescent="0.25">
      <c r="A336" s="3">
        <v>100</v>
      </c>
      <c r="B336" s="3">
        <v>3</v>
      </c>
      <c r="C336" s="3">
        <v>9</v>
      </c>
      <c r="H336">
        <v>0</v>
      </c>
      <c r="I336">
        <v>7.2056610670898061E-5</v>
      </c>
      <c r="J336">
        <v>1.9148280653845731E-5</v>
      </c>
      <c r="L336" s="3">
        <v>100</v>
      </c>
      <c r="M336" s="3">
        <v>3</v>
      </c>
      <c r="N336" s="3">
        <v>9</v>
      </c>
      <c r="S336">
        <v>0</v>
      </c>
      <c r="T336">
        <v>2.5</v>
      </c>
      <c r="U336">
        <v>0.1000000000349246</v>
      </c>
      <c r="W336" s="3">
        <v>100</v>
      </c>
      <c r="X336" s="3">
        <v>3</v>
      </c>
      <c r="Y336" s="3">
        <v>9</v>
      </c>
      <c r="Z336">
        <v>390.25</v>
      </c>
      <c r="AA336">
        <v>1.5810000000000001E-2</v>
      </c>
      <c r="AB336">
        <v>67.7</v>
      </c>
      <c r="AC336">
        <v>4.5</v>
      </c>
      <c r="AD336">
        <v>130.1</v>
      </c>
      <c r="AE336">
        <v>3469496.8</v>
      </c>
      <c r="AF336">
        <v>522240.2</v>
      </c>
      <c r="AH336" s="3">
        <v>200</v>
      </c>
      <c r="AI336" s="3">
        <v>3</v>
      </c>
      <c r="AJ336" s="3">
        <v>8</v>
      </c>
      <c r="AO336">
        <v>119.2</v>
      </c>
      <c r="AP336">
        <v>1615913.6</v>
      </c>
      <c r="AQ336">
        <v>538057.6</v>
      </c>
    </row>
    <row r="337" spans="1:43" x14ac:dyDescent="0.25">
      <c r="A337" s="3">
        <v>100</v>
      </c>
      <c r="B337" s="3">
        <v>3</v>
      </c>
      <c r="C337" s="3">
        <v>10</v>
      </c>
      <c r="H337">
        <v>0</v>
      </c>
      <c r="I337">
        <v>1.1733383270612529E-5</v>
      </c>
      <c r="J337">
        <v>2.9423170521668281E-5</v>
      </c>
      <c r="L337" s="3">
        <v>100</v>
      </c>
      <c r="M337" s="3">
        <v>3</v>
      </c>
      <c r="N337" s="3">
        <v>10</v>
      </c>
      <c r="S337">
        <v>0</v>
      </c>
      <c r="T337">
        <v>0.5</v>
      </c>
      <c r="U337">
        <v>-0.20000000006984919</v>
      </c>
      <c r="W337" s="3">
        <v>100</v>
      </c>
      <c r="X337" s="3">
        <v>3</v>
      </c>
      <c r="Y337" s="3">
        <v>10</v>
      </c>
      <c r="Z337">
        <v>439.19</v>
      </c>
      <c r="AA337">
        <v>1.5769999999999999E-2</v>
      </c>
      <c r="AB337">
        <v>75.7</v>
      </c>
      <c r="AC337">
        <v>5.0999999999999996</v>
      </c>
      <c r="AD337">
        <v>141.9</v>
      </c>
      <c r="AE337">
        <v>4261346</v>
      </c>
      <c r="AF337">
        <v>679736.2</v>
      </c>
      <c r="AH337" s="3">
        <v>200</v>
      </c>
      <c r="AI337" s="3">
        <v>3</v>
      </c>
      <c r="AJ337" s="3">
        <v>9</v>
      </c>
      <c r="AO337">
        <v>151.5</v>
      </c>
      <c r="AP337">
        <v>3417345.5</v>
      </c>
      <c r="AQ337">
        <v>607296.80000000005</v>
      </c>
    </row>
    <row r="338" spans="1:43" x14ac:dyDescent="0.25">
      <c r="A338" s="3">
        <v>100</v>
      </c>
      <c r="B338" s="3">
        <v>3</v>
      </c>
      <c r="C338" s="3">
        <v>11</v>
      </c>
      <c r="H338">
        <v>0</v>
      </c>
      <c r="I338">
        <v>4.666664800000747E-5</v>
      </c>
      <c r="J338">
        <v>0</v>
      </c>
      <c r="L338" s="3">
        <v>100</v>
      </c>
      <c r="M338" s="3">
        <v>3</v>
      </c>
      <c r="N338" s="3">
        <v>11</v>
      </c>
      <c r="S338">
        <v>0</v>
      </c>
      <c r="T338">
        <v>1.5</v>
      </c>
      <c r="U338">
        <v>0</v>
      </c>
      <c r="W338" s="3">
        <v>100</v>
      </c>
      <c r="X338" s="3">
        <v>3</v>
      </c>
      <c r="Y338" s="3">
        <v>11</v>
      </c>
      <c r="Z338">
        <v>499.7</v>
      </c>
      <c r="AA338">
        <v>1.5720000000000001E-2</v>
      </c>
      <c r="AB338">
        <v>13409.1</v>
      </c>
      <c r="AC338">
        <v>5.0999999999999996</v>
      </c>
      <c r="AD338">
        <v>280.3</v>
      </c>
      <c r="AE338">
        <v>3214288.5</v>
      </c>
      <c r="AF338">
        <v>12640511</v>
      </c>
      <c r="AH338" s="3">
        <v>200</v>
      </c>
      <c r="AI338" s="3">
        <v>3</v>
      </c>
      <c r="AJ338" s="3">
        <v>10</v>
      </c>
      <c r="AO338">
        <v>168</v>
      </c>
      <c r="AP338">
        <v>4180761.5</v>
      </c>
      <c r="AQ338">
        <v>794593.1</v>
      </c>
    </row>
    <row r="339" spans="1:43" x14ac:dyDescent="0.25">
      <c r="A339" s="3">
        <v>100</v>
      </c>
      <c r="B339" s="3">
        <v>3</v>
      </c>
      <c r="C339" s="3">
        <v>12</v>
      </c>
      <c r="H339">
        <v>0</v>
      </c>
      <c r="I339">
        <v>6.7485809425352111E-5</v>
      </c>
      <c r="J339">
        <v>0</v>
      </c>
      <c r="L339" s="3">
        <v>100</v>
      </c>
      <c r="M339" s="3">
        <v>3</v>
      </c>
      <c r="N339" s="3">
        <v>12</v>
      </c>
      <c r="S339">
        <v>0</v>
      </c>
      <c r="T339">
        <v>0.10000000000582079</v>
      </c>
      <c r="U339">
        <v>0</v>
      </c>
      <c r="W339" s="3">
        <v>100</v>
      </c>
      <c r="X339" s="3">
        <v>3</v>
      </c>
      <c r="Y339" s="3">
        <v>12</v>
      </c>
      <c r="Z339">
        <v>93.13</v>
      </c>
      <c r="AA339">
        <v>1.567E-2</v>
      </c>
      <c r="AB339">
        <v>75.7</v>
      </c>
      <c r="AC339">
        <v>5.0999999999999996</v>
      </c>
      <c r="AD339">
        <v>86.8</v>
      </c>
      <c r="AE339">
        <v>148179.4</v>
      </c>
      <c r="AF339">
        <v>5519.1</v>
      </c>
      <c r="AH339" s="3">
        <v>200</v>
      </c>
      <c r="AI339" s="3">
        <v>3</v>
      </c>
      <c r="AJ339" s="3">
        <v>11</v>
      </c>
      <c r="AO339">
        <v>352.9</v>
      </c>
      <c r="AP339">
        <v>2605024.5</v>
      </c>
      <c r="AQ339">
        <v>12621773</v>
      </c>
    </row>
    <row r="340" spans="1:43" x14ac:dyDescent="0.25">
      <c r="A340" s="3">
        <v>100</v>
      </c>
      <c r="B340" s="3">
        <v>3</v>
      </c>
      <c r="C340" s="3">
        <v>13</v>
      </c>
      <c r="H340">
        <v>0</v>
      </c>
      <c r="I340">
        <v>1.693365394360159E-4</v>
      </c>
      <c r="J340">
        <v>0</v>
      </c>
      <c r="L340" s="3">
        <v>100</v>
      </c>
      <c r="M340" s="3">
        <v>3</v>
      </c>
      <c r="N340" s="3">
        <v>13</v>
      </c>
      <c r="S340">
        <v>0</v>
      </c>
      <c r="T340">
        <v>-0.19999999999708959</v>
      </c>
      <c r="U340">
        <v>0</v>
      </c>
      <c r="W340" s="3">
        <v>100</v>
      </c>
      <c r="X340" s="3">
        <v>3</v>
      </c>
      <c r="Y340" s="3">
        <v>13</v>
      </c>
      <c r="Z340">
        <v>90.75</v>
      </c>
      <c r="AA340">
        <v>1.5610000000000001E-2</v>
      </c>
      <c r="AB340">
        <v>75.7</v>
      </c>
      <c r="AC340">
        <v>5.0999999999999996</v>
      </c>
      <c r="AD340">
        <v>86.4</v>
      </c>
      <c r="AE340">
        <v>118107.8</v>
      </c>
      <c r="AF340">
        <v>3742.3</v>
      </c>
      <c r="AH340" s="3">
        <v>200</v>
      </c>
      <c r="AI340" s="3">
        <v>3</v>
      </c>
      <c r="AJ340" s="3">
        <v>12</v>
      </c>
      <c r="AO340">
        <v>86.7</v>
      </c>
      <c r="AP340">
        <v>65119.4</v>
      </c>
      <c r="AQ340">
        <v>4541.3</v>
      </c>
    </row>
    <row r="341" spans="1:43" x14ac:dyDescent="0.25">
      <c r="A341" s="3">
        <v>100</v>
      </c>
      <c r="B341" s="3">
        <v>3</v>
      </c>
      <c r="C341" s="3">
        <v>14</v>
      </c>
      <c r="H341">
        <v>0</v>
      </c>
      <c r="I341">
        <v>1.3672016527529389E-4</v>
      </c>
      <c r="J341">
        <v>5.4071590786151751E-3</v>
      </c>
      <c r="L341" s="3">
        <v>100</v>
      </c>
      <c r="M341" s="3">
        <v>3</v>
      </c>
      <c r="N341" s="3">
        <v>14</v>
      </c>
      <c r="S341">
        <v>0</v>
      </c>
      <c r="T341">
        <v>-0.10000000000582079</v>
      </c>
      <c r="U341">
        <v>9.9999999999909051E-2</v>
      </c>
      <c r="W341" s="3">
        <v>100</v>
      </c>
      <c r="X341" s="3">
        <v>3</v>
      </c>
      <c r="Y341" s="3">
        <v>14</v>
      </c>
      <c r="Z341">
        <v>88.04</v>
      </c>
      <c r="AA341">
        <v>1.5559999999999999E-2</v>
      </c>
      <c r="AB341">
        <v>74.599999999999994</v>
      </c>
      <c r="AC341">
        <v>5</v>
      </c>
      <c r="AD341">
        <v>85.9</v>
      </c>
      <c r="AE341">
        <v>73142</v>
      </c>
      <c r="AF341">
        <v>1849.5</v>
      </c>
      <c r="AH341" s="3">
        <v>200</v>
      </c>
      <c r="AI341" s="3">
        <v>3</v>
      </c>
      <c r="AJ341" s="3">
        <v>13</v>
      </c>
      <c r="AO341">
        <v>86.3</v>
      </c>
      <c r="AP341">
        <v>44637.1</v>
      </c>
      <c r="AQ341">
        <v>3096.3</v>
      </c>
    </row>
    <row r="342" spans="1:43" x14ac:dyDescent="0.25">
      <c r="A342" s="3">
        <v>100</v>
      </c>
      <c r="B342" s="3">
        <v>4</v>
      </c>
      <c r="C342" s="3">
        <v>1</v>
      </c>
      <c r="D342">
        <v>0</v>
      </c>
      <c r="E342">
        <v>6.451612903225544E-2</v>
      </c>
      <c r="H342">
        <v>0</v>
      </c>
      <c r="L342" s="3">
        <v>100</v>
      </c>
      <c r="M342" s="3">
        <v>4</v>
      </c>
      <c r="N342" s="3">
        <v>1</v>
      </c>
      <c r="O342">
        <v>0</v>
      </c>
      <c r="P342">
        <v>9.9999999999995925E-6</v>
      </c>
      <c r="S342">
        <v>0</v>
      </c>
      <c r="T342">
        <v>0</v>
      </c>
      <c r="U342">
        <v>0</v>
      </c>
      <c r="W342" s="3">
        <v>100</v>
      </c>
      <c r="X342" s="3">
        <v>4</v>
      </c>
      <c r="Y342" s="3">
        <v>1</v>
      </c>
      <c r="Z342">
        <v>85</v>
      </c>
      <c r="AA342">
        <v>1.5509999999999999E-2</v>
      </c>
      <c r="AB342">
        <v>0.1</v>
      </c>
      <c r="AC342">
        <v>0</v>
      </c>
      <c r="AD342">
        <v>85</v>
      </c>
      <c r="AE342">
        <v>0</v>
      </c>
      <c r="AF342">
        <v>0</v>
      </c>
      <c r="AH342" s="3">
        <v>200</v>
      </c>
      <c r="AI342" s="3">
        <v>3</v>
      </c>
      <c r="AJ342" s="3">
        <v>14</v>
      </c>
      <c r="AO342">
        <v>86.3</v>
      </c>
      <c r="AP342">
        <v>73818.600000000006</v>
      </c>
      <c r="AQ342">
        <v>1173</v>
      </c>
    </row>
    <row r="343" spans="1:43" x14ac:dyDescent="0.25">
      <c r="A343" s="3">
        <v>100</v>
      </c>
      <c r="B343" s="3">
        <v>4</v>
      </c>
      <c r="C343" s="3">
        <v>2</v>
      </c>
      <c r="H343">
        <v>0</v>
      </c>
      <c r="L343" s="3">
        <v>100</v>
      </c>
      <c r="M343" s="3">
        <v>4</v>
      </c>
      <c r="N343" s="3">
        <v>2</v>
      </c>
      <c r="S343">
        <v>0</v>
      </c>
      <c r="T343">
        <v>0</v>
      </c>
      <c r="U343">
        <v>0</v>
      </c>
      <c r="W343" s="3">
        <v>100</v>
      </c>
      <c r="X343" s="3">
        <v>4</v>
      </c>
      <c r="Y343" s="3">
        <v>2</v>
      </c>
      <c r="Z343">
        <v>85</v>
      </c>
      <c r="AA343">
        <v>1.5509999999999999E-2</v>
      </c>
      <c r="AB343">
        <v>0.1</v>
      </c>
      <c r="AC343">
        <v>0</v>
      </c>
      <c r="AD343">
        <v>85</v>
      </c>
      <c r="AE343">
        <v>0</v>
      </c>
      <c r="AF343">
        <v>0</v>
      </c>
      <c r="AH343" s="3">
        <v>200</v>
      </c>
      <c r="AI343" s="3">
        <v>4</v>
      </c>
      <c r="AJ343" s="3">
        <v>1</v>
      </c>
      <c r="AK343">
        <v>85</v>
      </c>
      <c r="AL343">
        <v>1.55E-2</v>
      </c>
      <c r="AO343">
        <v>85</v>
      </c>
      <c r="AP343">
        <v>0</v>
      </c>
      <c r="AQ343">
        <v>0</v>
      </c>
    </row>
    <row r="344" spans="1:43" x14ac:dyDescent="0.25">
      <c r="A344" s="3">
        <v>100</v>
      </c>
      <c r="B344" s="3">
        <v>5</v>
      </c>
      <c r="C344" s="3">
        <v>1</v>
      </c>
      <c r="D344">
        <v>4.390779363336119E-2</v>
      </c>
      <c r="E344">
        <v>0.12903225806452209</v>
      </c>
      <c r="L344" s="3">
        <v>100</v>
      </c>
      <c r="M344" s="3">
        <v>5</v>
      </c>
      <c r="N344" s="3">
        <v>1</v>
      </c>
      <c r="O344">
        <v>-3.9999999999992042E-2</v>
      </c>
      <c r="P344">
        <v>2.000000000000092E-5</v>
      </c>
      <c r="W344" s="3">
        <v>100</v>
      </c>
      <c r="X344" s="3">
        <v>5</v>
      </c>
      <c r="Y344" s="3">
        <v>1</v>
      </c>
      <c r="Z344">
        <v>91.06</v>
      </c>
      <c r="AA344">
        <v>1.5520000000000001E-2</v>
      </c>
      <c r="AH344" s="3">
        <v>200</v>
      </c>
      <c r="AI344" s="3">
        <v>4</v>
      </c>
      <c r="AJ344" s="3">
        <v>2</v>
      </c>
      <c r="AO344">
        <v>85</v>
      </c>
      <c r="AP344">
        <v>0</v>
      </c>
      <c r="AQ344">
        <v>0</v>
      </c>
    </row>
    <row r="345" spans="1:43" x14ac:dyDescent="0.25">
      <c r="A345" s="3">
        <v>100</v>
      </c>
      <c r="B345" s="3">
        <v>5</v>
      </c>
      <c r="C345" s="3">
        <v>2</v>
      </c>
      <c r="L345" s="3">
        <v>100</v>
      </c>
      <c r="M345" s="3">
        <v>5</v>
      </c>
      <c r="N345" s="3">
        <v>2</v>
      </c>
      <c r="W345" s="3">
        <v>100</v>
      </c>
      <c r="X345" s="3">
        <v>5</v>
      </c>
      <c r="Y345" s="3">
        <v>2</v>
      </c>
      <c r="Z345">
        <v>90.49</v>
      </c>
      <c r="AA345">
        <v>1.5520000000000001E-2</v>
      </c>
      <c r="AH345" s="3">
        <v>200</v>
      </c>
      <c r="AI345" s="3">
        <v>5</v>
      </c>
      <c r="AJ345" s="3">
        <v>1</v>
      </c>
      <c r="AK345">
        <v>105.3</v>
      </c>
      <c r="AL345">
        <v>1.5599999999999999E-2</v>
      </c>
    </row>
    <row r="346" spans="1:43" x14ac:dyDescent="0.25">
      <c r="A346" s="3">
        <v>120</v>
      </c>
      <c r="B346" s="3">
        <v>1</v>
      </c>
      <c r="C346" s="3">
        <v>1</v>
      </c>
      <c r="D346">
        <v>1.1764705882358961E-2</v>
      </c>
      <c r="E346">
        <v>6.451612903225544E-2</v>
      </c>
      <c r="L346" s="3">
        <v>120</v>
      </c>
      <c r="M346" s="3">
        <v>1</v>
      </c>
      <c r="N346" s="3">
        <v>1</v>
      </c>
      <c r="O346">
        <v>1.0000000000005119E-2</v>
      </c>
      <c r="P346">
        <v>9.9999999999995925E-6</v>
      </c>
      <c r="W346" s="3">
        <v>120</v>
      </c>
      <c r="X346" s="3">
        <v>1</v>
      </c>
      <c r="Y346" s="3">
        <v>1</v>
      </c>
      <c r="Z346">
        <v>85.01</v>
      </c>
      <c r="AA346">
        <v>1.5509999999999999E-2</v>
      </c>
      <c r="AB346">
        <v>1</v>
      </c>
      <c r="AC346">
        <v>0</v>
      </c>
      <c r="AH346" s="3">
        <v>220</v>
      </c>
      <c r="AI346" s="3">
        <v>1</v>
      </c>
      <c r="AJ346" s="3">
        <v>1</v>
      </c>
      <c r="AK346">
        <v>85</v>
      </c>
      <c r="AL346">
        <v>1.55E-2</v>
      </c>
    </row>
    <row r="347" spans="1:43" x14ac:dyDescent="0.25">
      <c r="A347" s="3">
        <v>120</v>
      </c>
      <c r="B347" s="3">
        <v>1</v>
      </c>
      <c r="C347" s="3">
        <v>2</v>
      </c>
      <c r="L347" s="3">
        <v>120</v>
      </c>
      <c r="M347" s="3">
        <v>1</v>
      </c>
      <c r="N347" s="3">
        <v>2</v>
      </c>
      <c r="W347" s="3">
        <v>120</v>
      </c>
      <c r="X347" s="3">
        <v>1</v>
      </c>
      <c r="Y347" s="3">
        <v>2</v>
      </c>
      <c r="Z347">
        <v>85.03</v>
      </c>
      <c r="AA347">
        <v>1.5509999999999999E-2</v>
      </c>
      <c r="AB347">
        <v>1</v>
      </c>
      <c r="AC347">
        <v>0</v>
      </c>
      <c r="AH347" s="3">
        <v>220</v>
      </c>
      <c r="AI347" s="3">
        <v>2</v>
      </c>
      <c r="AJ347" s="3">
        <v>1</v>
      </c>
      <c r="AK347">
        <v>175</v>
      </c>
      <c r="AL347">
        <v>1.5800000000000002E-2</v>
      </c>
      <c r="AO347">
        <v>91.3</v>
      </c>
      <c r="AP347">
        <v>1552394</v>
      </c>
      <c r="AQ347">
        <v>319679.5</v>
      </c>
    </row>
    <row r="348" spans="1:43" x14ac:dyDescent="0.25">
      <c r="A348" s="3">
        <v>120</v>
      </c>
      <c r="B348" s="3">
        <v>1</v>
      </c>
      <c r="C348" s="3">
        <v>3</v>
      </c>
      <c r="L348" s="3">
        <v>120</v>
      </c>
      <c r="M348" s="3">
        <v>1</v>
      </c>
      <c r="N348" s="3">
        <v>3</v>
      </c>
      <c r="W348" s="3">
        <v>120</v>
      </c>
      <c r="X348" s="3">
        <v>1</v>
      </c>
      <c r="Y348" s="3">
        <v>3</v>
      </c>
      <c r="Z348">
        <v>85.04</v>
      </c>
      <c r="AA348">
        <v>1.5509999999999999E-2</v>
      </c>
      <c r="AB348">
        <v>1</v>
      </c>
      <c r="AC348">
        <v>0</v>
      </c>
      <c r="AH348" s="3">
        <v>220</v>
      </c>
      <c r="AI348" s="3">
        <v>2</v>
      </c>
      <c r="AJ348" s="3">
        <v>2</v>
      </c>
      <c r="AO348">
        <v>94.7</v>
      </c>
      <c r="AP348">
        <v>2105249.7999999998</v>
      </c>
      <c r="AQ348">
        <v>472961.9</v>
      </c>
    </row>
    <row r="349" spans="1:43" x14ac:dyDescent="0.25">
      <c r="A349" s="3">
        <v>120</v>
      </c>
      <c r="B349" s="3">
        <v>1</v>
      </c>
      <c r="C349" s="3">
        <v>4</v>
      </c>
      <c r="L349" s="3">
        <v>120</v>
      </c>
      <c r="M349" s="3">
        <v>1</v>
      </c>
      <c r="N349" s="3">
        <v>4</v>
      </c>
      <c r="W349" s="3">
        <v>120</v>
      </c>
      <c r="X349" s="3">
        <v>1</v>
      </c>
      <c r="Y349" s="3">
        <v>4</v>
      </c>
      <c r="Z349">
        <v>85.04</v>
      </c>
      <c r="AA349">
        <v>1.5509999999999999E-2</v>
      </c>
      <c r="AB349">
        <v>1</v>
      </c>
      <c r="AC349">
        <v>0</v>
      </c>
      <c r="AH349" s="3">
        <v>220</v>
      </c>
      <c r="AI349" s="3">
        <v>3</v>
      </c>
      <c r="AJ349" s="3">
        <v>1</v>
      </c>
      <c r="AK349">
        <v>247.8</v>
      </c>
      <c r="AL349">
        <v>1.5800000000000002E-2</v>
      </c>
      <c r="AO349">
        <v>100</v>
      </c>
      <c r="AP349">
        <v>843731.4</v>
      </c>
      <c r="AQ349">
        <v>198778.9</v>
      </c>
    </row>
    <row r="350" spans="1:43" x14ac:dyDescent="0.25">
      <c r="A350" s="3">
        <v>120</v>
      </c>
      <c r="B350" s="3">
        <v>1</v>
      </c>
      <c r="C350" s="3">
        <v>5</v>
      </c>
      <c r="L350" s="3">
        <v>120</v>
      </c>
      <c r="M350" s="3">
        <v>1</v>
      </c>
      <c r="N350" s="3">
        <v>5</v>
      </c>
      <c r="W350" s="3">
        <v>120</v>
      </c>
      <c r="X350" s="3">
        <v>1</v>
      </c>
      <c r="Y350" s="3">
        <v>5</v>
      </c>
      <c r="Z350">
        <v>85.05</v>
      </c>
      <c r="AA350">
        <v>1.5509999999999999E-2</v>
      </c>
      <c r="AB350">
        <v>1</v>
      </c>
      <c r="AC350">
        <v>0</v>
      </c>
      <c r="AH350" s="3">
        <v>220</v>
      </c>
      <c r="AI350" s="3">
        <v>3</v>
      </c>
      <c r="AJ350" s="3">
        <v>2</v>
      </c>
      <c r="AO350">
        <v>102</v>
      </c>
      <c r="AP350">
        <v>924018.9</v>
      </c>
      <c r="AQ350">
        <v>226622.9</v>
      </c>
    </row>
    <row r="351" spans="1:43" x14ac:dyDescent="0.25">
      <c r="A351" s="3">
        <v>120</v>
      </c>
      <c r="B351" s="3">
        <v>1</v>
      </c>
      <c r="C351" s="3">
        <v>6</v>
      </c>
      <c r="L351" s="3">
        <v>120</v>
      </c>
      <c r="M351" s="3">
        <v>1</v>
      </c>
      <c r="N351" s="3">
        <v>6</v>
      </c>
      <c r="W351" s="3">
        <v>120</v>
      </c>
      <c r="X351" s="3">
        <v>1</v>
      </c>
      <c r="Y351" s="3">
        <v>6</v>
      </c>
      <c r="Z351">
        <v>85.06</v>
      </c>
      <c r="AA351">
        <v>1.5509999999999999E-2</v>
      </c>
      <c r="AB351">
        <v>1</v>
      </c>
      <c r="AC351">
        <v>0</v>
      </c>
      <c r="AH351" s="3">
        <v>220</v>
      </c>
      <c r="AI351" s="3">
        <v>3</v>
      </c>
      <c r="AJ351" s="3">
        <v>3</v>
      </c>
      <c r="AO351">
        <v>104.3</v>
      </c>
      <c r="AP351">
        <v>1012671.4</v>
      </c>
      <c r="AQ351">
        <v>259297.1</v>
      </c>
    </row>
    <row r="352" spans="1:43" x14ac:dyDescent="0.25">
      <c r="A352" s="3">
        <v>120</v>
      </c>
      <c r="B352" s="3">
        <v>1</v>
      </c>
      <c r="C352" s="3">
        <v>7</v>
      </c>
      <c r="L352" s="3">
        <v>120</v>
      </c>
      <c r="M352" s="3">
        <v>1</v>
      </c>
      <c r="N352" s="3">
        <v>7</v>
      </c>
      <c r="W352" s="3">
        <v>120</v>
      </c>
      <c r="X352" s="3">
        <v>1</v>
      </c>
      <c r="Y352" s="3">
        <v>7</v>
      </c>
      <c r="Z352">
        <v>85.06</v>
      </c>
      <c r="AA352">
        <v>1.5509999999999999E-2</v>
      </c>
      <c r="AB352">
        <v>1</v>
      </c>
      <c r="AC352">
        <v>0</v>
      </c>
      <c r="AH352" s="3">
        <v>220</v>
      </c>
      <c r="AI352" s="3">
        <v>3</v>
      </c>
      <c r="AJ352" s="3">
        <v>4</v>
      </c>
      <c r="AO352">
        <v>106.9</v>
      </c>
      <c r="AP352">
        <v>1110927.1000000001</v>
      </c>
      <c r="AQ352">
        <v>297909</v>
      </c>
    </row>
    <row r="353" spans="1:43" x14ac:dyDescent="0.25">
      <c r="A353" s="3">
        <v>120</v>
      </c>
      <c r="B353" s="3">
        <v>1</v>
      </c>
      <c r="C353" s="3">
        <v>8</v>
      </c>
      <c r="L353" s="3">
        <v>120</v>
      </c>
      <c r="M353" s="3">
        <v>1</v>
      </c>
      <c r="N353" s="3">
        <v>8</v>
      </c>
      <c r="W353" s="3">
        <v>120</v>
      </c>
      <c r="X353" s="3">
        <v>1</v>
      </c>
      <c r="Y353" s="3">
        <v>8</v>
      </c>
      <c r="Z353">
        <v>85.07</v>
      </c>
      <c r="AA353">
        <v>1.5509999999999999E-2</v>
      </c>
      <c r="AB353">
        <v>1</v>
      </c>
      <c r="AC353">
        <v>0</v>
      </c>
      <c r="AH353" s="3">
        <v>220</v>
      </c>
      <c r="AI353" s="3">
        <v>3</v>
      </c>
      <c r="AJ353" s="3">
        <v>5</v>
      </c>
      <c r="AO353">
        <v>109.8</v>
      </c>
      <c r="AP353">
        <v>1217482.3999999999</v>
      </c>
      <c r="AQ353">
        <v>343921.2</v>
      </c>
    </row>
    <row r="354" spans="1:43" x14ac:dyDescent="0.25">
      <c r="A354" s="3">
        <v>120</v>
      </c>
      <c r="B354" s="3">
        <v>1</v>
      </c>
      <c r="C354" s="3">
        <v>9</v>
      </c>
      <c r="L354" s="3">
        <v>120</v>
      </c>
      <c r="M354" s="3">
        <v>1</v>
      </c>
      <c r="N354" s="3">
        <v>9</v>
      </c>
      <c r="W354" s="3">
        <v>120</v>
      </c>
      <c r="X354" s="3">
        <v>1</v>
      </c>
      <c r="Y354" s="3">
        <v>9</v>
      </c>
      <c r="Z354">
        <v>85.07</v>
      </c>
      <c r="AA354">
        <v>1.5509999999999999E-2</v>
      </c>
      <c r="AB354">
        <v>1</v>
      </c>
      <c r="AC354">
        <v>0</v>
      </c>
      <c r="AH354" s="3">
        <v>220</v>
      </c>
      <c r="AI354" s="3">
        <v>3</v>
      </c>
      <c r="AJ354" s="3">
        <v>6</v>
      </c>
      <c r="AO354">
        <v>113.1</v>
      </c>
      <c r="AP354">
        <v>1336100.8</v>
      </c>
      <c r="AQ354">
        <v>399113.3</v>
      </c>
    </row>
    <row r="355" spans="1:43" x14ac:dyDescent="0.25">
      <c r="A355" s="3">
        <v>120</v>
      </c>
      <c r="B355" s="3">
        <v>1</v>
      </c>
      <c r="C355" s="3">
        <v>10</v>
      </c>
      <c r="L355" s="3">
        <v>120</v>
      </c>
      <c r="M355" s="3">
        <v>1</v>
      </c>
      <c r="N355" s="3">
        <v>10</v>
      </c>
      <c r="W355" s="3">
        <v>120</v>
      </c>
      <c r="X355" s="3">
        <v>1</v>
      </c>
      <c r="Y355" s="3">
        <v>10</v>
      </c>
      <c r="Z355">
        <v>85.07</v>
      </c>
      <c r="AA355">
        <v>1.5509999999999999E-2</v>
      </c>
      <c r="AB355">
        <v>1</v>
      </c>
      <c r="AC355">
        <v>0</v>
      </c>
      <c r="AH355" s="3">
        <v>220</v>
      </c>
      <c r="AI355" s="3">
        <v>3</v>
      </c>
      <c r="AJ355" s="3">
        <v>7</v>
      </c>
      <c r="AO355">
        <v>116.9</v>
      </c>
      <c r="AP355">
        <v>1468999.9</v>
      </c>
      <c r="AQ355">
        <v>465921.3</v>
      </c>
    </row>
    <row r="356" spans="1:43" x14ac:dyDescent="0.25">
      <c r="A356" s="3">
        <v>120</v>
      </c>
      <c r="B356" s="3">
        <v>2</v>
      </c>
      <c r="C356" s="3">
        <v>1</v>
      </c>
      <c r="D356">
        <v>2.3419203747073489E-2</v>
      </c>
      <c r="E356">
        <v>0</v>
      </c>
      <c r="H356">
        <v>0</v>
      </c>
      <c r="I356">
        <v>2.397775571012311E-4</v>
      </c>
      <c r="J356">
        <v>1.476903082013473E-4</v>
      </c>
      <c r="L356" s="3">
        <v>120</v>
      </c>
      <c r="M356" s="3">
        <v>2</v>
      </c>
      <c r="N356" s="3">
        <v>1</v>
      </c>
      <c r="O356">
        <v>3.000000000000114E-2</v>
      </c>
      <c r="P356">
        <v>0</v>
      </c>
      <c r="S356">
        <v>0</v>
      </c>
      <c r="T356">
        <v>1.9000000000232831</v>
      </c>
      <c r="U356">
        <v>0.2000000000116415</v>
      </c>
      <c r="W356" s="3">
        <v>120</v>
      </c>
      <c r="X356" s="3">
        <v>2</v>
      </c>
      <c r="Y356" s="3">
        <v>1</v>
      </c>
      <c r="Z356">
        <v>128.13</v>
      </c>
      <c r="AA356">
        <v>1.5599999999999999E-2</v>
      </c>
      <c r="AB356">
        <v>0.1</v>
      </c>
      <c r="AC356">
        <v>0</v>
      </c>
      <c r="AD356">
        <v>86.7</v>
      </c>
      <c r="AE356">
        <v>792403</v>
      </c>
      <c r="AF356">
        <v>135418.70000000001</v>
      </c>
      <c r="AH356" s="3">
        <v>220</v>
      </c>
      <c r="AI356" s="3">
        <v>3</v>
      </c>
      <c r="AJ356" s="3">
        <v>8</v>
      </c>
      <c r="AO356">
        <v>121.3</v>
      </c>
      <c r="AP356">
        <v>1618782.5</v>
      </c>
      <c r="AQ356">
        <v>547640.1</v>
      </c>
    </row>
    <row r="357" spans="1:43" x14ac:dyDescent="0.25">
      <c r="A357" s="3">
        <v>120</v>
      </c>
      <c r="B357" s="3">
        <v>2</v>
      </c>
      <c r="C357" s="3">
        <v>2</v>
      </c>
      <c r="H357">
        <v>0</v>
      </c>
      <c r="I357">
        <v>2.337883866284564E-4</v>
      </c>
      <c r="J357">
        <v>3.3020431733864763E-5</v>
      </c>
      <c r="L357" s="3">
        <v>120</v>
      </c>
      <c r="M357" s="3">
        <v>2</v>
      </c>
      <c r="N357" s="3">
        <v>2</v>
      </c>
      <c r="S357">
        <v>0</v>
      </c>
      <c r="T357">
        <v>3.6999999999534339</v>
      </c>
      <c r="U357">
        <v>0.1000000000349246</v>
      </c>
      <c r="W357" s="3">
        <v>120</v>
      </c>
      <c r="X357" s="3">
        <v>2</v>
      </c>
      <c r="Y357" s="3">
        <v>2</v>
      </c>
      <c r="Z357">
        <v>170.47</v>
      </c>
      <c r="AA357">
        <v>1.5679999999999999E-2</v>
      </c>
      <c r="AB357">
        <v>0.1</v>
      </c>
      <c r="AC357">
        <v>0</v>
      </c>
      <c r="AD357">
        <v>88.9</v>
      </c>
      <c r="AE357">
        <v>1582631.5</v>
      </c>
      <c r="AF357">
        <v>302842.90000000002</v>
      </c>
      <c r="AH357" s="3">
        <v>220</v>
      </c>
      <c r="AI357" s="3">
        <v>3</v>
      </c>
      <c r="AJ357" s="3">
        <v>9</v>
      </c>
      <c r="AO357">
        <v>155</v>
      </c>
      <c r="AP357">
        <v>3407962.8</v>
      </c>
      <c r="AQ357">
        <v>616679.30000000005</v>
      </c>
    </row>
    <row r="358" spans="1:43" x14ac:dyDescent="0.25">
      <c r="A358" s="3">
        <v>120</v>
      </c>
      <c r="B358" s="3">
        <v>3</v>
      </c>
      <c r="C358" s="3">
        <v>1</v>
      </c>
      <c r="D358">
        <v>2.2241992882554691E-2</v>
      </c>
      <c r="E358">
        <v>0.18987341772153321</v>
      </c>
      <c r="H358">
        <v>0</v>
      </c>
      <c r="I358">
        <v>1.0191942300486371E-4</v>
      </c>
      <c r="J358">
        <v>0</v>
      </c>
      <c r="L358" s="3">
        <v>120</v>
      </c>
      <c r="M358" s="3">
        <v>3</v>
      </c>
      <c r="N358" s="3">
        <v>1</v>
      </c>
      <c r="O358">
        <v>4.9999999999982947E-2</v>
      </c>
      <c r="P358">
        <v>-3.000000000000225E-5</v>
      </c>
      <c r="S358">
        <v>0</v>
      </c>
      <c r="T358">
        <v>0.79999999993015081</v>
      </c>
      <c r="U358">
        <v>0</v>
      </c>
      <c r="W358" s="3">
        <v>120</v>
      </c>
      <c r="X358" s="3">
        <v>3</v>
      </c>
      <c r="Y358" s="3">
        <v>1</v>
      </c>
      <c r="Z358">
        <v>224.85</v>
      </c>
      <c r="AA358">
        <v>1.5769999999999999E-2</v>
      </c>
      <c r="AB358">
        <v>0</v>
      </c>
      <c r="AC358">
        <v>0</v>
      </c>
      <c r="AD358">
        <v>93</v>
      </c>
      <c r="AE358">
        <v>784934.6</v>
      </c>
      <c r="AF358">
        <v>164049.5</v>
      </c>
      <c r="AH358" s="3">
        <v>220</v>
      </c>
      <c r="AI358" s="3">
        <v>3</v>
      </c>
      <c r="AJ358" s="3">
        <v>10</v>
      </c>
      <c r="AO358">
        <v>172.3</v>
      </c>
      <c r="AP358">
        <v>4168857</v>
      </c>
      <c r="AQ358">
        <v>806497.4</v>
      </c>
    </row>
    <row r="359" spans="1:43" x14ac:dyDescent="0.25">
      <c r="A359" s="3">
        <v>120</v>
      </c>
      <c r="B359" s="3">
        <v>3</v>
      </c>
      <c r="C359" s="3">
        <v>2</v>
      </c>
      <c r="H359">
        <v>0</v>
      </c>
      <c r="I359">
        <v>7.9752575617387392E-5</v>
      </c>
      <c r="J359">
        <v>0</v>
      </c>
      <c r="L359" s="3">
        <v>120</v>
      </c>
      <c r="M359" s="3">
        <v>3</v>
      </c>
      <c r="N359" s="3">
        <v>2</v>
      </c>
      <c r="S359">
        <v>0</v>
      </c>
      <c r="T359">
        <v>0.70000000006984919</v>
      </c>
      <c r="U359">
        <v>0</v>
      </c>
      <c r="W359" s="3">
        <v>120</v>
      </c>
      <c r="X359" s="3">
        <v>3</v>
      </c>
      <c r="Y359" s="3">
        <v>2</v>
      </c>
      <c r="Z359">
        <v>241.55</v>
      </c>
      <c r="AA359">
        <v>1.5789999999999998E-2</v>
      </c>
      <c r="AB359">
        <v>0</v>
      </c>
      <c r="AC359">
        <v>0</v>
      </c>
      <c r="AD359">
        <v>94.7</v>
      </c>
      <c r="AE359">
        <v>877715.3</v>
      </c>
      <c r="AF359">
        <v>191720</v>
      </c>
      <c r="AH359" s="3">
        <v>220</v>
      </c>
      <c r="AI359" s="3">
        <v>3</v>
      </c>
      <c r="AJ359" s="3">
        <v>11</v>
      </c>
      <c r="AO359">
        <v>364.3</v>
      </c>
      <c r="AP359">
        <v>2496942</v>
      </c>
      <c r="AQ359">
        <v>12603889</v>
      </c>
    </row>
    <row r="360" spans="1:43" x14ac:dyDescent="0.25">
      <c r="A360" s="3">
        <v>120</v>
      </c>
      <c r="B360" s="3">
        <v>3</v>
      </c>
      <c r="C360" s="3">
        <v>3</v>
      </c>
      <c r="H360">
        <v>0</v>
      </c>
      <c r="I360">
        <v>1.1294098320020499E-4</v>
      </c>
      <c r="J360">
        <v>4.4954205153829143E-5</v>
      </c>
      <c r="L360" s="3">
        <v>120</v>
      </c>
      <c r="M360" s="3">
        <v>3</v>
      </c>
      <c r="N360" s="3">
        <v>3</v>
      </c>
      <c r="S360">
        <v>0</v>
      </c>
      <c r="T360">
        <v>1.0999999999767169</v>
      </c>
      <c r="U360">
        <v>-0.10000000000582079</v>
      </c>
      <c r="W360" s="3">
        <v>120</v>
      </c>
      <c r="X360" s="3">
        <v>3</v>
      </c>
      <c r="Y360" s="3">
        <v>3</v>
      </c>
      <c r="Z360">
        <v>258.83999999999997</v>
      </c>
      <c r="AA360">
        <v>1.5800000000000002E-2</v>
      </c>
      <c r="AB360">
        <v>0</v>
      </c>
      <c r="AC360">
        <v>0</v>
      </c>
      <c r="AD360">
        <v>96.5</v>
      </c>
      <c r="AE360">
        <v>973961.1</v>
      </c>
      <c r="AF360">
        <v>222448.5</v>
      </c>
      <c r="AH360" s="3">
        <v>220</v>
      </c>
      <c r="AI360" s="3">
        <v>3</v>
      </c>
      <c r="AJ360" s="3">
        <v>12</v>
      </c>
      <c r="AO360">
        <v>86.7</v>
      </c>
      <c r="AP360">
        <v>62431.8</v>
      </c>
      <c r="AQ360">
        <v>4373.8999999999996</v>
      </c>
    </row>
    <row r="361" spans="1:43" x14ac:dyDescent="0.25">
      <c r="A361" s="3">
        <v>120</v>
      </c>
      <c r="B361" s="3">
        <v>3</v>
      </c>
      <c r="C361" s="3">
        <v>4</v>
      </c>
      <c r="H361">
        <v>0</v>
      </c>
      <c r="I361">
        <v>1.671523215287951E-4</v>
      </c>
      <c r="J361">
        <v>0</v>
      </c>
      <c r="L361" s="3">
        <v>120</v>
      </c>
      <c r="M361" s="3">
        <v>3</v>
      </c>
      <c r="N361" s="3">
        <v>4</v>
      </c>
      <c r="S361">
        <v>0</v>
      </c>
      <c r="T361">
        <v>1.799999999813735</v>
      </c>
      <c r="U361">
        <v>0</v>
      </c>
      <c r="W361" s="3">
        <v>120</v>
      </c>
      <c r="X361" s="3">
        <v>3</v>
      </c>
      <c r="Y361" s="3">
        <v>4</v>
      </c>
      <c r="Z361">
        <v>277.22000000000003</v>
      </c>
      <c r="AA361">
        <v>1.5800000000000002E-2</v>
      </c>
      <c r="AB361">
        <v>0</v>
      </c>
      <c r="AC361">
        <v>0</v>
      </c>
      <c r="AD361">
        <v>98.6</v>
      </c>
      <c r="AE361">
        <v>1076863.8999999999</v>
      </c>
      <c r="AF361">
        <v>257594.2</v>
      </c>
      <c r="AH361" s="3">
        <v>220</v>
      </c>
      <c r="AI361" s="3">
        <v>3</v>
      </c>
      <c r="AJ361" s="3">
        <v>13</v>
      </c>
      <c r="AO361">
        <v>86.3</v>
      </c>
      <c r="AP361">
        <v>42933.9</v>
      </c>
      <c r="AQ361">
        <v>2992.1</v>
      </c>
    </row>
    <row r="362" spans="1:43" x14ac:dyDescent="0.25">
      <c r="A362" s="3">
        <v>120</v>
      </c>
      <c r="B362" s="3">
        <v>3</v>
      </c>
      <c r="C362" s="3">
        <v>5</v>
      </c>
      <c r="H362">
        <v>0</v>
      </c>
      <c r="I362">
        <v>1.2612924564704849E-4</v>
      </c>
      <c r="J362">
        <v>3.3478215904002088E-5</v>
      </c>
      <c r="L362" s="3">
        <v>120</v>
      </c>
      <c r="M362" s="3">
        <v>3</v>
      </c>
      <c r="N362" s="3">
        <v>5</v>
      </c>
      <c r="S362">
        <v>0</v>
      </c>
      <c r="T362">
        <v>1.5</v>
      </c>
      <c r="U362">
        <v>-0.1000000000349246</v>
      </c>
      <c r="W362" s="3">
        <v>120</v>
      </c>
      <c r="X362" s="3">
        <v>3</v>
      </c>
      <c r="Y362" s="3">
        <v>5</v>
      </c>
      <c r="Z362">
        <v>297.10000000000002</v>
      </c>
      <c r="AA362">
        <v>1.5810000000000001E-2</v>
      </c>
      <c r="AB362">
        <v>0</v>
      </c>
      <c r="AC362">
        <v>0</v>
      </c>
      <c r="AD362">
        <v>100.9</v>
      </c>
      <c r="AE362">
        <v>1189257.8</v>
      </c>
      <c r="AF362">
        <v>298701.59999999998</v>
      </c>
      <c r="AH362" s="3">
        <v>220</v>
      </c>
      <c r="AI362" s="3">
        <v>3</v>
      </c>
      <c r="AJ362" s="3">
        <v>14</v>
      </c>
      <c r="AO362">
        <v>86.3</v>
      </c>
      <c r="AP362">
        <v>73926.7</v>
      </c>
      <c r="AQ362">
        <v>1064.8</v>
      </c>
    </row>
    <row r="363" spans="1:43" x14ac:dyDescent="0.25">
      <c r="A363" s="3">
        <v>120</v>
      </c>
      <c r="B363" s="3">
        <v>3</v>
      </c>
      <c r="C363" s="3">
        <v>6</v>
      </c>
      <c r="H363">
        <v>0</v>
      </c>
      <c r="I363">
        <v>1.5256915006015039E-4</v>
      </c>
      <c r="J363">
        <v>5.7534320663981027E-5</v>
      </c>
      <c r="L363" s="3">
        <v>120</v>
      </c>
      <c r="M363" s="3">
        <v>3</v>
      </c>
      <c r="N363" s="3">
        <v>6</v>
      </c>
      <c r="S363">
        <v>0</v>
      </c>
      <c r="T363">
        <v>2</v>
      </c>
      <c r="U363">
        <v>0.2000000000116415</v>
      </c>
      <c r="W363" s="3">
        <v>120</v>
      </c>
      <c r="X363" s="3">
        <v>3</v>
      </c>
      <c r="Y363" s="3">
        <v>6</v>
      </c>
      <c r="Z363">
        <v>318.86</v>
      </c>
      <c r="AA363">
        <v>1.5810000000000001E-2</v>
      </c>
      <c r="AB363">
        <v>0</v>
      </c>
      <c r="AC363">
        <v>0</v>
      </c>
      <c r="AD363">
        <v>103.4</v>
      </c>
      <c r="AE363">
        <v>1310883</v>
      </c>
      <c r="AF363">
        <v>347618.8</v>
      </c>
      <c r="AH363" s="3">
        <v>220</v>
      </c>
      <c r="AI363" s="3">
        <v>4</v>
      </c>
      <c r="AJ363" s="3">
        <v>1</v>
      </c>
      <c r="AK363">
        <v>85</v>
      </c>
      <c r="AL363">
        <v>1.55E-2</v>
      </c>
      <c r="AO363">
        <v>85</v>
      </c>
      <c r="AP363">
        <v>0</v>
      </c>
      <c r="AQ363">
        <v>0</v>
      </c>
    </row>
    <row r="364" spans="1:43" x14ac:dyDescent="0.25">
      <c r="A364" s="3">
        <v>120</v>
      </c>
      <c r="B364" s="3">
        <v>3</v>
      </c>
      <c r="C364" s="3">
        <v>7</v>
      </c>
      <c r="H364">
        <v>0</v>
      </c>
      <c r="I364">
        <v>1.2447338251137679E-4</v>
      </c>
      <c r="J364">
        <v>0</v>
      </c>
      <c r="L364" s="3">
        <v>120</v>
      </c>
      <c r="M364" s="3">
        <v>3</v>
      </c>
      <c r="N364" s="3">
        <v>7</v>
      </c>
      <c r="S364">
        <v>0</v>
      </c>
      <c r="T364">
        <v>1.8000000000465659</v>
      </c>
      <c r="U364">
        <v>0</v>
      </c>
      <c r="W364" s="3">
        <v>120</v>
      </c>
      <c r="X364" s="3">
        <v>3</v>
      </c>
      <c r="Y364" s="3">
        <v>7</v>
      </c>
      <c r="Z364">
        <v>342.82</v>
      </c>
      <c r="AA364">
        <v>1.5820000000000001E-2</v>
      </c>
      <c r="AB364">
        <v>0</v>
      </c>
      <c r="AC364">
        <v>0</v>
      </c>
      <c r="AD364">
        <v>106.4</v>
      </c>
      <c r="AE364">
        <v>1446094.1</v>
      </c>
      <c r="AF364">
        <v>406537.7</v>
      </c>
      <c r="AH364" s="3">
        <v>220</v>
      </c>
      <c r="AI364" s="3">
        <v>4</v>
      </c>
      <c r="AJ364" s="3">
        <v>2</v>
      </c>
      <c r="AO364">
        <v>85</v>
      </c>
      <c r="AP364">
        <v>0</v>
      </c>
      <c r="AQ364">
        <v>0</v>
      </c>
    </row>
    <row r="365" spans="1:43" x14ac:dyDescent="0.25">
      <c r="A365" s="3">
        <v>120</v>
      </c>
      <c r="B365" s="3">
        <v>3</v>
      </c>
      <c r="C365" s="3">
        <v>8</v>
      </c>
      <c r="H365">
        <v>0</v>
      </c>
      <c r="I365">
        <v>1.126269164593956E-4</v>
      </c>
      <c r="J365">
        <v>2.090557515663334E-5</v>
      </c>
      <c r="L365" s="3">
        <v>120</v>
      </c>
      <c r="M365" s="3">
        <v>3</v>
      </c>
      <c r="N365" s="3">
        <v>8</v>
      </c>
      <c r="S365">
        <v>0</v>
      </c>
      <c r="T365">
        <v>1.8000000000465659</v>
      </c>
      <c r="U365">
        <v>-9.9999999976716936E-2</v>
      </c>
      <c r="W365" s="3">
        <v>120</v>
      </c>
      <c r="X365" s="3">
        <v>3</v>
      </c>
      <c r="Y365" s="3">
        <v>8</v>
      </c>
      <c r="Z365">
        <v>369.34</v>
      </c>
      <c r="AA365">
        <v>1.5820000000000001E-2</v>
      </c>
      <c r="AB365">
        <v>0</v>
      </c>
      <c r="AC365">
        <v>0</v>
      </c>
      <c r="AD365">
        <v>109.8</v>
      </c>
      <c r="AE365">
        <v>1598198.8</v>
      </c>
      <c r="AF365">
        <v>478341.2</v>
      </c>
      <c r="AH365" s="3">
        <v>220</v>
      </c>
      <c r="AI365" s="3">
        <v>5</v>
      </c>
      <c r="AJ365" s="3">
        <v>1</v>
      </c>
      <c r="AK365">
        <v>106.3</v>
      </c>
      <c r="AL365">
        <v>1.5599999999999999E-2</v>
      </c>
    </row>
    <row r="366" spans="1:43" x14ac:dyDescent="0.25">
      <c r="A366" s="3">
        <v>120</v>
      </c>
      <c r="B366" s="3">
        <v>3</v>
      </c>
      <c r="C366" s="3">
        <v>9</v>
      </c>
      <c r="H366">
        <v>0</v>
      </c>
      <c r="I366">
        <v>2.892120158337795E-5</v>
      </c>
      <c r="J366">
        <v>1.1011166423443159E-4</v>
      </c>
      <c r="L366" s="3">
        <v>120</v>
      </c>
      <c r="M366" s="3">
        <v>3</v>
      </c>
      <c r="N366" s="3">
        <v>9</v>
      </c>
      <c r="S366">
        <v>0</v>
      </c>
      <c r="T366">
        <v>1</v>
      </c>
      <c r="U366">
        <v>-0.59999999997671694</v>
      </c>
      <c r="W366" s="3">
        <v>120</v>
      </c>
      <c r="X366" s="3">
        <v>3</v>
      </c>
      <c r="Y366" s="3">
        <v>9</v>
      </c>
      <c r="Z366">
        <v>398.86</v>
      </c>
      <c r="AA366">
        <v>1.5820000000000001E-2</v>
      </c>
      <c r="AB366">
        <v>63.6</v>
      </c>
      <c r="AC366">
        <v>4.5</v>
      </c>
      <c r="AD366">
        <v>135.1</v>
      </c>
      <c r="AE366">
        <v>3457672</v>
      </c>
      <c r="AF366">
        <v>544900.80000000005</v>
      </c>
      <c r="AH366" s="3">
        <v>240</v>
      </c>
      <c r="AI366" s="3">
        <v>1</v>
      </c>
      <c r="AJ366" s="3">
        <v>1</v>
      </c>
      <c r="AK366">
        <v>85</v>
      </c>
      <c r="AL366">
        <v>1.55E-2</v>
      </c>
    </row>
    <row r="367" spans="1:43" x14ac:dyDescent="0.25">
      <c r="A367" s="3">
        <v>120</v>
      </c>
      <c r="B367" s="3">
        <v>3</v>
      </c>
      <c r="C367" s="3">
        <v>10</v>
      </c>
      <c r="H367">
        <v>0</v>
      </c>
      <c r="I367">
        <v>0</v>
      </c>
      <c r="J367">
        <v>2.1091718603851971E-4</v>
      </c>
      <c r="L367" s="3">
        <v>120</v>
      </c>
      <c r="M367" s="3">
        <v>3</v>
      </c>
      <c r="N367" s="3">
        <v>10</v>
      </c>
      <c r="S367">
        <v>0</v>
      </c>
      <c r="T367">
        <v>0</v>
      </c>
      <c r="U367">
        <v>-1.5</v>
      </c>
      <c r="W367" s="3">
        <v>120</v>
      </c>
      <c r="X367" s="3">
        <v>3</v>
      </c>
      <c r="Y367" s="3">
        <v>10</v>
      </c>
      <c r="Z367">
        <v>449.13</v>
      </c>
      <c r="AA367">
        <v>1.5779999999999999E-2</v>
      </c>
      <c r="AB367">
        <v>71.2</v>
      </c>
      <c r="AC367">
        <v>5.0999999999999996</v>
      </c>
      <c r="AD367">
        <v>148</v>
      </c>
      <c r="AE367">
        <v>4243061.5</v>
      </c>
      <c r="AF367">
        <v>711178.1</v>
      </c>
      <c r="AH367" s="3">
        <v>240</v>
      </c>
      <c r="AI367" s="3">
        <v>2</v>
      </c>
      <c r="AJ367" s="3">
        <v>1</v>
      </c>
      <c r="AK367">
        <v>178.4</v>
      </c>
      <c r="AL367">
        <v>1.5800000000000002E-2</v>
      </c>
      <c r="AO367">
        <v>92.1</v>
      </c>
      <c r="AP367">
        <v>1595794.4</v>
      </c>
      <c r="AQ367">
        <v>333421.8</v>
      </c>
    </row>
    <row r="368" spans="1:43" x14ac:dyDescent="0.25">
      <c r="A368" s="3">
        <v>120</v>
      </c>
      <c r="B368" s="3">
        <v>3</v>
      </c>
      <c r="C368" s="3">
        <v>11</v>
      </c>
      <c r="H368">
        <v>0</v>
      </c>
      <c r="I368">
        <v>1.9506825194300171E-4</v>
      </c>
      <c r="J368">
        <v>2.3719470768005631E-5</v>
      </c>
      <c r="L368" s="3">
        <v>120</v>
      </c>
      <c r="M368" s="3">
        <v>3</v>
      </c>
      <c r="N368" s="3">
        <v>11</v>
      </c>
      <c r="S368">
        <v>0</v>
      </c>
      <c r="T368">
        <v>-6</v>
      </c>
      <c r="U368">
        <v>-3</v>
      </c>
      <c r="W368" s="3">
        <v>120</v>
      </c>
      <c r="X368" s="3">
        <v>3</v>
      </c>
      <c r="Y368" s="3">
        <v>11</v>
      </c>
      <c r="Z368">
        <v>511.31</v>
      </c>
      <c r="AA368">
        <v>1.5720000000000001E-2</v>
      </c>
      <c r="AB368">
        <v>13404.5</v>
      </c>
      <c r="AC368">
        <v>5.0999999999999996</v>
      </c>
      <c r="AD368">
        <v>297.5</v>
      </c>
      <c r="AE368">
        <v>3075840.5</v>
      </c>
      <c r="AF368">
        <v>12647834</v>
      </c>
      <c r="AH368" s="3">
        <v>240</v>
      </c>
      <c r="AI368" s="3">
        <v>2</v>
      </c>
      <c r="AJ368" s="3">
        <v>2</v>
      </c>
      <c r="AO368">
        <v>95.5</v>
      </c>
      <c r="AP368">
        <v>2130298.7999999998</v>
      </c>
      <c r="AQ368">
        <v>485232.8</v>
      </c>
    </row>
    <row r="369" spans="1:43" x14ac:dyDescent="0.25">
      <c r="A369" s="3">
        <v>120</v>
      </c>
      <c r="B369" s="3">
        <v>3</v>
      </c>
      <c r="C369" s="3">
        <v>12</v>
      </c>
      <c r="H369">
        <v>0</v>
      </c>
      <c r="I369">
        <v>0</v>
      </c>
      <c r="J369">
        <v>0</v>
      </c>
      <c r="L369" s="3">
        <v>120</v>
      </c>
      <c r="M369" s="3">
        <v>3</v>
      </c>
      <c r="N369" s="3">
        <v>12</v>
      </c>
      <c r="S369">
        <v>0</v>
      </c>
      <c r="T369">
        <v>0</v>
      </c>
      <c r="U369">
        <v>0</v>
      </c>
      <c r="W369" s="3">
        <v>120</v>
      </c>
      <c r="X369" s="3">
        <v>3</v>
      </c>
      <c r="Y369" s="3">
        <v>12</v>
      </c>
      <c r="Z369">
        <v>92.86</v>
      </c>
      <c r="AA369">
        <v>1.567E-2</v>
      </c>
      <c r="AB369">
        <v>71.099999999999994</v>
      </c>
      <c r="AC369">
        <v>5.0999999999999996</v>
      </c>
      <c r="AD369">
        <v>86.7</v>
      </c>
      <c r="AE369">
        <v>79446.2</v>
      </c>
      <c r="AF369">
        <v>5316.5</v>
      </c>
      <c r="AH369" s="3">
        <v>240</v>
      </c>
      <c r="AI369" s="3">
        <v>3</v>
      </c>
      <c r="AJ369" s="3">
        <v>1</v>
      </c>
      <c r="AK369">
        <v>250.4</v>
      </c>
      <c r="AL369">
        <v>1.5800000000000002E-2</v>
      </c>
      <c r="AO369">
        <v>101.1</v>
      </c>
      <c r="AP369">
        <v>849394.4</v>
      </c>
      <c r="AQ369">
        <v>202622.7</v>
      </c>
    </row>
    <row r="370" spans="1:43" x14ac:dyDescent="0.25">
      <c r="A370" s="3">
        <v>120</v>
      </c>
      <c r="B370" s="3">
        <v>3</v>
      </c>
      <c r="C370" s="3">
        <v>13</v>
      </c>
      <c r="H370">
        <v>0</v>
      </c>
      <c r="I370">
        <v>1.6893761049329749E-4</v>
      </c>
      <c r="J370">
        <v>0</v>
      </c>
      <c r="L370" s="3">
        <v>120</v>
      </c>
      <c r="M370" s="3">
        <v>3</v>
      </c>
      <c r="N370" s="3">
        <v>13</v>
      </c>
      <c r="S370">
        <v>0</v>
      </c>
      <c r="T370">
        <v>-0.19999999999708959</v>
      </c>
      <c r="U370">
        <v>0</v>
      </c>
      <c r="W370" s="3">
        <v>120</v>
      </c>
      <c r="X370" s="3">
        <v>3</v>
      </c>
      <c r="Y370" s="3">
        <v>13</v>
      </c>
      <c r="Z370">
        <v>90.58</v>
      </c>
      <c r="AA370">
        <v>1.562E-2</v>
      </c>
      <c r="AB370">
        <v>71.099999999999994</v>
      </c>
      <c r="AC370">
        <v>5.0999999999999996</v>
      </c>
      <c r="AD370">
        <v>86.6</v>
      </c>
      <c r="AE370">
        <v>118386.7</v>
      </c>
      <c r="AF370">
        <v>3463.4</v>
      </c>
      <c r="AH370" s="3">
        <v>240</v>
      </c>
      <c r="AI370" s="3">
        <v>3</v>
      </c>
      <c r="AJ370" s="3">
        <v>2</v>
      </c>
      <c r="AO370">
        <v>103.2</v>
      </c>
      <c r="AP370">
        <v>929313.1</v>
      </c>
      <c r="AQ370">
        <v>230795</v>
      </c>
    </row>
    <row r="371" spans="1:43" x14ac:dyDescent="0.25">
      <c r="A371" s="3">
        <v>120</v>
      </c>
      <c r="B371" s="3">
        <v>3</v>
      </c>
      <c r="C371" s="3">
        <v>14</v>
      </c>
      <c r="H371">
        <v>0</v>
      </c>
      <c r="I371">
        <v>0</v>
      </c>
      <c r="J371">
        <v>0</v>
      </c>
      <c r="L371" s="3">
        <v>120</v>
      </c>
      <c r="M371" s="3">
        <v>3</v>
      </c>
      <c r="N371" s="3">
        <v>14</v>
      </c>
      <c r="S371">
        <v>0</v>
      </c>
      <c r="T371">
        <v>0</v>
      </c>
      <c r="U371">
        <v>0</v>
      </c>
      <c r="W371" s="3">
        <v>120</v>
      </c>
      <c r="X371" s="3">
        <v>3</v>
      </c>
      <c r="Y371" s="3">
        <v>14</v>
      </c>
      <c r="Z371">
        <v>87.94</v>
      </c>
      <c r="AA371">
        <v>1.5559999999999999E-2</v>
      </c>
      <c r="AB371">
        <v>70.099999999999994</v>
      </c>
      <c r="AC371">
        <v>5</v>
      </c>
      <c r="AD371">
        <v>86</v>
      </c>
      <c r="AE371">
        <v>73301.8</v>
      </c>
      <c r="AF371">
        <v>1689.7</v>
      </c>
      <c r="AH371" s="3">
        <v>240</v>
      </c>
      <c r="AI371" s="3">
        <v>3</v>
      </c>
      <c r="AJ371" s="3">
        <v>3</v>
      </c>
      <c r="AO371">
        <v>105.6</v>
      </c>
      <c r="AP371">
        <v>1017571</v>
      </c>
      <c r="AQ371">
        <v>263859</v>
      </c>
    </row>
    <row r="372" spans="1:43" x14ac:dyDescent="0.25">
      <c r="A372" s="3">
        <v>120</v>
      </c>
      <c r="B372" s="3">
        <v>4</v>
      </c>
      <c r="C372" s="3">
        <v>1</v>
      </c>
      <c r="D372">
        <v>0</v>
      </c>
      <c r="E372">
        <v>6.451612903225544E-2</v>
      </c>
      <c r="H372">
        <v>0</v>
      </c>
      <c r="L372" s="3">
        <v>120</v>
      </c>
      <c r="M372" s="3">
        <v>4</v>
      </c>
      <c r="N372" s="3">
        <v>1</v>
      </c>
      <c r="O372">
        <v>0</v>
      </c>
      <c r="P372">
        <v>9.9999999999995925E-6</v>
      </c>
      <c r="S372">
        <v>0</v>
      </c>
      <c r="T372">
        <v>0</v>
      </c>
      <c r="U372">
        <v>0</v>
      </c>
      <c r="W372" s="3">
        <v>120</v>
      </c>
      <c r="X372" s="3">
        <v>4</v>
      </c>
      <c r="Y372" s="3">
        <v>1</v>
      </c>
      <c r="Z372">
        <v>85</v>
      </c>
      <c r="AA372">
        <v>1.5509999999999999E-2</v>
      </c>
      <c r="AB372">
        <v>0</v>
      </c>
      <c r="AC372">
        <v>0</v>
      </c>
      <c r="AD372">
        <v>85</v>
      </c>
      <c r="AE372">
        <v>0</v>
      </c>
      <c r="AF372">
        <v>0</v>
      </c>
      <c r="AH372" s="3">
        <v>240</v>
      </c>
      <c r="AI372" s="3">
        <v>3</v>
      </c>
      <c r="AJ372" s="3">
        <v>4</v>
      </c>
      <c r="AO372">
        <v>108.2</v>
      </c>
      <c r="AP372">
        <v>1115179.3</v>
      </c>
      <c r="AQ372">
        <v>302944.59999999998</v>
      </c>
    </row>
    <row r="373" spans="1:43" x14ac:dyDescent="0.25">
      <c r="A373" s="3">
        <v>120</v>
      </c>
      <c r="B373" s="3">
        <v>4</v>
      </c>
      <c r="C373" s="3">
        <v>2</v>
      </c>
      <c r="H373">
        <v>0</v>
      </c>
      <c r="L373" s="3">
        <v>120</v>
      </c>
      <c r="M373" s="3">
        <v>4</v>
      </c>
      <c r="N373" s="3">
        <v>2</v>
      </c>
      <c r="S373">
        <v>0</v>
      </c>
      <c r="T373">
        <v>0</v>
      </c>
      <c r="U373">
        <v>0</v>
      </c>
      <c r="W373" s="3">
        <v>120</v>
      </c>
      <c r="X373" s="3">
        <v>4</v>
      </c>
      <c r="Y373" s="3">
        <v>2</v>
      </c>
      <c r="Z373">
        <v>85</v>
      </c>
      <c r="AA373">
        <v>1.5509999999999999E-2</v>
      </c>
      <c r="AB373">
        <v>0</v>
      </c>
      <c r="AC373">
        <v>0</v>
      </c>
      <c r="AD373">
        <v>85</v>
      </c>
      <c r="AE373">
        <v>0</v>
      </c>
      <c r="AF373">
        <v>0</v>
      </c>
      <c r="AH373" s="3">
        <v>240</v>
      </c>
      <c r="AI373" s="3">
        <v>3</v>
      </c>
      <c r="AJ373" s="3">
        <v>5</v>
      </c>
      <c r="AO373">
        <v>111.3</v>
      </c>
      <c r="AP373">
        <v>1221155</v>
      </c>
      <c r="AQ373">
        <v>349537.6</v>
      </c>
    </row>
    <row r="374" spans="1:43" x14ac:dyDescent="0.25">
      <c r="A374" s="3">
        <v>120</v>
      </c>
      <c r="B374" s="3">
        <v>5</v>
      </c>
      <c r="C374" s="3">
        <v>1</v>
      </c>
      <c r="D374">
        <v>4.2016806722680711E-2</v>
      </c>
      <c r="E374">
        <v>0.19354838709677749</v>
      </c>
      <c r="L374" s="3">
        <v>120</v>
      </c>
      <c r="M374" s="3">
        <v>5</v>
      </c>
      <c r="N374" s="3">
        <v>1</v>
      </c>
      <c r="O374">
        <v>3.9999999999992042E-2</v>
      </c>
      <c r="P374">
        <v>3.0000000000000509E-5</v>
      </c>
      <c r="W374" s="3">
        <v>120</v>
      </c>
      <c r="X374" s="3">
        <v>5</v>
      </c>
      <c r="Y374" s="3">
        <v>1</v>
      </c>
      <c r="Z374">
        <v>95.24</v>
      </c>
      <c r="AA374">
        <v>1.553E-2</v>
      </c>
      <c r="AH374" s="3">
        <v>240</v>
      </c>
      <c r="AI374" s="3">
        <v>3</v>
      </c>
      <c r="AJ374" s="3">
        <v>6</v>
      </c>
      <c r="AO374">
        <v>114.7</v>
      </c>
      <c r="AP374">
        <v>1339314.3</v>
      </c>
      <c r="AQ374">
        <v>405440.7</v>
      </c>
    </row>
    <row r="375" spans="1:43" x14ac:dyDescent="0.25">
      <c r="A375" s="3">
        <v>120</v>
      </c>
      <c r="B375" s="3">
        <v>5</v>
      </c>
      <c r="C375" s="3">
        <v>2</v>
      </c>
      <c r="L375" s="3">
        <v>120</v>
      </c>
      <c r="M375" s="3">
        <v>5</v>
      </c>
      <c r="N375" s="3">
        <v>2</v>
      </c>
      <c r="W375" s="3">
        <v>120</v>
      </c>
      <c r="X375" s="3">
        <v>5</v>
      </c>
      <c r="Y375" s="3">
        <v>2</v>
      </c>
      <c r="Z375">
        <v>94.59</v>
      </c>
      <c r="AA375">
        <v>1.553E-2</v>
      </c>
      <c r="AH375" s="3">
        <v>240</v>
      </c>
      <c r="AI375" s="3">
        <v>3</v>
      </c>
      <c r="AJ375" s="3">
        <v>7</v>
      </c>
      <c r="AO375">
        <v>118.7</v>
      </c>
      <c r="AP375">
        <v>1471748.1</v>
      </c>
      <c r="AQ375">
        <v>473145.3</v>
      </c>
    </row>
    <row r="376" spans="1:43" x14ac:dyDescent="0.25">
      <c r="A376" s="3">
        <v>140</v>
      </c>
      <c r="B376" s="3">
        <v>1</v>
      </c>
      <c r="C376" s="3">
        <v>1</v>
      </c>
      <c r="D376">
        <v>1.1764705882358961E-2</v>
      </c>
      <c r="E376">
        <v>6.451612903225544E-2</v>
      </c>
      <c r="L376" s="3">
        <v>140</v>
      </c>
      <c r="M376" s="3">
        <v>1</v>
      </c>
      <c r="N376" s="3">
        <v>1</v>
      </c>
      <c r="O376">
        <v>1.0000000000005119E-2</v>
      </c>
      <c r="P376">
        <v>9.9999999999995925E-6</v>
      </c>
      <c r="W376" s="3">
        <v>140</v>
      </c>
      <c r="X376" s="3">
        <v>1</v>
      </c>
      <c r="Y376" s="3">
        <v>1</v>
      </c>
      <c r="Z376">
        <v>85.01</v>
      </c>
      <c r="AA376">
        <v>1.5509999999999999E-2</v>
      </c>
      <c r="AB376">
        <v>1</v>
      </c>
      <c r="AC376">
        <v>0</v>
      </c>
      <c r="AH376" s="3">
        <v>240</v>
      </c>
      <c r="AI376" s="3">
        <v>3</v>
      </c>
      <c r="AJ376" s="3">
        <v>8</v>
      </c>
      <c r="AO376">
        <v>123.2</v>
      </c>
      <c r="AP376">
        <v>1621057.9</v>
      </c>
      <c r="AQ376">
        <v>556008.80000000005</v>
      </c>
    </row>
    <row r="377" spans="1:43" x14ac:dyDescent="0.25">
      <c r="A377" s="3">
        <v>140</v>
      </c>
      <c r="B377" s="3">
        <v>1</v>
      </c>
      <c r="C377" s="3">
        <v>2</v>
      </c>
      <c r="L377" s="3">
        <v>140</v>
      </c>
      <c r="M377" s="3">
        <v>1</v>
      </c>
      <c r="N377" s="3">
        <v>2</v>
      </c>
      <c r="W377" s="3">
        <v>140</v>
      </c>
      <c r="X377" s="3">
        <v>1</v>
      </c>
      <c r="Y377" s="3">
        <v>2</v>
      </c>
      <c r="Z377">
        <v>85.03</v>
      </c>
      <c r="AA377">
        <v>1.5509999999999999E-2</v>
      </c>
      <c r="AB377">
        <v>1</v>
      </c>
      <c r="AC377">
        <v>0</v>
      </c>
      <c r="AH377" s="3">
        <v>240</v>
      </c>
      <c r="AI377" s="3">
        <v>3</v>
      </c>
      <c r="AJ377" s="3">
        <v>9</v>
      </c>
      <c r="AO377">
        <v>158.30000000000001</v>
      </c>
      <c r="AP377">
        <v>3399892.5</v>
      </c>
      <c r="AQ377">
        <v>624749.69999999995</v>
      </c>
    </row>
    <row r="378" spans="1:43" x14ac:dyDescent="0.25">
      <c r="A378" s="3">
        <v>140</v>
      </c>
      <c r="B378" s="3">
        <v>1</v>
      </c>
      <c r="C378" s="3">
        <v>3</v>
      </c>
      <c r="L378" s="3">
        <v>140</v>
      </c>
      <c r="M378" s="3">
        <v>1</v>
      </c>
      <c r="N378" s="3">
        <v>3</v>
      </c>
      <c r="W378" s="3">
        <v>140</v>
      </c>
      <c r="X378" s="3">
        <v>1</v>
      </c>
      <c r="Y378" s="3">
        <v>3</v>
      </c>
      <c r="Z378">
        <v>85.04</v>
      </c>
      <c r="AA378">
        <v>1.5509999999999999E-2</v>
      </c>
      <c r="AB378">
        <v>1</v>
      </c>
      <c r="AC378">
        <v>0</v>
      </c>
      <c r="AH378" s="3">
        <v>240</v>
      </c>
      <c r="AI378" s="3">
        <v>3</v>
      </c>
      <c r="AJ378" s="3">
        <v>10</v>
      </c>
      <c r="AO378">
        <v>176.3</v>
      </c>
      <c r="AP378">
        <v>4158805.8</v>
      </c>
      <c r="AQ378">
        <v>816548.7</v>
      </c>
    </row>
    <row r="379" spans="1:43" x14ac:dyDescent="0.25">
      <c r="A379" s="3">
        <v>140</v>
      </c>
      <c r="B379" s="3">
        <v>1</v>
      </c>
      <c r="C379" s="3">
        <v>4</v>
      </c>
      <c r="L379" s="3">
        <v>140</v>
      </c>
      <c r="M379" s="3">
        <v>1</v>
      </c>
      <c r="N379" s="3">
        <v>4</v>
      </c>
      <c r="W379" s="3">
        <v>140</v>
      </c>
      <c r="X379" s="3">
        <v>1</v>
      </c>
      <c r="Y379" s="3">
        <v>4</v>
      </c>
      <c r="Z379">
        <v>85.04</v>
      </c>
      <c r="AA379">
        <v>1.5509999999999999E-2</v>
      </c>
      <c r="AB379">
        <v>1</v>
      </c>
      <c r="AC379">
        <v>0</v>
      </c>
      <c r="AH379" s="3">
        <v>240</v>
      </c>
      <c r="AI379" s="3">
        <v>3</v>
      </c>
      <c r="AJ379" s="3">
        <v>11</v>
      </c>
      <c r="AO379">
        <v>375</v>
      </c>
      <c r="AP379">
        <v>2393257.2999999998</v>
      </c>
      <c r="AQ379">
        <v>12583986</v>
      </c>
    </row>
    <row r="380" spans="1:43" x14ac:dyDescent="0.25">
      <c r="A380" s="3">
        <v>140</v>
      </c>
      <c r="B380" s="3">
        <v>1</v>
      </c>
      <c r="C380" s="3">
        <v>5</v>
      </c>
      <c r="L380" s="3">
        <v>140</v>
      </c>
      <c r="M380" s="3">
        <v>1</v>
      </c>
      <c r="N380" s="3">
        <v>5</v>
      </c>
      <c r="W380" s="3">
        <v>140</v>
      </c>
      <c r="X380" s="3">
        <v>1</v>
      </c>
      <c r="Y380" s="3">
        <v>5</v>
      </c>
      <c r="Z380">
        <v>85.05</v>
      </c>
      <c r="AA380">
        <v>1.5509999999999999E-2</v>
      </c>
      <c r="AB380">
        <v>1</v>
      </c>
      <c r="AC380">
        <v>0</v>
      </c>
      <c r="AH380" s="3">
        <v>240</v>
      </c>
      <c r="AI380" s="3">
        <v>3</v>
      </c>
      <c r="AJ380" s="3">
        <v>12</v>
      </c>
      <c r="AO380">
        <v>86.7</v>
      </c>
      <c r="AP380">
        <v>60030.8</v>
      </c>
      <c r="AQ380">
        <v>4220.8</v>
      </c>
    </row>
    <row r="381" spans="1:43" x14ac:dyDescent="0.25">
      <c r="A381" s="3">
        <v>140</v>
      </c>
      <c r="B381" s="3">
        <v>1</v>
      </c>
      <c r="C381" s="3">
        <v>6</v>
      </c>
      <c r="L381" s="3">
        <v>140</v>
      </c>
      <c r="M381" s="3">
        <v>1</v>
      </c>
      <c r="N381" s="3">
        <v>6</v>
      </c>
      <c r="W381" s="3">
        <v>140</v>
      </c>
      <c r="X381" s="3">
        <v>1</v>
      </c>
      <c r="Y381" s="3">
        <v>6</v>
      </c>
      <c r="Z381">
        <v>85.06</v>
      </c>
      <c r="AA381">
        <v>1.5509999999999999E-2</v>
      </c>
      <c r="AB381">
        <v>1</v>
      </c>
      <c r="AC381">
        <v>0</v>
      </c>
      <c r="AH381" s="3">
        <v>240</v>
      </c>
      <c r="AI381" s="3">
        <v>3</v>
      </c>
      <c r="AJ381" s="3">
        <v>13</v>
      </c>
      <c r="AO381">
        <v>86.3</v>
      </c>
      <c r="AP381">
        <v>41389.4</v>
      </c>
      <c r="AQ381">
        <v>2895.1</v>
      </c>
    </row>
    <row r="382" spans="1:43" x14ac:dyDescent="0.25">
      <c r="A382" s="3">
        <v>140</v>
      </c>
      <c r="B382" s="3">
        <v>1</v>
      </c>
      <c r="C382" s="3">
        <v>7</v>
      </c>
      <c r="L382" s="3">
        <v>140</v>
      </c>
      <c r="M382" s="3">
        <v>1</v>
      </c>
      <c r="N382" s="3">
        <v>7</v>
      </c>
      <c r="W382" s="3">
        <v>140</v>
      </c>
      <c r="X382" s="3">
        <v>1</v>
      </c>
      <c r="Y382" s="3">
        <v>7</v>
      </c>
      <c r="Z382">
        <v>85.06</v>
      </c>
      <c r="AA382">
        <v>1.5509999999999999E-2</v>
      </c>
      <c r="AB382">
        <v>1</v>
      </c>
      <c r="AC382">
        <v>0</v>
      </c>
      <c r="AH382" s="3">
        <v>240</v>
      </c>
      <c r="AI382" s="3">
        <v>3</v>
      </c>
      <c r="AJ382" s="3">
        <v>14</v>
      </c>
      <c r="AO382">
        <v>86.4</v>
      </c>
      <c r="AP382">
        <v>74027.5</v>
      </c>
      <c r="AQ382">
        <v>964</v>
      </c>
    </row>
    <row r="383" spans="1:43" x14ac:dyDescent="0.25">
      <c r="A383" s="3">
        <v>140</v>
      </c>
      <c r="B383" s="3">
        <v>1</v>
      </c>
      <c r="C383" s="3">
        <v>8</v>
      </c>
      <c r="L383" s="3">
        <v>140</v>
      </c>
      <c r="M383" s="3">
        <v>1</v>
      </c>
      <c r="N383" s="3">
        <v>8</v>
      </c>
      <c r="W383" s="3">
        <v>140</v>
      </c>
      <c r="X383" s="3">
        <v>1</v>
      </c>
      <c r="Y383" s="3">
        <v>8</v>
      </c>
      <c r="Z383">
        <v>85.07</v>
      </c>
      <c r="AA383">
        <v>1.5509999999999999E-2</v>
      </c>
      <c r="AB383">
        <v>1</v>
      </c>
      <c r="AC383">
        <v>0</v>
      </c>
      <c r="AH383" s="3">
        <v>240</v>
      </c>
      <c r="AI383" s="3">
        <v>4</v>
      </c>
      <c r="AJ383" s="3">
        <v>1</v>
      </c>
      <c r="AK383">
        <v>85</v>
      </c>
      <c r="AL383">
        <v>1.55E-2</v>
      </c>
      <c r="AO383">
        <v>85</v>
      </c>
      <c r="AP383">
        <v>0</v>
      </c>
      <c r="AQ383">
        <v>0</v>
      </c>
    </row>
    <row r="384" spans="1:43" x14ac:dyDescent="0.25">
      <c r="A384" s="3">
        <v>140</v>
      </c>
      <c r="B384" s="3">
        <v>1</v>
      </c>
      <c r="C384" s="3">
        <v>9</v>
      </c>
      <c r="L384" s="3">
        <v>140</v>
      </c>
      <c r="M384" s="3">
        <v>1</v>
      </c>
      <c r="N384" s="3">
        <v>9</v>
      </c>
      <c r="W384" s="3">
        <v>140</v>
      </c>
      <c r="X384" s="3">
        <v>1</v>
      </c>
      <c r="Y384" s="3">
        <v>9</v>
      </c>
      <c r="Z384">
        <v>85.07</v>
      </c>
      <c r="AA384">
        <v>1.5509999999999999E-2</v>
      </c>
      <c r="AB384">
        <v>1</v>
      </c>
      <c r="AC384">
        <v>0</v>
      </c>
      <c r="AH384" s="3">
        <v>240</v>
      </c>
      <c r="AI384" s="3">
        <v>4</v>
      </c>
      <c r="AJ384" s="3">
        <v>2</v>
      </c>
      <c r="AO384">
        <v>85</v>
      </c>
      <c r="AP384">
        <v>0</v>
      </c>
      <c r="AQ384">
        <v>0</v>
      </c>
    </row>
    <row r="385" spans="1:43" x14ac:dyDescent="0.25">
      <c r="A385" s="3">
        <v>140</v>
      </c>
      <c r="B385" s="3">
        <v>1</v>
      </c>
      <c r="C385" s="3">
        <v>10</v>
      </c>
      <c r="L385" s="3">
        <v>140</v>
      </c>
      <c r="M385" s="3">
        <v>1</v>
      </c>
      <c r="N385" s="3">
        <v>10</v>
      </c>
      <c r="W385" s="3">
        <v>140</v>
      </c>
      <c r="X385" s="3">
        <v>1</v>
      </c>
      <c r="Y385" s="3">
        <v>10</v>
      </c>
      <c r="Z385">
        <v>85.07</v>
      </c>
      <c r="AA385">
        <v>1.5509999999999999E-2</v>
      </c>
      <c r="AB385">
        <v>1</v>
      </c>
      <c r="AC385">
        <v>0</v>
      </c>
      <c r="AH385" s="3">
        <v>240</v>
      </c>
      <c r="AI385" s="3">
        <v>5</v>
      </c>
      <c r="AJ385" s="3">
        <v>1</v>
      </c>
      <c r="AK385">
        <v>107.1</v>
      </c>
      <c r="AL385">
        <v>1.5599999999999999E-2</v>
      </c>
    </row>
    <row r="386" spans="1:43" x14ac:dyDescent="0.25">
      <c r="A386" s="3">
        <v>140</v>
      </c>
      <c r="B386" s="3">
        <v>2</v>
      </c>
      <c r="C386" s="3">
        <v>1</v>
      </c>
      <c r="D386">
        <v>1.391788448154615E-2</v>
      </c>
      <c r="E386">
        <v>0.3205128205128297</v>
      </c>
      <c r="H386">
        <v>0</v>
      </c>
      <c r="I386">
        <v>8.4805342071270451E-5</v>
      </c>
      <c r="J386">
        <v>5.1850814838573263E-5</v>
      </c>
      <c r="L386" s="3">
        <v>140</v>
      </c>
      <c r="M386" s="3">
        <v>2</v>
      </c>
      <c r="N386" s="3">
        <v>1</v>
      </c>
      <c r="O386">
        <v>-1.999999999998181E-2</v>
      </c>
      <c r="P386">
        <v>5.0000000000001432E-5</v>
      </c>
      <c r="S386">
        <v>0</v>
      </c>
      <c r="T386">
        <v>0.90000000013969839</v>
      </c>
      <c r="U386">
        <v>0.10000000000582079</v>
      </c>
      <c r="W386" s="3">
        <v>140</v>
      </c>
      <c r="X386" s="3">
        <v>2</v>
      </c>
      <c r="Y386" s="3">
        <v>1</v>
      </c>
      <c r="Z386">
        <v>143.68</v>
      </c>
      <c r="AA386">
        <v>1.5650000000000001E-2</v>
      </c>
      <c r="AB386">
        <v>0.1</v>
      </c>
      <c r="AC386">
        <v>0</v>
      </c>
      <c r="AD386">
        <v>87.7</v>
      </c>
      <c r="AE386">
        <v>1061254.8</v>
      </c>
      <c r="AF386">
        <v>192861.1</v>
      </c>
      <c r="AH386" s="3">
        <v>260</v>
      </c>
      <c r="AI386" s="3">
        <v>1</v>
      </c>
      <c r="AJ386" s="3">
        <v>1</v>
      </c>
      <c r="AK386">
        <v>85</v>
      </c>
      <c r="AL386">
        <v>1.55E-2</v>
      </c>
    </row>
    <row r="387" spans="1:43" x14ac:dyDescent="0.25">
      <c r="A387" s="3">
        <v>140</v>
      </c>
      <c r="B387" s="3">
        <v>2</v>
      </c>
      <c r="C387" s="3">
        <v>2</v>
      </c>
      <c r="H387">
        <v>0</v>
      </c>
      <c r="I387">
        <v>1.1007180091084079E-5</v>
      </c>
      <c r="J387">
        <v>5.4335836769615377E-5</v>
      </c>
      <c r="L387" s="3">
        <v>140</v>
      </c>
      <c r="M387" s="3">
        <v>2</v>
      </c>
      <c r="N387" s="3">
        <v>2</v>
      </c>
      <c r="S387">
        <v>0</v>
      </c>
      <c r="T387">
        <v>0.1999999999534339</v>
      </c>
      <c r="U387">
        <v>0.2000000000116415</v>
      </c>
      <c r="W387" s="3">
        <v>140</v>
      </c>
      <c r="X387" s="3">
        <v>2</v>
      </c>
      <c r="Y387" s="3">
        <v>2</v>
      </c>
      <c r="Z387">
        <v>184.89</v>
      </c>
      <c r="AA387">
        <v>1.5730000000000001E-2</v>
      </c>
      <c r="AB387">
        <v>0.1</v>
      </c>
      <c r="AC387">
        <v>0</v>
      </c>
      <c r="AD387">
        <v>90.3</v>
      </c>
      <c r="AE387">
        <v>1816996</v>
      </c>
      <c r="AF387">
        <v>368081.4</v>
      </c>
      <c r="AH387" s="3">
        <v>260</v>
      </c>
      <c r="AI387" s="3">
        <v>2</v>
      </c>
      <c r="AJ387" s="3">
        <v>1</v>
      </c>
      <c r="AK387">
        <v>181.1</v>
      </c>
      <c r="AL387">
        <v>1.5800000000000002E-2</v>
      </c>
      <c r="AO387">
        <v>92.8</v>
      </c>
      <c r="AP387">
        <v>1627355.5</v>
      </c>
      <c r="AQ387">
        <v>344040.3</v>
      </c>
    </row>
    <row r="388" spans="1:43" x14ac:dyDescent="0.25">
      <c r="A388" s="3">
        <v>140</v>
      </c>
      <c r="B388" s="3">
        <v>3</v>
      </c>
      <c r="C388" s="3">
        <v>1</v>
      </c>
      <c r="D388">
        <v>4.3010752688132916E-3</v>
      </c>
      <c r="E388">
        <v>0</v>
      </c>
      <c r="H388">
        <v>0</v>
      </c>
      <c r="I388">
        <v>1.235608405259749E-5</v>
      </c>
      <c r="J388">
        <v>0</v>
      </c>
      <c r="L388" s="3">
        <v>140</v>
      </c>
      <c r="M388" s="3">
        <v>3</v>
      </c>
      <c r="N388" s="3">
        <v>1</v>
      </c>
      <c r="O388">
        <v>-9.9999999999909051E-3</v>
      </c>
      <c r="P388">
        <v>0</v>
      </c>
      <c r="S388">
        <v>0</v>
      </c>
      <c r="T388">
        <v>-9.9999999976716936E-2</v>
      </c>
      <c r="U388">
        <v>0</v>
      </c>
      <c r="W388" s="3">
        <v>140</v>
      </c>
      <c r="X388" s="3">
        <v>3</v>
      </c>
      <c r="Y388" s="3">
        <v>1</v>
      </c>
      <c r="Z388">
        <v>232.49</v>
      </c>
      <c r="AA388">
        <v>1.5800000000000002E-2</v>
      </c>
      <c r="AB388">
        <v>0</v>
      </c>
      <c r="AC388">
        <v>0</v>
      </c>
      <c r="AD388">
        <v>94.7</v>
      </c>
      <c r="AE388">
        <v>809317.8</v>
      </c>
      <c r="AF388">
        <v>175861.7</v>
      </c>
      <c r="AH388" s="3">
        <v>260</v>
      </c>
      <c r="AI388" s="3">
        <v>2</v>
      </c>
      <c r="AJ388" s="3">
        <v>2</v>
      </c>
      <c r="AO388">
        <v>96.4</v>
      </c>
      <c r="AP388">
        <v>2150073.7999999998</v>
      </c>
      <c r="AQ388">
        <v>495495</v>
      </c>
    </row>
    <row r="389" spans="1:43" x14ac:dyDescent="0.25">
      <c r="A389" s="3">
        <v>140</v>
      </c>
      <c r="B389" s="3">
        <v>3</v>
      </c>
      <c r="C389" s="3">
        <v>2</v>
      </c>
      <c r="H389">
        <v>0</v>
      </c>
      <c r="I389">
        <v>0</v>
      </c>
      <c r="J389">
        <v>0</v>
      </c>
      <c r="L389" s="3">
        <v>140</v>
      </c>
      <c r="M389" s="3">
        <v>3</v>
      </c>
      <c r="N389" s="3">
        <v>2</v>
      </c>
      <c r="S389">
        <v>0</v>
      </c>
      <c r="T389">
        <v>0</v>
      </c>
      <c r="U389">
        <v>0</v>
      </c>
      <c r="W389" s="3">
        <v>140</v>
      </c>
      <c r="X389" s="3">
        <v>3</v>
      </c>
      <c r="Y389" s="3">
        <v>2</v>
      </c>
      <c r="Z389">
        <v>248.05</v>
      </c>
      <c r="AA389">
        <v>1.5800000000000002E-2</v>
      </c>
      <c r="AB389">
        <v>0</v>
      </c>
      <c r="AC389">
        <v>0</v>
      </c>
      <c r="AD389">
        <v>96.4</v>
      </c>
      <c r="AE389">
        <v>893514.4</v>
      </c>
      <c r="AF389">
        <v>202239.4</v>
      </c>
      <c r="AH389" s="3">
        <v>260</v>
      </c>
      <c r="AI389" s="3">
        <v>3</v>
      </c>
      <c r="AJ389" s="3">
        <v>1</v>
      </c>
      <c r="AK389">
        <v>252.7</v>
      </c>
      <c r="AL389">
        <v>1.5800000000000002E-2</v>
      </c>
      <c r="AO389">
        <v>102.2</v>
      </c>
      <c r="AP389">
        <v>854077.9</v>
      </c>
      <c r="AQ389">
        <v>205957.7</v>
      </c>
    </row>
    <row r="390" spans="1:43" x14ac:dyDescent="0.25">
      <c r="A390" s="3">
        <v>140</v>
      </c>
      <c r="B390" s="3">
        <v>3</v>
      </c>
      <c r="C390" s="3">
        <v>3</v>
      </c>
      <c r="H390">
        <v>0</v>
      </c>
      <c r="I390">
        <v>2.0312540949559409E-5</v>
      </c>
      <c r="J390">
        <v>0</v>
      </c>
      <c r="L390" s="3">
        <v>140</v>
      </c>
      <c r="M390" s="3">
        <v>3</v>
      </c>
      <c r="N390" s="3">
        <v>3</v>
      </c>
      <c r="S390">
        <v>0</v>
      </c>
      <c r="T390">
        <v>-0.20000000006984919</v>
      </c>
      <c r="U390">
        <v>0</v>
      </c>
      <c r="W390" s="3">
        <v>140</v>
      </c>
      <c r="X390" s="3">
        <v>3</v>
      </c>
      <c r="Y390" s="3">
        <v>3</v>
      </c>
      <c r="Z390">
        <v>264.8</v>
      </c>
      <c r="AA390">
        <v>1.5810000000000001E-2</v>
      </c>
      <c r="AB390">
        <v>0</v>
      </c>
      <c r="AC390">
        <v>0</v>
      </c>
      <c r="AD390">
        <v>98.3</v>
      </c>
      <c r="AE390">
        <v>984613.2</v>
      </c>
      <c r="AF390">
        <v>232619.8</v>
      </c>
      <c r="AH390" s="3">
        <v>260</v>
      </c>
      <c r="AI390" s="3">
        <v>3</v>
      </c>
      <c r="AJ390" s="3">
        <v>2</v>
      </c>
      <c r="AO390">
        <v>104.3</v>
      </c>
      <c r="AP390">
        <v>933674.1</v>
      </c>
      <c r="AQ390">
        <v>234421</v>
      </c>
    </row>
    <row r="391" spans="1:43" x14ac:dyDescent="0.25">
      <c r="A391" s="3">
        <v>140</v>
      </c>
      <c r="B391" s="3">
        <v>3</v>
      </c>
      <c r="C391" s="3">
        <v>4</v>
      </c>
      <c r="H391">
        <v>0</v>
      </c>
      <c r="I391">
        <v>3.6878663656156961E-5</v>
      </c>
      <c r="J391">
        <v>3.7286233354667378E-5</v>
      </c>
      <c r="L391" s="3">
        <v>140</v>
      </c>
      <c r="M391" s="3">
        <v>3</v>
      </c>
      <c r="N391" s="3">
        <v>4</v>
      </c>
      <c r="S391">
        <v>0</v>
      </c>
      <c r="T391">
        <v>-0.39999999990686769</v>
      </c>
      <c r="U391">
        <v>-9.9999999976716936E-2</v>
      </c>
      <c r="W391" s="3">
        <v>140</v>
      </c>
      <c r="X391" s="3">
        <v>3</v>
      </c>
      <c r="Y391" s="3">
        <v>4</v>
      </c>
      <c r="Z391">
        <v>283.02</v>
      </c>
      <c r="AA391">
        <v>1.5810000000000001E-2</v>
      </c>
      <c r="AB391">
        <v>0</v>
      </c>
      <c r="AC391">
        <v>0</v>
      </c>
      <c r="AD391">
        <v>100.5</v>
      </c>
      <c r="AE391">
        <v>1084637.6000000001</v>
      </c>
      <c r="AF391">
        <v>268195.40000000002</v>
      </c>
      <c r="AH391" s="3">
        <v>260</v>
      </c>
      <c r="AI391" s="3">
        <v>3</v>
      </c>
      <c r="AJ391" s="3">
        <v>3</v>
      </c>
      <c r="AO391">
        <v>106.8</v>
      </c>
      <c r="AP391">
        <v>1021608.3</v>
      </c>
      <c r="AQ391">
        <v>267839.2</v>
      </c>
    </row>
    <row r="392" spans="1:43" x14ac:dyDescent="0.25">
      <c r="A392" s="3">
        <v>140</v>
      </c>
      <c r="B392" s="3">
        <v>3</v>
      </c>
      <c r="C392" s="3">
        <v>5</v>
      </c>
      <c r="H392">
        <v>0</v>
      </c>
      <c r="I392">
        <v>1.673410510636481E-5</v>
      </c>
      <c r="J392">
        <v>3.2216899624936318E-5</v>
      </c>
      <c r="L392" s="3">
        <v>140</v>
      </c>
      <c r="M392" s="3">
        <v>3</v>
      </c>
      <c r="N392" s="3">
        <v>5</v>
      </c>
      <c r="S392">
        <v>0</v>
      </c>
      <c r="T392">
        <v>-0.1999999999534339</v>
      </c>
      <c r="U392">
        <v>-9.9999999976716936E-2</v>
      </c>
      <c r="W392" s="3">
        <v>140</v>
      </c>
      <c r="X392" s="3">
        <v>3</v>
      </c>
      <c r="Y392" s="3">
        <v>5</v>
      </c>
      <c r="Z392">
        <v>303.01</v>
      </c>
      <c r="AA392">
        <v>1.5820000000000001E-2</v>
      </c>
      <c r="AB392">
        <v>0</v>
      </c>
      <c r="AC392">
        <v>0</v>
      </c>
      <c r="AD392">
        <v>102.9</v>
      </c>
      <c r="AE392">
        <v>1195163.8</v>
      </c>
      <c r="AF392">
        <v>310396</v>
      </c>
      <c r="AH392" s="3">
        <v>260</v>
      </c>
      <c r="AI392" s="3">
        <v>3</v>
      </c>
      <c r="AJ392" s="3">
        <v>4</v>
      </c>
      <c r="AO392">
        <v>109.5</v>
      </c>
      <c r="AP392">
        <v>1118557.8</v>
      </c>
      <c r="AQ392">
        <v>307363.59999999998</v>
      </c>
    </row>
    <row r="393" spans="1:43" x14ac:dyDescent="0.25">
      <c r="A393" s="3">
        <v>140</v>
      </c>
      <c r="B393" s="3">
        <v>3</v>
      </c>
      <c r="C393" s="3">
        <v>6</v>
      </c>
      <c r="H393">
        <v>0</v>
      </c>
      <c r="I393">
        <v>8.3607597913450902E-5</v>
      </c>
      <c r="J393">
        <v>8.3098280610251191E-5</v>
      </c>
      <c r="L393" s="3">
        <v>140</v>
      </c>
      <c r="M393" s="3">
        <v>3</v>
      </c>
      <c r="N393" s="3">
        <v>6</v>
      </c>
      <c r="S393">
        <v>0</v>
      </c>
      <c r="T393">
        <v>-1.0999999998603021</v>
      </c>
      <c r="U393">
        <v>-0.29999999998835852</v>
      </c>
      <c r="W393" s="3">
        <v>140</v>
      </c>
      <c r="X393" s="3">
        <v>3</v>
      </c>
      <c r="Y393" s="3">
        <v>6</v>
      </c>
      <c r="Z393">
        <v>325.02999999999997</v>
      </c>
      <c r="AA393">
        <v>1.5820000000000001E-2</v>
      </c>
      <c r="AB393">
        <v>0</v>
      </c>
      <c r="AC393">
        <v>0</v>
      </c>
      <c r="AD393">
        <v>105.6</v>
      </c>
      <c r="AE393">
        <v>1315668.8</v>
      </c>
      <c r="AF393">
        <v>361018</v>
      </c>
      <c r="AH393" s="3">
        <v>260</v>
      </c>
      <c r="AI393" s="3">
        <v>3</v>
      </c>
      <c r="AJ393" s="3">
        <v>5</v>
      </c>
      <c r="AO393">
        <v>112.7</v>
      </c>
      <c r="AP393">
        <v>1224182.3999999999</v>
      </c>
      <c r="AQ393">
        <v>354488.3</v>
      </c>
    </row>
    <row r="394" spans="1:43" x14ac:dyDescent="0.25">
      <c r="A394" s="3">
        <v>140</v>
      </c>
      <c r="B394" s="3">
        <v>3</v>
      </c>
      <c r="C394" s="3">
        <v>7</v>
      </c>
      <c r="H394">
        <v>0</v>
      </c>
      <c r="I394">
        <v>6.8933598608203085E-5</v>
      </c>
      <c r="J394">
        <v>9.4734064893089157E-5</v>
      </c>
      <c r="L394" s="3">
        <v>140</v>
      </c>
      <c r="M394" s="3">
        <v>3</v>
      </c>
      <c r="N394" s="3">
        <v>7</v>
      </c>
      <c r="S394">
        <v>0</v>
      </c>
      <c r="T394">
        <v>-1</v>
      </c>
      <c r="U394">
        <v>-0.3999999999650754</v>
      </c>
      <c r="W394" s="3">
        <v>140</v>
      </c>
      <c r="X394" s="3">
        <v>3</v>
      </c>
      <c r="Y394" s="3">
        <v>7</v>
      </c>
      <c r="Z394">
        <v>349.36</v>
      </c>
      <c r="AA394">
        <v>1.5820000000000001E-2</v>
      </c>
      <c r="AB394">
        <v>0</v>
      </c>
      <c r="AC394">
        <v>0</v>
      </c>
      <c r="AD394">
        <v>108.8</v>
      </c>
      <c r="AE394">
        <v>1450670.4</v>
      </c>
      <c r="AF394">
        <v>422234.2</v>
      </c>
      <c r="AH394" s="3">
        <v>260</v>
      </c>
      <c r="AI394" s="3">
        <v>3</v>
      </c>
      <c r="AJ394" s="3">
        <v>6</v>
      </c>
      <c r="AO394">
        <v>116.2</v>
      </c>
      <c r="AP394">
        <v>1341987</v>
      </c>
      <c r="AQ394">
        <v>411055.2</v>
      </c>
    </row>
    <row r="395" spans="1:43" x14ac:dyDescent="0.25">
      <c r="A395" s="3">
        <v>140</v>
      </c>
      <c r="B395" s="3">
        <v>3</v>
      </c>
      <c r="C395" s="3">
        <v>8</v>
      </c>
      <c r="H395">
        <v>0</v>
      </c>
      <c r="I395">
        <v>5.6151524258510869E-5</v>
      </c>
      <c r="J395">
        <v>6.0359829082765687E-5</v>
      </c>
      <c r="L395" s="3">
        <v>140</v>
      </c>
      <c r="M395" s="3">
        <v>3</v>
      </c>
      <c r="N395" s="3">
        <v>8</v>
      </c>
      <c r="S395">
        <v>0</v>
      </c>
      <c r="T395">
        <v>-0.89999999990686774</v>
      </c>
      <c r="U395">
        <v>-0.29999999998835852</v>
      </c>
      <c r="W395" s="3">
        <v>140</v>
      </c>
      <c r="X395" s="3">
        <v>3</v>
      </c>
      <c r="Y395" s="3">
        <v>8</v>
      </c>
      <c r="Z395">
        <v>376.35</v>
      </c>
      <c r="AA395">
        <v>1.583E-2</v>
      </c>
      <c r="AB395">
        <v>0</v>
      </c>
      <c r="AC395">
        <v>0</v>
      </c>
      <c r="AD395">
        <v>112.4</v>
      </c>
      <c r="AE395">
        <v>1602805.1</v>
      </c>
      <c r="AF395">
        <v>497019</v>
      </c>
      <c r="AH395" s="3">
        <v>260</v>
      </c>
      <c r="AI395" s="3">
        <v>3</v>
      </c>
      <c r="AJ395" s="3">
        <v>7</v>
      </c>
      <c r="AO395">
        <v>120.3</v>
      </c>
      <c r="AP395">
        <v>1474059.3</v>
      </c>
      <c r="AQ395">
        <v>479596</v>
      </c>
    </row>
    <row r="396" spans="1:43" x14ac:dyDescent="0.25">
      <c r="A396" s="3">
        <v>140</v>
      </c>
      <c r="B396" s="3">
        <v>3</v>
      </c>
      <c r="C396" s="3">
        <v>9</v>
      </c>
      <c r="H396">
        <v>0</v>
      </c>
      <c r="I396">
        <v>6.672372414850912E-5</v>
      </c>
      <c r="J396">
        <v>1.061676692008534E-4</v>
      </c>
      <c r="L396" s="3">
        <v>140</v>
      </c>
      <c r="M396" s="3">
        <v>3</v>
      </c>
      <c r="N396" s="3">
        <v>9</v>
      </c>
      <c r="S396">
        <v>0</v>
      </c>
      <c r="T396">
        <v>-2.299999999813735</v>
      </c>
      <c r="U396">
        <v>-0.60000000009313226</v>
      </c>
      <c r="W396" s="3">
        <v>140</v>
      </c>
      <c r="X396" s="3">
        <v>3</v>
      </c>
      <c r="Y396" s="3">
        <v>9</v>
      </c>
      <c r="Z396">
        <v>406.38</v>
      </c>
      <c r="AA396">
        <v>1.583E-2</v>
      </c>
      <c r="AB396">
        <v>60.2</v>
      </c>
      <c r="AC396">
        <v>4.5</v>
      </c>
      <c r="AD396">
        <v>139.69999999999999</v>
      </c>
      <c r="AE396">
        <v>3447047.5</v>
      </c>
      <c r="AF396">
        <v>565143.19999999995</v>
      </c>
      <c r="AH396" s="3">
        <v>260</v>
      </c>
      <c r="AI396" s="3">
        <v>3</v>
      </c>
      <c r="AJ396" s="3">
        <v>8</v>
      </c>
      <c r="AO396">
        <v>125.1</v>
      </c>
      <c r="AP396">
        <v>1622834.1</v>
      </c>
      <c r="AQ396">
        <v>563524.1</v>
      </c>
    </row>
    <row r="397" spans="1:43" x14ac:dyDescent="0.25">
      <c r="A397" s="3">
        <v>140</v>
      </c>
      <c r="B397" s="3">
        <v>3</v>
      </c>
      <c r="C397" s="3">
        <v>10</v>
      </c>
      <c r="H397">
        <v>0</v>
      </c>
      <c r="I397">
        <v>1.064455626747925E-4</v>
      </c>
      <c r="J397">
        <v>1.3533770275617939E-4</v>
      </c>
      <c r="L397" s="3">
        <v>140</v>
      </c>
      <c r="M397" s="3">
        <v>3</v>
      </c>
      <c r="N397" s="3">
        <v>10</v>
      </c>
      <c r="S397">
        <v>0</v>
      </c>
      <c r="T397">
        <v>-4.5</v>
      </c>
      <c r="U397">
        <v>-1</v>
      </c>
      <c r="W397" s="3">
        <v>140</v>
      </c>
      <c r="X397" s="3">
        <v>3</v>
      </c>
      <c r="Y397" s="3">
        <v>10</v>
      </c>
      <c r="Z397">
        <v>457.72</v>
      </c>
      <c r="AA397">
        <v>1.5779999999999999E-2</v>
      </c>
      <c r="AB397">
        <v>67.400000000000006</v>
      </c>
      <c r="AC397">
        <v>5.0999999999999996</v>
      </c>
      <c r="AD397">
        <v>153.6</v>
      </c>
      <c r="AE397">
        <v>4227508.5</v>
      </c>
      <c r="AF397">
        <v>738891.4</v>
      </c>
      <c r="AH397" s="3">
        <v>260</v>
      </c>
      <c r="AI397" s="3">
        <v>3</v>
      </c>
      <c r="AJ397" s="3">
        <v>9</v>
      </c>
      <c r="AO397">
        <v>161.5</v>
      </c>
      <c r="AP397">
        <v>3392744.8</v>
      </c>
      <c r="AQ397">
        <v>631897.4</v>
      </c>
    </row>
    <row r="398" spans="1:43" x14ac:dyDescent="0.25">
      <c r="A398" s="3">
        <v>140</v>
      </c>
      <c r="B398" s="3">
        <v>3</v>
      </c>
      <c r="C398" s="3">
        <v>11</v>
      </c>
      <c r="H398">
        <v>0</v>
      </c>
      <c r="I398">
        <v>1.389287367629283E-4</v>
      </c>
      <c r="J398">
        <v>2.371455079779306E-5</v>
      </c>
      <c r="L398" s="3">
        <v>140</v>
      </c>
      <c r="M398" s="3">
        <v>3</v>
      </c>
      <c r="N398" s="3">
        <v>11</v>
      </c>
      <c r="S398">
        <v>0</v>
      </c>
      <c r="T398">
        <v>-4.099999999627471</v>
      </c>
      <c r="U398">
        <v>-3</v>
      </c>
      <c r="W398" s="3">
        <v>140</v>
      </c>
      <c r="X398" s="3">
        <v>3</v>
      </c>
      <c r="Y398" s="3">
        <v>11</v>
      </c>
      <c r="Z398">
        <v>521.23</v>
      </c>
      <c r="AA398">
        <v>1.5730000000000001E-2</v>
      </c>
      <c r="AB398">
        <v>13400.7</v>
      </c>
      <c r="AC398">
        <v>5.0999999999999996</v>
      </c>
      <c r="AD398">
        <v>313.2</v>
      </c>
      <c r="AE398">
        <v>2951149.2</v>
      </c>
      <c r="AF398">
        <v>12650458</v>
      </c>
      <c r="AH398" s="3">
        <v>260</v>
      </c>
      <c r="AI398" s="3">
        <v>3</v>
      </c>
      <c r="AJ398" s="3">
        <v>10</v>
      </c>
      <c r="AO398">
        <v>180.2</v>
      </c>
      <c r="AP398">
        <v>4150035.3</v>
      </c>
      <c r="AQ398">
        <v>825319.3</v>
      </c>
    </row>
    <row r="399" spans="1:43" x14ac:dyDescent="0.25">
      <c r="A399" s="3">
        <v>140</v>
      </c>
      <c r="B399" s="3">
        <v>3</v>
      </c>
      <c r="C399" s="3">
        <v>12</v>
      </c>
      <c r="H399">
        <v>0</v>
      </c>
      <c r="I399">
        <v>2.6474006496335952E-4</v>
      </c>
      <c r="J399">
        <v>0</v>
      </c>
      <c r="L399" s="3">
        <v>140</v>
      </c>
      <c r="M399" s="3">
        <v>3</v>
      </c>
      <c r="N399" s="3">
        <v>12</v>
      </c>
      <c r="S399">
        <v>0</v>
      </c>
      <c r="T399">
        <v>0.19999999999708959</v>
      </c>
      <c r="U399">
        <v>0</v>
      </c>
      <c r="W399" s="3">
        <v>140</v>
      </c>
      <c r="X399" s="3">
        <v>3</v>
      </c>
      <c r="Y399" s="3">
        <v>12</v>
      </c>
      <c r="Z399">
        <v>92.6</v>
      </c>
      <c r="AA399">
        <v>1.567E-2</v>
      </c>
      <c r="AB399">
        <v>67.3</v>
      </c>
      <c r="AC399">
        <v>5.0999999999999996</v>
      </c>
      <c r="AD399">
        <v>86.7</v>
      </c>
      <c r="AE399">
        <v>75546</v>
      </c>
      <c r="AF399">
        <v>5133.2</v>
      </c>
      <c r="AH399" s="3">
        <v>260</v>
      </c>
      <c r="AI399" s="3">
        <v>3</v>
      </c>
      <c r="AJ399" s="3">
        <v>11</v>
      </c>
      <c r="AO399">
        <v>385.1</v>
      </c>
      <c r="AP399">
        <v>2294439.5</v>
      </c>
      <c r="AQ399">
        <v>12562906</v>
      </c>
    </row>
    <row r="400" spans="1:43" x14ac:dyDescent="0.25">
      <c r="A400" s="3">
        <v>140</v>
      </c>
      <c r="B400" s="3">
        <v>3</v>
      </c>
      <c r="C400" s="3">
        <v>13</v>
      </c>
      <c r="H400">
        <v>0</v>
      </c>
      <c r="I400">
        <v>4.0298369124415088E-4</v>
      </c>
      <c r="J400">
        <v>0</v>
      </c>
      <c r="L400" s="3">
        <v>140</v>
      </c>
      <c r="M400" s="3">
        <v>3</v>
      </c>
      <c r="N400" s="3">
        <v>13</v>
      </c>
      <c r="S400">
        <v>0</v>
      </c>
      <c r="T400">
        <v>0.19999999999708959</v>
      </c>
      <c r="U400">
        <v>0</v>
      </c>
      <c r="W400" s="3">
        <v>140</v>
      </c>
      <c r="X400" s="3">
        <v>3</v>
      </c>
      <c r="Y400" s="3">
        <v>13</v>
      </c>
      <c r="Z400">
        <v>90.39</v>
      </c>
      <c r="AA400">
        <v>1.562E-2</v>
      </c>
      <c r="AB400">
        <v>67.3</v>
      </c>
      <c r="AC400">
        <v>5.0999999999999996</v>
      </c>
      <c r="AD400">
        <v>86.4</v>
      </c>
      <c r="AE400">
        <v>49630</v>
      </c>
      <c r="AF400">
        <v>3403.9</v>
      </c>
      <c r="AH400" s="3">
        <v>260</v>
      </c>
      <c r="AI400" s="3">
        <v>3</v>
      </c>
      <c r="AJ400" s="3">
        <v>12</v>
      </c>
      <c r="AO400">
        <v>86.7</v>
      </c>
      <c r="AP400">
        <v>57878.6</v>
      </c>
      <c r="AQ400">
        <v>4081.4</v>
      </c>
    </row>
    <row r="401" spans="1:43" x14ac:dyDescent="0.25">
      <c r="A401" s="3">
        <v>140</v>
      </c>
      <c r="B401" s="3">
        <v>3</v>
      </c>
      <c r="C401" s="3">
        <v>14</v>
      </c>
      <c r="H401">
        <v>0</v>
      </c>
      <c r="I401">
        <v>1.36155195145551E-4</v>
      </c>
      <c r="J401">
        <v>0</v>
      </c>
      <c r="L401" s="3">
        <v>140</v>
      </c>
      <c r="M401" s="3">
        <v>3</v>
      </c>
      <c r="N401" s="3">
        <v>14</v>
      </c>
      <c r="S401">
        <v>0</v>
      </c>
      <c r="T401">
        <v>-0.10000000000582079</v>
      </c>
      <c r="U401">
        <v>0</v>
      </c>
      <c r="W401" s="3">
        <v>140</v>
      </c>
      <c r="X401" s="3">
        <v>3</v>
      </c>
      <c r="Y401" s="3">
        <v>14</v>
      </c>
      <c r="Z401">
        <v>87.85</v>
      </c>
      <c r="AA401">
        <v>1.5559999999999999E-2</v>
      </c>
      <c r="AB401">
        <v>66.400000000000006</v>
      </c>
      <c r="AC401">
        <v>5</v>
      </c>
      <c r="AD401">
        <v>86.1</v>
      </c>
      <c r="AE401">
        <v>73445.5</v>
      </c>
      <c r="AF401">
        <v>1546</v>
      </c>
      <c r="AH401" s="3">
        <v>260</v>
      </c>
      <c r="AI401" s="3">
        <v>3</v>
      </c>
      <c r="AJ401" s="3">
        <v>13</v>
      </c>
      <c r="AO401">
        <v>86.3</v>
      </c>
      <c r="AP401">
        <v>39992.800000000003</v>
      </c>
      <c r="AQ401">
        <v>2805.7</v>
      </c>
    </row>
    <row r="402" spans="1:43" x14ac:dyDescent="0.25">
      <c r="A402" s="3">
        <v>140</v>
      </c>
      <c r="B402" s="3">
        <v>4</v>
      </c>
      <c r="C402" s="3">
        <v>1</v>
      </c>
      <c r="D402">
        <v>0</v>
      </c>
      <c r="E402">
        <v>6.451612903225544E-2</v>
      </c>
      <c r="H402">
        <v>0</v>
      </c>
      <c r="L402" s="3">
        <v>140</v>
      </c>
      <c r="M402" s="3">
        <v>4</v>
      </c>
      <c r="N402" s="3">
        <v>1</v>
      </c>
      <c r="O402">
        <v>0</v>
      </c>
      <c r="P402">
        <v>9.9999999999995925E-6</v>
      </c>
      <c r="S402">
        <v>0</v>
      </c>
      <c r="T402">
        <v>0</v>
      </c>
      <c r="U402">
        <v>0</v>
      </c>
      <c r="W402" s="3">
        <v>140</v>
      </c>
      <c r="X402" s="3">
        <v>4</v>
      </c>
      <c r="Y402" s="3">
        <v>1</v>
      </c>
      <c r="Z402">
        <v>85</v>
      </c>
      <c r="AA402">
        <v>1.5509999999999999E-2</v>
      </c>
      <c r="AB402">
        <v>0</v>
      </c>
      <c r="AC402">
        <v>0</v>
      </c>
      <c r="AD402">
        <v>85</v>
      </c>
      <c r="AE402">
        <v>0</v>
      </c>
      <c r="AF402">
        <v>0</v>
      </c>
      <c r="AH402" s="3">
        <v>260</v>
      </c>
      <c r="AI402" s="3">
        <v>3</v>
      </c>
      <c r="AJ402" s="3">
        <v>14</v>
      </c>
      <c r="AO402">
        <v>86.4</v>
      </c>
      <c r="AP402">
        <v>74121.5</v>
      </c>
      <c r="AQ402">
        <v>870</v>
      </c>
    </row>
    <row r="403" spans="1:43" x14ac:dyDescent="0.25">
      <c r="A403" s="3">
        <v>140</v>
      </c>
      <c r="B403" s="3">
        <v>4</v>
      </c>
      <c r="C403" s="3">
        <v>2</v>
      </c>
      <c r="H403">
        <v>0</v>
      </c>
      <c r="L403" s="3">
        <v>140</v>
      </c>
      <c r="M403" s="3">
        <v>4</v>
      </c>
      <c r="N403" s="3">
        <v>2</v>
      </c>
      <c r="S403">
        <v>0</v>
      </c>
      <c r="T403">
        <v>0</v>
      </c>
      <c r="U403">
        <v>0</v>
      </c>
      <c r="W403" s="3">
        <v>140</v>
      </c>
      <c r="X403" s="3">
        <v>4</v>
      </c>
      <c r="Y403" s="3">
        <v>2</v>
      </c>
      <c r="Z403">
        <v>85</v>
      </c>
      <c r="AA403">
        <v>1.5509999999999999E-2</v>
      </c>
      <c r="AB403">
        <v>0</v>
      </c>
      <c r="AC403">
        <v>0</v>
      </c>
      <c r="AD403">
        <v>85</v>
      </c>
      <c r="AE403">
        <v>0</v>
      </c>
      <c r="AF403">
        <v>0</v>
      </c>
      <c r="AH403" s="3">
        <v>260</v>
      </c>
      <c r="AI403" s="3">
        <v>4</v>
      </c>
      <c r="AJ403" s="3">
        <v>1</v>
      </c>
      <c r="AK403">
        <v>85</v>
      </c>
      <c r="AL403">
        <v>1.55E-2</v>
      </c>
      <c r="AO403">
        <v>85</v>
      </c>
      <c r="AP403">
        <v>0</v>
      </c>
      <c r="AQ403">
        <v>0</v>
      </c>
    </row>
    <row r="404" spans="1:43" x14ac:dyDescent="0.25">
      <c r="A404" s="3">
        <v>140</v>
      </c>
      <c r="B404" s="3">
        <v>5</v>
      </c>
      <c r="C404" s="3">
        <v>1</v>
      </c>
      <c r="D404">
        <v>2.0202020202016179E-2</v>
      </c>
      <c r="E404">
        <v>0.25806451612903297</v>
      </c>
      <c r="L404" s="3">
        <v>140</v>
      </c>
      <c r="M404" s="3">
        <v>5</v>
      </c>
      <c r="N404" s="3">
        <v>1</v>
      </c>
      <c r="O404">
        <v>-1.9999999999996021E-2</v>
      </c>
      <c r="P404">
        <v>4.0000000000000098E-5</v>
      </c>
      <c r="W404" s="3">
        <v>140</v>
      </c>
      <c r="X404" s="3">
        <v>5</v>
      </c>
      <c r="Y404" s="3">
        <v>1</v>
      </c>
      <c r="Z404">
        <v>98.98</v>
      </c>
      <c r="AA404">
        <v>1.554E-2</v>
      </c>
      <c r="AH404" s="3">
        <v>260</v>
      </c>
      <c r="AI404" s="3">
        <v>4</v>
      </c>
      <c r="AJ404" s="3">
        <v>2</v>
      </c>
      <c r="AO404">
        <v>85</v>
      </c>
      <c r="AP404">
        <v>0</v>
      </c>
      <c r="AQ404">
        <v>0</v>
      </c>
    </row>
    <row r="405" spans="1:43" x14ac:dyDescent="0.25">
      <c r="A405" s="3">
        <v>140</v>
      </c>
      <c r="B405" s="3">
        <v>5</v>
      </c>
      <c r="C405" s="3">
        <v>2</v>
      </c>
      <c r="L405" s="3">
        <v>140</v>
      </c>
      <c r="M405" s="3">
        <v>5</v>
      </c>
      <c r="N405" s="3">
        <v>2</v>
      </c>
      <c r="W405" s="3">
        <v>140</v>
      </c>
      <c r="X405" s="3">
        <v>5</v>
      </c>
      <c r="Y405" s="3">
        <v>2</v>
      </c>
      <c r="Z405">
        <v>98.36</v>
      </c>
      <c r="AA405">
        <v>1.554E-2</v>
      </c>
      <c r="AH405" s="3">
        <v>260</v>
      </c>
      <c r="AI405" s="3">
        <v>5</v>
      </c>
      <c r="AJ405" s="3">
        <v>1</v>
      </c>
      <c r="AK405">
        <v>107.6</v>
      </c>
      <c r="AL405">
        <v>1.5599999999999999E-2</v>
      </c>
    </row>
    <row r="406" spans="1:43" x14ac:dyDescent="0.25">
      <c r="A406" s="3">
        <v>160</v>
      </c>
      <c r="B406" s="3">
        <v>1</v>
      </c>
      <c r="C406" s="3">
        <v>1</v>
      </c>
      <c r="D406">
        <v>1.1764705882358961E-2</v>
      </c>
      <c r="E406">
        <v>6.451612903225544E-2</v>
      </c>
      <c r="L406" s="3">
        <v>160</v>
      </c>
      <c r="M406" s="3">
        <v>1</v>
      </c>
      <c r="N406" s="3">
        <v>1</v>
      </c>
      <c r="O406">
        <v>1.0000000000005119E-2</v>
      </c>
      <c r="P406">
        <v>9.9999999999995925E-6</v>
      </c>
      <c r="W406" s="3">
        <v>160</v>
      </c>
      <c r="X406" s="3">
        <v>1</v>
      </c>
      <c r="Y406" s="3">
        <v>1</v>
      </c>
      <c r="Z406">
        <v>85.01</v>
      </c>
      <c r="AA406">
        <v>1.5509999999999999E-2</v>
      </c>
      <c r="AB406">
        <v>1</v>
      </c>
      <c r="AC406">
        <v>0</v>
      </c>
      <c r="AH406" s="3">
        <v>280</v>
      </c>
      <c r="AI406" s="3">
        <v>1</v>
      </c>
      <c r="AJ406" s="3">
        <v>1</v>
      </c>
      <c r="AK406">
        <v>85</v>
      </c>
      <c r="AL406">
        <v>1.55E-2</v>
      </c>
    </row>
    <row r="407" spans="1:43" x14ac:dyDescent="0.25">
      <c r="A407" s="3">
        <v>160</v>
      </c>
      <c r="B407" s="3">
        <v>1</v>
      </c>
      <c r="C407" s="3">
        <v>2</v>
      </c>
      <c r="L407" s="3">
        <v>160</v>
      </c>
      <c r="M407" s="3">
        <v>1</v>
      </c>
      <c r="N407" s="3">
        <v>2</v>
      </c>
      <c r="W407" s="3">
        <v>160</v>
      </c>
      <c r="X407" s="3">
        <v>1</v>
      </c>
      <c r="Y407" s="3">
        <v>2</v>
      </c>
      <c r="Z407">
        <v>85.03</v>
      </c>
      <c r="AA407">
        <v>1.5509999999999999E-2</v>
      </c>
      <c r="AB407">
        <v>1</v>
      </c>
      <c r="AC407">
        <v>0</v>
      </c>
      <c r="AH407" s="3">
        <v>280</v>
      </c>
      <c r="AI407" s="3">
        <v>2</v>
      </c>
      <c r="AJ407" s="3">
        <v>1</v>
      </c>
      <c r="AK407">
        <v>183.2</v>
      </c>
      <c r="AL407">
        <v>1.5800000000000002E-2</v>
      </c>
      <c r="AO407">
        <v>93.4</v>
      </c>
      <c r="AP407">
        <v>1651112.9</v>
      </c>
      <c r="AQ407">
        <v>352551.5</v>
      </c>
    </row>
    <row r="408" spans="1:43" x14ac:dyDescent="0.25">
      <c r="A408" s="3">
        <v>160</v>
      </c>
      <c r="B408" s="3">
        <v>1</v>
      </c>
      <c r="C408" s="3">
        <v>3</v>
      </c>
      <c r="L408" s="3">
        <v>160</v>
      </c>
      <c r="M408" s="3">
        <v>1</v>
      </c>
      <c r="N408" s="3">
        <v>3</v>
      </c>
      <c r="W408" s="3">
        <v>160</v>
      </c>
      <c r="X408" s="3">
        <v>1</v>
      </c>
      <c r="Y408" s="3">
        <v>3</v>
      </c>
      <c r="Z408">
        <v>85.04</v>
      </c>
      <c r="AA408">
        <v>1.5509999999999999E-2</v>
      </c>
      <c r="AB408">
        <v>1</v>
      </c>
      <c r="AC408">
        <v>0</v>
      </c>
      <c r="AH408" s="3">
        <v>280</v>
      </c>
      <c r="AI408" s="3">
        <v>2</v>
      </c>
      <c r="AJ408" s="3">
        <v>2</v>
      </c>
      <c r="AO408">
        <v>97.1</v>
      </c>
      <c r="AP408">
        <v>2165909</v>
      </c>
      <c r="AQ408">
        <v>504276.2</v>
      </c>
    </row>
    <row r="409" spans="1:43" x14ac:dyDescent="0.25">
      <c r="A409" s="3">
        <v>160</v>
      </c>
      <c r="B409" s="3">
        <v>1</v>
      </c>
      <c r="C409" s="3">
        <v>4</v>
      </c>
      <c r="L409" s="3">
        <v>160</v>
      </c>
      <c r="M409" s="3">
        <v>1</v>
      </c>
      <c r="N409" s="3">
        <v>4</v>
      </c>
      <c r="W409" s="3">
        <v>160</v>
      </c>
      <c r="X409" s="3">
        <v>1</v>
      </c>
      <c r="Y409" s="3">
        <v>4</v>
      </c>
      <c r="Z409">
        <v>85.04</v>
      </c>
      <c r="AA409">
        <v>1.5509999999999999E-2</v>
      </c>
      <c r="AB409">
        <v>1</v>
      </c>
      <c r="AC409">
        <v>0</v>
      </c>
      <c r="AH409" s="3">
        <v>280</v>
      </c>
      <c r="AI409" s="3">
        <v>3</v>
      </c>
      <c r="AJ409" s="3">
        <v>1</v>
      </c>
      <c r="AK409">
        <v>254.7</v>
      </c>
      <c r="AL409">
        <v>1.5800000000000002E-2</v>
      </c>
      <c r="AO409">
        <v>103.1</v>
      </c>
      <c r="AP409">
        <v>857933.4</v>
      </c>
      <c r="AQ409">
        <v>208894.6</v>
      </c>
    </row>
    <row r="410" spans="1:43" x14ac:dyDescent="0.25">
      <c r="A410" s="3">
        <v>160</v>
      </c>
      <c r="B410" s="3">
        <v>1</v>
      </c>
      <c r="C410" s="3">
        <v>5</v>
      </c>
      <c r="L410" s="3">
        <v>160</v>
      </c>
      <c r="M410" s="3">
        <v>1</v>
      </c>
      <c r="N410" s="3">
        <v>5</v>
      </c>
      <c r="W410" s="3">
        <v>160</v>
      </c>
      <c r="X410" s="3">
        <v>1</v>
      </c>
      <c r="Y410" s="3">
        <v>5</v>
      </c>
      <c r="Z410">
        <v>85.05</v>
      </c>
      <c r="AA410">
        <v>1.5509999999999999E-2</v>
      </c>
      <c r="AB410">
        <v>1</v>
      </c>
      <c r="AC410">
        <v>0</v>
      </c>
      <c r="AH410" s="3">
        <v>280</v>
      </c>
      <c r="AI410" s="3">
        <v>3</v>
      </c>
      <c r="AJ410" s="3">
        <v>2</v>
      </c>
      <c r="AO410">
        <v>105.4</v>
      </c>
      <c r="AP410">
        <v>937272.1</v>
      </c>
      <c r="AQ410">
        <v>237632.5</v>
      </c>
    </row>
    <row r="411" spans="1:43" x14ac:dyDescent="0.25">
      <c r="A411" s="3">
        <v>160</v>
      </c>
      <c r="B411" s="3">
        <v>1</v>
      </c>
      <c r="C411" s="3">
        <v>6</v>
      </c>
      <c r="L411" s="3">
        <v>160</v>
      </c>
      <c r="M411" s="3">
        <v>1</v>
      </c>
      <c r="N411" s="3">
        <v>6</v>
      </c>
      <c r="W411" s="3">
        <v>160</v>
      </c>
      <c r="X411" s="3">
        <v>1</v>
      </c>
      <c r="Y411" s="3">
        <v>6</v>
      </c>
      <c r="Z411">
        <v>85.06</v>
      </c>
      <c r="AA411">
        <v>1.5509999999999999E-2</v>
      </c>
      <c r="AB411">
        <v>1</v>
      </c>
      <c r="AC411">
        <v>0</v>
      </c>
      <c r="AH411" s="3">
        <v>280</v>
      </c>
      <c r="AI411" s="3">
        <v>3</v>
      </c>
      <c r="AJ411" s="3">
        <v>3</v>
      </c>
      <c r="AO411">
        <v>107.9</v>
      </c>
      <c r="AP411">
        <v>1024954.4</v>
      </c>
      <c r="AQ411">
        <v>271387.5</v>
      </c>
    </row>
    <row r="412" spans="1:43" x14ac:dyDescent="0.25">
      <c r="A412" s="3">
        <v>160</v>
      </c>
      <c r="B412" s="3">
        <v>1</v>
      </c>
      <c r="C412" s="3">
        <v>7</v>
      </c>
      <c r="L412" s="3">
        <v>160</v>
      </c>
      <c r="M412" s="3">
        <v>1</v>
      </c>
      <c r="N412" s="3">
        <v>7</v>
      </c>
      <c r="W412" s="3">
        <v>160</v>
      </c>
      <c r="X412" s="3">
        <v>1</v>
      </c>
      <c r="Y412" s="3">
        <v>7</v>
      </c>
      <c r="Z412">
        <v>85.06</v>
      </c>
      <c r="AA412">
        <v>1.5509999999999999E-2</v>
      </c>
      <c r="AB412">
        <v>1</v>
      </c>
      <c r="AC412">
        <v>0</v>
      </c>
      <c r="AH412" s="3">
        <v>280</v>
      </c>
      <c r="AI412" s="3">
        <v>3</v>
      </c>
      <c r="AJ412" s="3">
        <v>4</v>
      </c>
      <c r="AO412">
        <v>110.8</v>
      </c>
      <c r="AP412">
        <v>1121354.8</v>
      </c>
      <c r="AQ412">
        <v>311330.3</v>
      </c>
    </row>
    <row r="413" spans="1:43" x14ac:dyDescent="0.25">
      <c r="A413" s="3">
        <v>160</v>
      </c>
      <c r="B413" s="3">
        <v>1</v>
      </c>
      <c r="C413" s="3">
        <v>8</v>
      </c>
      <c r="L413" s="3">
        <v>160</v>
      </c>
      <c r="M413" s="3">
        <v>1</v>
      </c>
      <c r="N413" s="3">
        <v>8</v>
      </c>
      <c r="W413" s="3">
        <v>160</v>
      </c>
      <c r="X413" s="3">
        <v>1</v>
      </c>
      <c r="Y413" s="3">
        <v>8</v>
      </c>
      <c r="Z413">
        <v>85.07</v>
      </c>
      <c r="AA413">
        <v>1.5509999999999999E-2</v>
      </c>
      <c r="AB413">
        <v>1</v>
      </c>
      <c r="AC413">
        <v>0</v>
      </c>
      <c r="AH413" s="3">
        <v>280</v>
      </c>
      <c r="AI413" s="3">
        <v>3</v>
      </c>
      <c r="AJ413" s="3">
        <v>5</v>
      </c>
      <c r="AO413">
        <v>114</v>
      </c>
      <c r="AP413">
        <v>1226707</v>
      </c>
      <c r="AQ413">
        <v>358963.4</v>
      </c>
    </row>
    <row r="414" spans="1:43" x14ac:dyDescent="0.25">
      <c r="A414" s="3">
        <v>160</v>
      </c>
      <c r="B414" s="3">
        <v>1</v>
      </c>
      <c r="C414" s="3">
        <v>9</v>
      </c>
      <c r="L414" s="3">
        <v>160</v>
      </c>
      <c r="M414" s="3">
        <v>1</v>
      </c>
      <c r="N414" s="3">
        <v>9</v>
      </c>
      <c r="W414" s="3">
        <v>160</v>
      </c>
      <c r="X414" s="3">
        <v>1</v>
      </c>
      <c r="Y414" s="3">
        <v>9</v>
      </c>
      <c r="Z414">
        <v>85.07</v>
      </c>
      <c r="AA414">
        <v>1.5509999999999999E-2</v>
      </c>
      <c r="AB414">
        <v>1</v>
      </c>
      <c r="AC414">
        <v>0</v>
      </c>
      <c r="AH414" s="3">
        <v>280</v>
      </c>
      <c r="AI414" s="3">
        <v>3</v>
      </c>
      <c r="AJ414" s="3">
        <v>6</v>
      </c>
      <c r="AO414">
        <v>117.7</v>
      </c>
      <c r="AP414">
        <v>1344235.3</v>
      </c>
      <c r="AQ414">
        <v>416164.3</v>
      </c>
    </row>
    <row r="415" spans="1:43" x14ac:dyDescent="0.25">
      <c r="A415" s="3">
        <v>160</v>
      </c>
      <c r="B415" s="3">
        <v>1</v>
      </c>
      <c r="C415" s="3">
        <v>10</v>
      </c>
      <c r="L415" s="3">
        <v>160</v>
      </c>
      <c r="M415" s="3">
        <v>1</v>
      </c>
      <c r="N415" s="3">
        <v>10</v>
      </c>
      <c r="W415" s="3">
        <v>160</v>
      </c>
      <c r="X415" s="3">
        <v>1</v>
      </c>
      <c r="Y415" s="3">
        <v>10</v>
      </c>
      <c r="Z415">
        <v>85.07</v>
      </c>
      <c r="AA415">
        <v>1.5509999999999999E-2</v>
      </c>
      <c r="AB415">
        <v>1</v>
      </c>
      <c r="AC415">
        <v>0</v>
      </c>
      <c r="AH415" s="3">
        <v>280</v>
      </c>
      <c r="AI415" s="3">
        <v>3</v>
      </c>
      <c r="AJ415" s="3">
        <v>7</v>
      </c>
      <c r="AO415">
        <v>122</v>
      </c>
      <c r="AP415">
        <v>1476020.5</v>
      </c>
      <c r="AQ415">
        <v>485502.4</v>
      </c>
    </row>
    <row r="416" spans="1:43" x14ac:dyDescent="0.25">
      <c r="A416" s="3">
        <v>160</v>
      </c>
      <c r="B416" s="3">
        <v>2</v>
      </c>
      <c r="C416" s="3">
        <v>1</v>
      </c>
      <c r="D416">
        <v>1.284521515736046E-2</v>
      </c>
      <c r="E416">
        <v>6.3694267515920971E-2</v>
      </c>
      <c r="H416">
        <v>0</v>
      </c>
      <c r="I416">
        <v>1.030915163252606E-4</v>
      </c>
      <c r="J416">
        <v>0</v>
      </c>
      <c r="L416" s="3">
        <v>160</v>
      </c>
      <c r="M416" s="3">
        <v>2</v>
      </c>
      <c r="N416" s="3">
        <v>1</v>
      </c>
      <c r="O416">
        <v>2.0000000000010228E-2</v>
      </c>
      <c r="P416">
        <v>-9.9999999999995925E-6</v>
      </c>
      <c r="S416">
        <v>0</v>
      </c>
      <c r="T416">
        <v>1.3000000000465659</v>
      </c>
      <c r="U416">
        <v>0</v>
      </c>
      <c r="W416" s="3">
        <v>160</v>
      </c>
      <c r="X416" s="3">
        <v>2</v>
      </c>
      <c r="Y416" s="3">
        <v>1</v>
      </c>
      <c r="Z416">
        <v>155.72</v>
      </c>
      <c r="AA416">
        <v>1.5689999999999999E-2</v>
      </c>
      <c r="AB416">
        <v>0.1</v>
      </c>
      <c r="AC416">
        <v>0</v>
      </c>
      <c r="AD416">
        <v>88.7</v>
      </c>
      <c r="AE416">
        <v>1261016.8</v>
      </c>
      <c r="AF416">
        <v>240220.7</v>
      </c>
      <c r="AH416" s="3">
        <v>280</v>
      </c>
      <c r="AI416" s="3">
        <v>3</v>
      </c>
      <c r="AJ416" s="3">
        <v>8</v>
      </c>
      <c r="AO416">
        <v>126.9</v>
      </c>
      <c r="AP416">
        <v>1624063.8</v>
      </c>
      <c r="AQ416">
        <v>570446.9</v>
      </c>
    </row>
    <row r="417" spans="1:43" x14ac:dyDescent="0.25">
      <c r="A417" s="3">
        <v>160</v>
      </c>
      <c r="B417" s="3">
        <v>2</v>
      </c>
      <c r="C417" s="3">
        <v>2</v>
      </c>
      <c r="H417">
        <v>0</v>
      </c>
      <c r="I417">
        <v>6.1572771791002336E-5</v>
      </c>
      <c r="J417">
        <v>7.311279427311344E-5</v>
      </c>
      <c r="L417" s="3">
        <v>160</v>
      </c>
      <c r="M417" s="3">
        <v>2</v>
      </c>
      <c r="N417" s="3">
        <v>2</v>
      </c>
      <c r="S417">
        <v>0</v>
      </c>
      <c r="T417">
        <v>1.200000000186265</v>
      </c>
      <c r="U417">
        <v>0.29999999998835852</v>
      </c>
      <c r="W417" s="3">
        <v>160</v>
      </c>
      <c r="X417" s="3">
        <v>2</v>
      </c>
      <c r="Y417" s="3">
        <v>2</v>
      </c>
      <c r="Z417">
        <v>193.94</v>
      </c>
      <c r="AA417">
        <v>1.576E-2</v>
      </c>
      <c r="AB417">
        <v>0.1</v>
      </c>
      <c r="AC417">
        <v>0</v>
      </c>
      <c r="AD417">
        <v>91.6</v>
      </c>
      <c r="AE417">
        <v>1948914.6</v>
      </c>
      <c r="AF417">
        <v>410325.2</v>
      </c>
      <c r="AH417" s="3">
        <v>280</v>
      </c>
      <c r="AI417" s="3">
        <v>3</v>
      </c>
      <c r="AJ417" s="3">
        <v>9</v>
      </c>
      <c r="AO417">
        <v>164.5</v>
      </c>
      <c r="AP417">
        <v>3386239.5</v>
      </c>
      <c r="AQ417">
        <v>638402.6</v>
      </c>
    </row>
    <row r="418" spans="1:43" x14ac:dyDescent="0.25">
      <c r="A418" s="3">
        <v>160</v>
      </c>
      <c r="B418" s="3">
        <v>3</v>
      </c>
      <c r="C418" s="3">
        <v>1</v>
      </c>
      <c r="D418">
        <v>1.684210526315455E-2</v>
      </c>
      <c r="E418">
        <v>6.3291139240503738E-2</v>
      </c>
      <c r="H418">
        <v>0</v>
      </c>
      <c r="I418">
        <v>0</v>
      </c>
      <c r="J418">
        <v>5.4541596954351922E-5</v>
      </c>
      <c r="L418" s="3">
        <v>160</v>
      </c>
      <c r="M418" s="3">
        <v>3</v>
      </c>
      <c r="N418" s="3">
        <v>1</v>
      </c>
      <c r="O418">
        <v>-3.9999999999992042E-2</v>
      </c>
      <c r="P418">
        <v>9.9999999999995925E-6</v>
      </c>
      <c r="S418">
        <v>0</v>
      </c>
      <c r="T418">
        <v>0</v>
      </c>
      <c r="U418">
        <v>-9.9999999976716936E-2</v>
      </c>
      <c r="W418" s="3">
        <v>160</v>
      </c>
      <c r="X418" s="3">
        <v>3</v>
      </c>
      <c r="Y418" s="3">
        <v>1</v>
      </c>
      <c r="Z418">
        <v>237.46</v>
      </c>
      <c r="AA418">
        <v>1.5810000000000001E-2</v>
      </c>
      <c r="AB418">
        <v>0</v>
      </c>
      <c r="AC418">
        <v>0</v>
      </c>
      <c r="AD418">
        <v>96.2</v>
      </c>
      <c r="AE418">
        <v>820860.9</v>
      </c>
      <c r="AF418">
        <v>183346.2</v>
      </c>
      <c r="AH418" s="3">
        <v>280</v>
      </c>
      <c r="AI418" s="3">
        <v>3</v>
      </c>
      <c r="AJ418" s="3">
        <v>10</v>
      </c>
      <c r="AO418">
        <v>184</v>
      </c>
      <c r="AP418">
        <v>4142177.3</v>
      </c>
      <c r="AQ418">
        <v>833177.3</v>
      </c>
    </row>
    <row r="419" spans="1:43" x14ac:dyDescent="0.25">
      <c r="A419" s="3">
        <v>160</v>
      </c>
      <c r="B419" s="3">
        <v>3</v>
      </c>
      <c r="C419" s="3">
        <v>2</v>
      </c>
      <c r="H419">
        <v>0</v>
      </c>
      <c r="I419">
        <v>0</v>
      </c>
      <c r="J419">
        <v>0</v>
      </c>
      <c r="L419" s="3">
        <v>160</v>
      </c>
      <c r="M419" s="3">
        <v>3</v>
      </c>
      <c r="N419" s="3">
        <v>2</v>
      </c>
      <c r="S419">
        <v>0</v>
      </c>
      <c r="T419">
        <v>0</v>
      </c>
      <c r="U419">
        <v>0</v>
      </c>
      <c r="W419" s="3">
        <v>160</v>
      </c>
      <c r="X419" s="3">
        <v>3</v>
      </c>
      <c r="Y419" s="3">
        <v>2</v>
      </c>
      <c r="Z419">
        <v>252.81</v>
      </c>
      <c r="AA419">
        <v>1.5810000000000001E-2</v>
      </c>
      <c r="AB419">
        <v>0</v>
      </c>
      <c r="AC419">
        <v>0</v>
      </c>
      <c r="AD419">
        <v>98</v>
      </c>
      <c r="AE419">
        <v>902501.5</v>
      </c>
      <c r="AF419">
        <v>209808.5</v>
      </c>
      <c r="AH419" s="3">
        <v>280</v>
      </c>
      <c r="AI419" s="3">
        <v>3</v>
      </c>
      <c r="AJ419" s="3">
        <v>11</v>
      </c>
      <c r="AO419">
        <v>394.7</v>
      </c>
      <c r="AP419">
        <v>2200076</v>
      </c>
      <c r="AQ419">
        <v>12541057</v>
      </c>
    </row>
    <row r="420" spans="1:43" x14ac:dyDescent="0.25">
      <c r="A420" s="3">
        <v>160</v>
      </c>
      <c r="B420" s="3">
        <v>3</v>
      </c>
      <c r="C420" s="3">
        <v>3</v>
      </c>
      <c r="H420">
        <v>0</v>
      </c>
      <c r="I420">
        <v>3.0233938124287099E-5</v>
      </c>
      <c r="J420">
        <v>8.3079732454865486E-5</v>
      </c>
      <c r="L420" s="3">
        <v>160</v>
      </c>
      <c r="M420" s="3">
        <v>3</v>
      </c>
      <c r="N420" s="3">
        <v>3</v>
      </c>
      <c r="S420">
        <v>0</v>
      </c>
      <c r="T420">
        <v>-0.30000000004656607</v>
      </c>
      <c r="U420">
        <v>-0.2000000000116415</v>
      </c>
      <c r="W420" s="3">
        <v>160</v>
      </c>
      <c r="X420" s="3">
        <v>3</v>
      </c>
      <c r="Y420" s="3">
        <v>3</v>
      </c>
      <c r="Z420">
        <v>269.56</v>
      </c>
      <c r="AA420">
        <v>1.5820000000000001E-2</v>
      </c>
      <c r="AB420">
        <v>0</v>
      </c>
      <c r="AC420">
        <v>0</v>
      </c>
      <c r="AD420">
        <v>100</v>
      </c>
      <c r="AE420">
        <v>992262.1</v>
      </c>
      <c r="AF420">
        <v>240732.4</v>
      </c>
      <c r="AH420" s="3">
        <v>280</v>
      </c>
      <c r="AI420" s="3">
        <v>3</v>
      </c>
      <c r="AJ420" s="3">
        <v>12</v>
      </c>
      <c r="AO420">
        <v>86.7</v>
      </c>
      <c r="AP420">
        <v>55938.400000000001</v>
      </c>
      <c r="AQ420">
        <v>3954.4</v>
      </c>
    </row>
    <row r="421" spans="1:43" x14ac:dyDescent="0.25">
      <c r="A421" s="3">
        <v>160</v>
      </c>
      <c r="B421" s="3">
        <v>3</v>
      </c>
      <c r="C421" s="3">
        <v>4</v>
      </c>
      <c r="H421">
        <v>0</v>
      </c>
      <c r="I421">
        <v>9.1604997504343E-6</v>
      </c>
      <c r="J421">
        <v>3.6071054218013672E-5</v>
      </c>
      <c r="L421" s="3">
        <v>160</v>
      </c>
      <c r="M421" s="3">
        <v>3</v>
      </c>
      <c r="N421" s="3">
        <v>4</v>
      </c>
      <c r="S421">
        <v>0</v>
      </c>
      <c r="T421">
        <v>0.1000000000931323</v>
      </c>
      <c r="U421">
        <v>0.1000000000349246</v>
      </c>
      <c r="W421" s="3">
        <v>160</v>
      </c>
      <c r="X421" s="3">
        <v>3</v>
      </c>
      <c r="Y421" s="3">
        <v>4</v>
      </c>
      <c r="Z421">
        <v>287.93</v>
      </c>
      <c r="AA421">
        <v>1.5820000000000001E-2</v>
      </c>
      <c r="AB421">
        <v>0</v>
      </c>
      <c r="AC421">
        <v>0</v>
      </c>
      <c r="AD421">
        <v>102.2</v>
      </c>
      <c r="AE421">
        <v>1091643.6000000001</v>
      </c>
      <c r="AF421">
        <v>277230.7</v>
      </c>
      <c r="AH421" s="3">
        <v>280</v>
      </c>
      <c r="AI421" s="3">
        <v>3</v>
      </c>
      <c r="AJ421" s="3">
        <v>13</v>
      </c>
      <c r="AO421">
        <v>86.3</v>
      </c>
      <c r="AP421">
        <v>38725.800000000003</v>
      </c>
      <c r="AQ421">
        <v>2723.8</v>
      </c>
    </row>
    <row r="422" spans="1:43" x14ac:dyDescent="0.25">
      <c r="A422" s="3">
        <v>160</v>
      </c>
      <c r="B422" s="3">
        <v>3</v>
      </c>
      <c r="C422" s="3">
        <v>5</v>
      </c>
      <c r="H422">
        <v>0</v>
      </c>
      <c r="I422">
        <v>4.9953647185976361E-5</v>
      </c>
      <c r="J422">
        <v>9.3545894547695764E-5</v>
      </c>
      <c r="L422" s="3">
        <v>160</v>
      </c>
      <c r="M422" s="3">
        <v>3</v>
      </c>
      <c r="N422" s="3">
        <v>5</v>
      </c>
      <c r="S422">
        <v>0</v>
      </c>
      <c r="T422">
        <v>-0.60000000009313226</v>
      </c>
      <c r="U422">
        <v>-0.29999999998835852</v>
      </c>
      <c r="W422" s="3">
        <v>160</v>
      </c>
      <c r="X422" s="3">
        <v>3</v>
      </c>
      <c r="Y422" s="3">
        <v>5</v>
      </c>
      <c r="Z422">
        <v>308.14</v>
      </c>
      <c r="AA422">
        <v>1.583E-2</v>
      </c>
      <c r="AB422">
        <v>0</v>
      </c>
      <c r="AC422">
        <v>0</v>
      </c>
      <c r="AD422">
        <v>104.8</v>
      </c>
      <c r="AE422">
        <v>1201112.8999999999</v>
      </c>
      <c r="AF422">
        <v>320697.90000000002</v>
      </c>
      <c r="AH422" s="3">
        <v>280</v>
      </c>
      <c r="AI422" s="3">
        <v>3</v>
      </c>
      <c r="AJ422" s="3">
        <v>14</v>
      </c>
      <c r="AO422">
        <v>86.5</v>
      </c>
      <c r="AP422">
        <v>74209.3</v>
      </c>
      <c r="AQ422">
        <v>782.2</v>
      </c>
    </row>
    <row r="423" spans="1:43" x14ac:dyDescent="0.25">
      <c r="A423" s="3">
        <v>160</v>
      </c>
      <c r="B423" s="3">
        <v>3</v>
      </c>
      <c r="C423" s="3">
        <v>6</v>
      </c>
      <c r="H423">
        <v>0</v>
      </c>
      <c r="I423">
        <v>3.7840027650464997E-5</v>
      </c>
      <c r="J423">
        <v>1.072684282373076E-4</v>
      </c>
      <c r="L423" s="3">
        <v>160</v>
      </c>
      <c r="M423" s="3">
        <v>3</v>
      </c>
      <c r="N423" s="3">
        <v>6</v>
      </c>
      <c r="S423">
        <v>0</v>
      </c>
      <c r="T423">
        <v>-0.5</v>
      </c>
      <c r="U423">
        <v>-0.3999999999650754</v>
      </c>
      <c r="W423" s="3">
        <v>160</v>
      </c>
      <c r="X423" s="3">
        <v>3</v>
      </c>
      <c r="Y423" s="3">
        <v>6</v>
      </c>
      <c r="Z423">
        <v>330.42</v>
      </c>
      <c r="AA423">
        <v>1.583E-2</v>
      </c>
      <c r="AB423">
        <v>0</v>
      </c>
      <c r="AC423">
        <v>0</v>
      </c>
      <c r="AD423">
        <v>107.7</v>
      </c>
      <c r="AE423">
        <v>1321351.6000000001</v>
      </c>
      <c r="AF423">
        <v>372895.9</v>
      </c>
      <c r="AH423" s="3">
        <v>280</v>
      </c>
      <c r="AI423" s="3">
        <v>4</v>
      </c>
      <c r="AJ423" s="3">
        <v>1</v>
      </c>
      <c r="AK423">
        <v>85</v>
      </c>
      <c r="AL423">
        <v>1.55E-2</v>
      </c>
      <c r="AO423">
        <v>85</v>
      </c>
      <c r="AP423">
        <v>0</v>
      </c>
      <c r="AQ423">
        <v>0</v>
      </c>
    </row>
    <row r="424" spans="1:43" x14ac:dyDescent="0.25">
      <c r="A424" s="3">
        <v>160</v>
      </c>
      <c r="B424" s="3">
        <v>3</v>
      </c>
      <c r="C424" s="3">
        <v>7</v>
      </c>
      <c r="H424">
        <v>0</v>
      </c>
      <c r="I424">
        <v>3.4339267845602412E-5</v>
      </c>
      <c r="J424">
        <v>6.8799638936825069E-5</v>
      </c>
      <c r="L424" s="3">
        <v>160</v>
      </c>
      <c r="M424" s="3">
        <v>3</v>
      </c>
      <c r="N424" s="3">
        <v>7</v>
      </c>
      <c r="S424">
        <v>0</v>
      </c>
      <c r="T424">
        <v>-0.5</v>
      </c>
      <c r="U424">
        <v>-0.29999999998835852</v>
      </c>
      <c r="W424" s="3">
        <v>160</v>
      </c>
      <c r="X424" s="3">
        <v>3</v>
      </c>
      <c r="Y424" s="3">
        <v>7</v>
      </c>
      <c r="Z424">
        <v>355.04</v>
      </c>
      <c r="AA424">
        <v>1.583E-2</v>
      </c>
      <c r="AB424">
        <v>0</v>
      </c>
      <c r="AC424">
        <v>0</v>
      </c>
      <c r="AD424">
        <v>111</v>
      </c>
      <c r="AE424">
        <v>1456058.5</v>
      </c>
      <c r="AF424">
        <v>436048.5</v>
      </c>
      <c r="AH424" s="3">
        <v>280</v>
      </c>
      <c r="AI424" s="3">
        <v>4</v>
      </c>
      <c r="AJ424" s="3">
        <v>2</v>
      </c>
      <c r="AO424">
        <v>85</v>
      </c>
      <c r="AP424">
        <v>0</v>
      </c>
      <c r="AQ424">
        <v>0</v>
      </c>
    </row>
    <row r="425" spans="1:43" x14ac:dyDescent="0.25">
      <c r="A425" s="3">
        <v>160</v>
      </c>
      <c r="B425" s="3">
        <v>3</v>
      </c>
      <c r="C425" s="3">
        <v>8</v>
      </c>
      <c r="H425">
        <v>0</v>
      </c>
      <c r="I425">
        <v>2.487863114704283E-5</v>
      </c>
      <c r="J425">
        <v>1.948520098531146E-5</v>
      </c>
      <c r="L425" s="3">
        <v>160</v>
      </c>
      <c r="M425" s="3">
        <v>3</v>
      </c>
      <c r="N425" s="3">
        <v>8</v>
      </c>
      <c r="S425">
        <v>0</v>
      </c>
      <c r="T425">
        <v>-0.39999999990686769</v>
      </c>
      <c r="U425">
        <v>-9.9999999976716936E-2</v>
      </c>
      <c r="W425" s="3">
        <v>160</v>
      </c>
      <c r="X425" s="3">
        <v>3</v>
      </c>
      <c r="Y425" s="3">
        <v>8</v>
      </c>
      <c r="Z425">
        <v>382.33</v>
      </c>
      <c r="AA425">
        <v>1.583E-2</v>
      </c>
      <c r="AB425">
        <v>0</v>
      </c>
      <c r="AC425">
        <v>0</v>
      </c>
      <c r="AD425">
        <v>114.8</v>
      </c>
      <c r="AE425">
        <v>1607805.1</v>
      </c>
      <c r="AF425">
        <v>513209.9</v>
      </c>
      <c r="AH425" s="3">
        <v>280</v>
      </c>
      <c r="AI425" s="3">
        <v>5</v>
      </c>
      <c r="AJ425" s="3">
        <v>1</v>
      </c>
      <c r="AK425">
        <v>108.1</v>
      </c>
      <c r="AL425">
        <v>1.5599999999999999E-2</v>
      </c>
    </row>
    <row r="426" spans="1:43" x14ac:dyDescent="0.25">
      <c r="A426" s="3">
        <v>160</v>
      </c>
      <c r="B426" s="3">
        <v>3</v>
      </c>
      <c r="C426" s="3">
        <v>9</v>
      </c>
      <c r="H426">
        <v>0</v>
      </c>
      <c r="I426">
        <v>2.0364381038930341E-5</v>
      </c>
      <c r="J426">
        <v>1.7176874220572181E-5</v>
      </c>
      <c r="L426" s="3">
        <v>160</v>
      </c>
      <c r="M426" s="3">
        <v>3</v>
      </c>
      <c r="N426" s="3">
        <v>9</v>
      </c>
      <c r="S426">
        <v>0</v>
      </c>
      <c r="T426">
        <v>0.70000000018626451</v>
      </c>
      <c r="U426">
        <v>-9.9999999976716936E-2</v>
      </c>
      <c r="W426" s="3">
        <v>160</v>
      </c>
      <c r="X426" s="3">
        <v>3</v>
      </c>
      <c r="Y426" s="3">
        <v>9</v>
      </c>
      <c r="Z426">
        <v>412.7</v>
      </c>
      <c r="AA426">
        <v>1.584E-2</v>
      </c>
      <c r="AB426">
        <v>57.3</v>
      </c>
      <c r="AC426">
        <v>4.5</v>
      </c>
      <c r="AD426">
        <v>143.9</v>
      </c>
      <c r="AE426">
        <v>3437375</v>
      </c>
      <c r="AF426">
        <v>582178</v>
      </c>
      <c r="AH426" s="3">
        <v>300</v>
      </c>
      <c r="AI426" s="3">
        <v>1</v>
      </c>
      <c r="AJ426" s="3">
        <v>1</v>
      </c>
      <c r="AK426">
        <v>85</v>
      </c>
      <c r="AL426">
        <v>1.55E-2</v>
      </c>
    </row>
    <row r="427" spans="1:43" x14ac:dyDescent="0.25">
      <c r="A427" s="3">
        <v>160</v>
      </c>
      <c r="B427" s="3">
        <v>3</v>
      </c>
      <c r="C427" s="3">
        <v>10</v>
      </c>
      <c r="H427">
        <v>0</v>
      </c>
      <c r="I427">
        <v>2.3742220267973688E-5</v>
      </c>
      <c r="J427">
        <v>2.6255115967328902E-5</v>
      </c>
      <c r="L427" s="3">
        <v>160</v>
      </c>
      <c r="M427" s="3">
        <v>3</v>
      </c>
      <c r="N427" s="3">
        <v>10</v>
      </c>
      <c r="S427">
        <v>0</v>
      </c>
      <c r="T427">
        <v>1</v>
      </c>
      <c r="U427">
        <v>0.1999999999534339</v>
      </c>
      <c r="W427" s="3">
        <v>160</v>
      </c>
      <c r="X427" s="3">
        <v>3</v>
      </c>
      <c r="Y427" s="3">
        <v>10</v>
      </c>
      <c r="Z427">
        <v>464.81</v>
      </c>
      <c r="AA427">
        <v>1.5789999999999998E-2</v>
      </c>
      <c r="AB427">
        <v>64.099999999999994</v>
      </c>
      <c r="AC427">
        <v>5.0999999999999996</v>
      </c>
      <c r="AD427">
        <v>158.69999999999999</v>
      </c>
      <c r="AE427">
        <v>4211907</v>
      </c>
      <c r="AF427">
        <v>761756.5</v>
      </c>
      <c r="AH427" s="3">
        <v>300</v>
      </c>
      <c r="AI427" s="3">
        <v>2</v>
      </c>
      <c r="AJ427" s="3">
        <v>1</v>
      </c>
      <c r="AK427">
        <v>185</v>
      </c>
      <c r="AL427">
        <v>1.5800000000000002E-2</v>
      </c>
      <c r="AO427">
        <v>94</v>
      </c>
      <c r="AP427">
        <v>1669730.6</v>
      </c>
      <c r="AQ427">
        <v>359604.1</v>
      </c>
    </row>
    <row r="428" spans="1:43" x14ac:dyDescent="0.25">
      <c r="A428" s="3">
        <v>160</v>
      </c>
      <c r="B428" s="3">
        <v>3</v>
      </c>
      <c r="C428" s="3">
        <v>11</v>
      </c>
      <c r="H428">
        <v>0</v>
      </c>
      <c r="I428">
        <v>1.059167198015544E-4</v>
      </c>
      <c r="J428">
        <v>7.9073098809902416E-6</v>
      </c>
      <c r="L428" s="3">
        <v>160</v>
      </c>
      <c r="M428" s="3">
        <v>3</v>
      </c>
      <c r="N428" s="3">
        <v>11</v>
      </c>
      <c r="S428">
        <v>0</v>
      </c>
      <c r="T428">
        <v>3</v>
      </c>
      <c r="U428">
        <v>1</v>
      </c>
      <c r="W428" s="3">
        <v>160</v>
      </c>
      <c r="X428" s="3">
        <v>3</v>
      </c>
      <c r="Y428" s="3">
        <v>11</v>
      </c>
      <c r="Z428">
        <v>529.28</v>
      </c>
      <c r="AA428">
        <v>1.5730000000000001E-2</v>
      </c>
      <c r="AB428">
        <v>13397.5</v>
      </c>
      <c r="AC428">
        <v>5.0999999999999996</v>
      </c>
      <c r="AD428">
        <v>327.5</v>
      </c>
      <c r="AE428">
        <v>2832417</v>
      </c>
      <c r="AF428">
        <v>12646527</v>
      </c>
      <c r="AH428" s="3">
        <v>300</v>
      </c>
      <c r="AI428" s="3">
        <v>2</v>
      </c>
      <c r="AJ428" s="3">
        <v>2</v>
      </c>
      <c r="AO428">
        <v>97.9</v>
      </c>
      <c r="AP428">
        <v>2179005.5</v>
      </c>
      <c r="AQ428">
        <v>511951.8</v>
      </c>
    </row>
    <row r="429" spans="1:43" x14ac:dyDescent="0.25">
      <c r="A429" s="3">
        <v>160</v>
      </c>
      <c r="B429" s="3">
        <v>3</v>
      </c>
      <c r="C429" s="3">
        <v>12</v>
      </c>
      <c r="H429">
        <v>0</v>
      </c>
      <c r="I429">
        <v>5.5883404863278348E-4</v>
      </c>
      <c r="J429">
        <v>0</v>
      </c>
      <c r="L429" s="3">
        <v>160</v>
      </c>
      <c r="M429" s="3">
        <v>3</v>
      </c>
      <c r="N429" s="3">
        <v>12</v>
      </c>
      <c r="S429">
        <v>0</v>
      </c>
      <c r="T429">
        <v>0.39999999999417918</v>
      </c>
      <c r="U429">
        <v>0</v>
      </c>
      <c r="W429" s="3">
        <v>160</v>
      </c>
      <c r="X429" s="3">
        <v>3</v>
      </c>
      <c r="Y429" s="3">
        <v>12</v>
      </c>
      <c r="Z429">
        <v>92.35</v>
      </c>
      <c r="AA429">
        <v>1.5679999999999999E-2</v>
      </c>
      <c r="AB429">
        <v>64.099999999999994</v>
      </c>
      <c r="AC429">
        <v>5.0999999999999996</v>
      </c>
      <c r="AD429">
        <v>86.7</v>
      </c>
      <c r="AE429">
        <v>71578</v>
      </c>
      <c r="AF429">
        <v>4919.8999999999996</v>
      </c>
      <c r="AH429" s="3">
        <v>300</v>
      </c>
      <c r="AI429" s="3">
        <v>3</v>
      </c>
      <c r="AJ429" s="3">
        <v>1</v>
      </c>
      <c r="AK429">
        <v>256.60000000000002</v>
      </c>
      <c r="AL429">
        <v>1.5800000000000002E-2</v>
      </c>
      <c r="AO429">
        <v>104.1</v>
      </c>
      <c r="AP429">
        <v>861232</v>
      </c>
      <c r="AQ429">
        <v>211534.1</v>
      </c>
    </row>
    <row r="430" spans="1:43" x14ac:dyDescent="0.25">
      <c r="A430" s="3">
        <v>160</v>
      </c>
      <c r="B430" s="3">
        <v>3</v>
      </c>
      <c r="C430" s="3">
        <v>13</v>
      </c>
      <c r="H430">
        <v>0</v>
      </c>
      <c r="I430">
        <v>1.0309809784009489E-3</v>
      </c>
      <c r="J430">
        <v>0</v>
      </c>
      <c r="L430" s="3">
        <v>160</v>
      </c>
      <c r="M430" s="3">
        <v>3</v>
      </c>
      <c r="N430" s="3">
        <v>13</v>
      </c>
      <c r="S430">
        <v>0</v>
      </c>
      <c r="T430">
        <v>0.5</v>
      </c>
      <c r="U430">
        <v>0</v>
      </c>
      <c r="W430" s="3">
        <v>160</v>
      </c>
      <c r="X430" s="3">
        <v>3</v>
      </c>
      <c r="Y430" s="3">
        <v>13</v>
      </c>
      <c r="Z430">
        <v>90.22</v>
      </c>
      <c r="AA430">
        <v>1.562E-2</v>
      </c>
      <c r="AB430">
        <v>64.099999999999994</v>
      </c>
      <c r="AC430">
        <v>5.0999999999999996</v>
      </c>
      <c r="AD430">
        <v>86.4</v>
      </c>
      <c r="AE430">
        <v>48498</v>
      </c>
      <c r="AF430">
        <v>3315.2</v>
      </c>
      <c r="AH430" s="3">
        <v>300</v>
      </c>
      <c r="AI430" s="3">
        <v>3</v>
      </c>
      <c r="AJ430" s="3">
        <v>2</v>
      </c>
      <c r="AO430">
        <v>106.4</v>
      </c>
      <c r="AP430">
        <v>940382.1</v>
      </c>
      <c r="AQ430">
        <v>240540.1</v>
      </c>
    </row>
    <row r="431" spans="1:43" x14ac:dyDescent="0.25">
      <c r="A431" s="3">
        <v>160</v>
      </c>
      <c r="B431" s="3">
        <v>3</v>
      </c>
      <c r="C431" s="3">
        <v>14</v>
      </c>
      <c r="H431">
        <v>0</v>
      </c>
      <c r="I431">
        <v>0</v>
      </c>
      <c r="J431">
        <v>0</v>
      </c>
      <c r="L431" s="3">
        <v>160</v>
      </c>
      <c r="M431" s="3">
        <v>3</v>
      </c>
      <c r="N431" s="3">
        <v>14</v>
      </c>
      <c r="S431">
        <v>0</v>
      </c>
      <c r="T431">
        <v>0</v>
      </c>
      <c r="U431">
        <v>0</v>
      </c>
      <c r="W431" s="3">
        <v>160</v>
      </c>
      <c r="X431" s="3">
        <v>3</v>
      </c>
      <c r="Y431" s="3">
        <v>14</v>
      </c>
      <c r="Z431">
        <v>87.78</v>
      </c>
      <c r="AA431">
        <v>1.5570000000000001E-2</v>
      </c>
      <c r="AB431">
        <v>63.2</v>
      </c>
      <c r="AC431">
        <v>5</v>
      </c>
      <c r="AD431">
        <v>86.1</v>
      </c>
      <c r="AE431">
        <v>73578.2</v>
      </c>
      <c r="AF431">
        <v>1413.3</v>
      </c>
      <c r="AH431" s="3">
        <v>300</v>
      </c>
      <c r="AI431" s="3">
        <v>3</v>
      </c>
      <c r="AJ431" s="3">
        <v>3</v>
      </c>
      <c r="AO431">
        <v>109</v>
      </c>
      <c r="AP431">
        <v>1027879.8</v>
      </c>
      <c r="AQ431">
        <v>274623</v>
      </c>
    </row>
    <row r="432" spans="1:43" x14ac:dyDescent="0.25">
      <c r="A432" s="3">
        <v>160</v>
      </c>
      <c r="B432" s="3">
        <v>4</v>
      </c>
      <c r="C432" s="3">
        <v>1</v>
      </c>
      <c r="D432">
        <v>0</v>
      </c>
      <c r="E432">
        <v>6.451612903225544E-2</v>
      </c>
      <c r="H432">
        <v>0</v>
      </c>
      <c r="L432" s="3">
        <v>160</v>
      </c>
      <c r="M432" s="3">
        <v>4</v>
      </c>
      <c r="N432" s="3">
        <v>1</v>
      </c>
      <c r="O432">
        <v>0</v>
      </c>
      <c r="P432">
        <v>9.9999999999995925E-6</v>
      </c>
      <c r="S432">
        <v>0</v>
      </c>
      <c r="T432">
        <v>0</v>
      </c>
      <c r="U432">
        <v>0</v>
      </c>
      <c r="W432" s="3">
        <v>160</v>
      </c>
      <c r="X432" s="3">
        <v>4</v>
      </c>
      <c r="Y432" s="3">
        <v>1</v>
      </c>
      <c r="Z432">
        <v>85</v>
      </c>
      <c r="AA432">
        <v>1.5509999999999999E-2</v>
      </c>
      <c r="AB432">
        <v>0</v>
      </c>
      <c r="AC432">
        <v>0</v>
      </c>
      <c r="AD432">
        <v>85</v>
      </c>
      <c r="AE432">
        <v>0</v>
      </c>
      <c r="AF432">
        <v>0</v>
      </c>
      <c r="AH432" s="3">
        <v>300</v>
      </c>
      <c r="AI432" s="3">
        <v>3</v>
      </c>
      <c r="AJ432" s="3">
        <v>4</v>
      </c>
      <c r="AO432">
        <v>112</v>
      </c>
      <c r="AP432">
        <v>1123826.3</v>
      </c>
      <c r="AQ432">
        <v>314972.90000000002</v>
      </c>
    </row>
    <row r="433" spans="1:43" x14ac:dyDescent="0.25">
      <c r="A433" s="3">
        <v>160</v>
      </c>
      <c r="B433" s="3">
        <v>4</v>
      </c>
      <c r="C433" s="3">
        <v>2</v>
      </c>
      <c r="H433">
        <v>0</v>
      </c>
      <c r="L433" s="3">
        <v>160</v>
      </c>
      <c r="M433" s="3">
        <v>4</v>
      </c>
      <c r="N433" s="3">
        <v>2</v>
      </c>
      <c r="S433">
        <v>0</v>
      </c>
      <c r="T433">
        <v>0</v>
      </c>
      <c r="U433">
        <v>0</v>
      </c>
      <c r="W433" s="3">
        <v>160</v>
      </c>
      <c r="X433" s="3">
        <v>4</v>
      </c>
      <c r="Y433" s="3">
        <v>2</v>
      </c>
      <c r="Z433">
        <v>85</v>
      </c>
      <c r="AA433">
        <v>1.5509999999999999E-2</v>
      </c>
      <c r="AB433">
        <v>0</v>
      </c>
      <c r="AC433">
        <v>0</v>
      </c>
      <c r="AD433">
        <v>85</v>
      </c>
      <c r="AE433">
        <v>0</v>
      </c>
      <c r="AF433">
        <v>0</v>
      </c>
      <c r="AH433" s="3">
        <v>300</v>
      </c>
      <c r="AI433" s="3">
        <v>3</v>
      </c>
      <c r="AJ433" s="3">
        <v>5</v>
      </c>
      <c r="AO433">
        <v>115.3</v>
      </c>
      <c r="AP433">
        <v>1228970.1000000001</v>
      </c>
      <c r="AQ433">
        <v>363097.8</v>
      </c>
    </row>
    <row r="434" spans="1:43" x14ac:dyDescent="0.25">
      <c r="A434" s="3">
        <v>160</v>
      </c>
      <c r="B434" s="3">
        <v>5</v>
      </c>
      <c r="C434" s="3">
        <v>1</v>
      </c>
      <c r="D434">
        <v>4.9067713444564627E-2</v>
      </c>
      <c r="E434">
        <v>0.3205128205128186</v>
      </c>
      <c r="L434" s="3">
        <v>160</v>
      </c>
      <c r="M434" s="3">
        <v>5</v>
      </c>
      <c r="N434" s="3">
        <v>1</v>
      </c>
      <c r="O434">
        <v>-5.0000000000011369E-2</v>
      </c>
      <c r="P434">
        <v>-4.9999999999999697E-5</v>
      </c>
      <c r="W434" s="3">
        <v>160</v>
      </c>
      <c r="X434" s="3">
        <v>5</v>
      </c>
      <c r="Y434" s="3">
        <v>1</v>
      </c>
      <c r="Z434">
        <v>101.85</v>
      </c>
      <c r="AA434">
        <v>1.555E-2</v>
      </c>
      <c r="AH434" s="3">
        <v>300</v>
      </c>
      <c r="AI434" s="3">
        <v>3</v>
      </c>
      <c r="AJ434" s="3">
        <v>6</v>
      </c>
      <c r="AO434">
        <v>119.2</v>
      </c>
      <c r="AP434">
        <v>1346277.6</v>
      </c>
      <c r="AQ434">
        <v>420907.4</v>
      </c>
    </row>
    <row r="435" spans="1:43" x14ac:dyDescent="0.25">
      <c r="A435" s="3">
        <v>160</v>
      </c>
      <c r="B435" s="3">
        <v>5</v>
      </c>
      <c r="C435" s="3">
        <v>2</v>
      </c>
      <c r="L435" s="3">
        <v>160</v>
      </c>
      <c r="M435" s="3">
        <v>5</v>
      </c>
      <c r="N435" s="3">
        <v>2</v>
      </c>
      <c r="W435" s="3">
        <v>160</v>
      </c>
      <c r="X435" s="3">
        <v>5</v>
      </c>
      <c r="Y435" s="3">
        <v>2</v>
      </c>
      <c r="Z435">
        <v>101.29</v>
      </c>
      <c r="AA435">
        <v>1.555E-2</v>
      </c>
      <c r="AH435" s="3">
        <v>300</v>
      </c>
      <c r="AI435" s="3">
        <v>3</v>
      </c>
      <c r="AJ435" s="3">
        <v>7</v>
      </c>
      <c r="AO435">
        <v>123.5</v>
      </c>
      <c r="AP435">
        <v>1477822</v>
      </c>
      <c r="AQ435">
        <v>491005.6</v>
      </c>
    </row>
    <row r="436" spans="1:43" x14ac:dyDescent="0.25">
      <c r="A436" s="3">
        <v>180</v>
      </c>
      <c r="B436" s="3">
        <v>1</v>
      </c>
      <c r="C436" s="3">
        <v>1</v>
      </c>
      <c r="D436">
        <v>1.1764705882358961E-2</v>
      </c>
      <c r="E436">
        <v>6.451612903225544E-2</v>
      </c>
      <c r="L436" s="3">
        <v>180</v>
      </c>
      <c r="M436" s="3">
        <v>1</v>
      </c>
      <c r="N436" s="3">
        <v>1</v>
      </c>
      <c r="O436">
        <v>1.0000000000005119E-2</v>
      </c>
      <c r="P436">
        <v>9.9999999999995925E-6</v>
      </c>
      <c r="W436" s="3">
        <v>180</v>
      </c>
      <c r="X436" s="3">
        <v>1</v>
      </c>
      <c r="Y436" s="3">
        <v>1</v>
      </c>
      <c r="Z436">
        <v>85.01</v>
      </c>
      <c r="AA436">
        <v>1.5509999999999999E-2</v>
      </c>
      <c r="AB436">
        <v>1</v>
      </c>
      <c r="AC436">
        <v>0</v>
      </c>
      <c r="AH436" s="3">
        <v>300</v>
      </c>
      <c r="AI436" s="3">
        <v>3</v>
      </c>
      <c r="AJ436" s="3">
        <v>8</v>
      </c>
      <c r="AO436">
        <v>128.6</v>
      </c>
      <c r="AP436">
        <v>1625202.9</v>
      </c>
      <c r="AQ436">
        <v>576913.80000000005</v>
      </c>
    </row>
    <row r="437" spans="1:43" x14ac:dyDescent="0.25">
      <c r="A437" s="3">
        <v>180</v>
      </c>
      <c r="B437" s="3">
        <v>1</v>
      </c>
      <c r="C437" s="3">
        <v>2</v>
      </c>
      <c r="L437" s="3">
        <v>180</v>
      </c>
      <c r="M437" s="3">
        <v>1</v>
      </c>
      <c r="N437" s="3">
        <v>2</v>
      </c>
      <c r="W437" s="3">
        <v>180</v>
      </c>
      <c r="X437" s="3">
        <v>1</v>
      </c>
      <c r="Y437" s="3">
        <v>2</v>
      </c>
      <c r="Z437">
        <v>85.03</v>
      </c>
      <c r="AA437">
        <v>1.5509999999999999E-2</v>
      </c>
      <c r="AB437">
        <v>1</v>
      </c>
      <c r="AC437">
        <v>0</v>
      </c>
      <c r="AH437" s="3">
        <v>300</v>
      </c>
      <c r="AI437" s="3">
        <v>3</v>
      </c>
      <c r="AJ437" s="3">
        <v>9</v>
      </c>
      <c r="AO437">
        <v>167.5</v>
      </c>
      <c r="AP437">
        <v>3380221.8</v>
      </c>
      <c r="AQ437">
        <v>644420.4</v>
      </c>
    </row>
    <row r="438" spans="1:43" x14ac:dyDescent="0.25">
      <c r="A438" s="3">
        <v>180</v>
      </c>
      <c r="B438" s="3">
        <v>1</v>
      </c>
      <c r="C438" s="3">
        <v>3</v>
      </c>
      <c r="L438" s="3">
        <v>180</v>
      </c>
      <c r="M438" s="3">
        <v>1</v>
      </c>
      <c r="N438" s="3">
        <v>3</v>
      </c>
      <c r="W438" s="3">
        <v>180</v>
      </c>
      <c r="X438" s="3">
        <v>1</v>
      </c>
      <c r="Y438" s="3">
        <v>3</v>
      </c>
      <c r="Z438">
        <v>85.04</v>
      </c>
      <c r="AA438">
        <v>1.5509999999999999E-2</v>
      </c>
      <c r="AB438">
        <v>1</v>
      </c>
      <c r="AC438">
        <v>0</v>
      </c>
      <c r="AH438" s="3">
        <v>300</v>
      </c>
      <c r="AI438" s="3">
        <v>3</v>
      </c>
      <c r="AJ438" s="3">
        <v>10</v>
      </c>
      <c r="AO438">
        <v>187.6</v>
      </c>
      <c r="AP438">
        <v>4134988.5</v>
      </c>
      <c r="AQ438">
        <v>840365.9</v>
      </c>
    </row>
    <row r="439" spans="1:43" x14ac:dyDescent="0.25">
      <c r="A439" s="3">
        <v>180</v>
      </c>
      <c r="B439" s="3">
        <v>1</v>
      </c>
      <c r="C439" s="3">
        <v>4</v>
      </c>
      <c r="L439" s="3">
        <v>180</v>
      </c>
      <c r="M439" s="3">
        <v>1</v>
      </c>
      <c r="N439" s="3">
        <v>4</v>
      </c>
      <c r="W439" s="3">
        <v>180</v>
      </c>
      <c r="X439" s="3">
        <v>1</v>
      </c>
      <c r="Y439" s="3">
        <v>4</v>
      </c>
      <c r="Z439">
        <v>85.04</v>
      </c>
      <c r="AA439">
        <v>1.5509999999999999E-2</v>
      </c>
      <c r="AB439">
        <v>1</v>
      </c>
      <c r="AC439">
        <v>0</v>
      </c>
      <c r="AH439" s="3">
        <v>300</v>
      </c>
      <c r="AI439" s="3">
        <v>3</v>
      </c>
      <c r="AJ439" s="3">
        <v>11</v>
      </c>
      <c r="AO439">
        <v>403.8</v>
      </c>
      <c r="AP439">
        <v>2110333.7999999998</v>
      </c>
      <c r="AQ439">
        <v>12518835</v>
      </c>
    </row>
    <row r="440" spans="1:43" x14ac:dyDescent="0.25">
      <c r="A440" s="3">
        <v>180</v>
      </c>
      <c r="B440" s="3">
        <v>1</v>
      </c>
      <c r="C440" s="3">
        <v>5</v>
      </c>
      <c r="L440" s="3">
        <v>180</v>
      </c>
      <c r="M440" s="3">
        <v>1</v>
      </c>
      <c r="N440" s="3">
        <v>5</v>
      </c>
      <c r="W440" s="3">
        <v>180</v>
      </c>
      <c r="X440" s="3">
        <v>1</v>
      </c>
      <c r="Y440" s="3">
        <v>5</v>
      </c>
      <c r="Z440">
        <v>85.05</v>
      </c>
      <c r="AA440">
        <v>1.5509999999999999E-2</v>
      </c>
      <c r="AB440">
        <v>1</v>
      </c>
      <c r="AC440">
        <v>0</v>
      </c>
      <c r="AH440" s="3">
        <v>300</v>
      </c>
      <c r="AI440" s="3">
        <v>3</v>
      </c>
      <c r="AJ440" s="3">
        <v>12</v>
      </c>
      <c r="AO440">
        <v>86.7</v>
      </c>
      <c r="AP440">
        <v>54186.2</v>
      </c>
      <c r="AQ440">
        <v>3838.8</v>
      </c>
    </row>
    <row r="441" spans="1:43" x14ac:dyDescent="0.25">
      <c r="A441" s="3">
        <v>180</v>
      </c>
      <c r="B441" s="3">
        <v>1</v>
      </c>
      <c r="C441" s="3">
        <v>6</v>
      </c>
      <c r="L441" s="3">
        <v>180</v>
      </c>
      <c r="M441" s="3">
        <v>1</v>
      </c>
      <c r="N441" s="3">
        <v>6</v>
      </c>
      <c r="W441" s="3">
        <v>180</v>
      </c>
      <c r="X441" s="3">
        <v>1</v>
      </c>
      <c r="Y441" s="3">
        <v>6</v>
      </c>
      <c r="Z441">
        <v>85.06</v>
      </c>
      <c r="AA441">
        <v>1.5509999999999999E-2</v>
      </c>
      <c r="AB441">
        <v>1</v>
      </c>
      <c r="AC441">
        <v>0</v>
      </c>
      <c r="AH441" s="3">
        <v>300</v>
      </c>
      <c r="AI441" s="3">
        <v>3</v>
      </c>
      <c r="AJ441" s="3">
        <v>13</v>
      </c>
      <c r="AO441">
        <v>86.3</v>
      </c>
      <c r="AP441">
        <v>37577.300000000003</v>
      </c>
      <c r="AQ441">
        <v>2648.9</v>
      </c>
    </row>
    <row r="442" spans="1:43" x14ac:dyDescent="0.25">
      <c r="A442" s="3">
        <v>180</v>
      </c>
      <c r="B442" s="3">
        <v>1</v>
      </c>
      <c r="C442" s="3">
        <v>7</v>
      </c>
      <c r="L442" s="3">
        <v>180</v>
      </c>
      <c r="M442" s="3">
        <v>1</v>
      </c>
      <c r="N442" s="3">
        <v>7</v>
      </c>
      <c r="W442" s="3">
        <v>180</v>
      </c>
      <c r="X442" s="3">
        <v>1</v>
      </c>
      <c r="Y442" s="3">
        <v>7</v>
      </c>
      <c r="Z442">
        <v>85.06</v>
      </c>
      <c r="AA442">
        <v>1.5509999999999999E-2</v>
      </c>
      <c r="AB442">
        <v>1</v>
      </c>
      <c r="AC442">
        <v>0</v>
      </c>
      <c r="AH442" s="3">
        <v>300</v>
      </c>
      <c r="AI442" s="3">
        <v>3</v>
      </c>
      <c r="AJ442" s="3">
        <v>14</v>
      </c>
      <c r="AO442">
        <v>86.6</v>
      </c>
      <c r="AP442">
        <v>74291.5</v>
      </c>
      <c r="AQ442">
        <v>700</v>
      </c>
    </row>
    <row r="443" spans="1:43" x14ac:dyDescent="0.25">
      <c r="A443" s="3">
        <v>180</v>
      </c>
      <c r="B443" s="3">
        <v>1</v>
      </c>
      <c r="C443" s="3">
        <v>8</v>
      </c>
      <c r="L443" s="3">
        <v>180</v>
      </c>
      <c r="M443" s="3">
        <v>1</v>
      </c>
      <c r="N443" s="3">
        <v>8</v>
      </c>
      <c r="W443" s="3">
        <v>180</v>
      </c>
      <c r="X443" s="3">
        <v>1</v>
      </c>
      <c r="Y443" s="3">
        <v>8</v>
      </c>
      <c r="Z443">
        <v>85.07</v>
      </c>
      <c r="AA443">
        <v>1.5509999999999999E-2</v>
      </c>
      <c r="AB443">
        <v>1</v>
      </c>
      <c r="AC443">
        <v>0</v>
      </c>
      <c r="AH443" s="3">
        <v>300</v>
      </c>
      <c r="AI443" s="3">
        <v>4</v>
      </c>
      <c r="AJ443" s="3">
        <v>1</v>
      </c>
      <c r="AK443">
        <v>85</v>
      </c>
      <c r="AL443">
        <v>1.55E-2</v>
      </c>
      <c r="AO443">
        <v>85</v>
      </c>
      <c r="AP443">
        <v>0</v>
      </c>
      <c r="AQ443">
        <v>0</v>
      </c>
    </row>
    <row r="444" spans="1:43" x14ac:dyDescent="0.25">
      <c r="A444" s="3">
        <v>180</v>
      </c>
      <c r="B444" s="3">
        <v>1</v>
      </c>
      <c r="C444" s="3">
        <v>9</v>
      </c>
      <c r="L444" s="3">
        <v>180</v>
      </c>
      <c r="M444" s="3">
        <v>1</v>
      </c>
      <c r="N444" s="3">
        <v>9</v>
      </c>
      <c r="W444" s="3">
        <v>180</v>
      </c>
      <c r="X444" s="3">
        <v>1</v>
      </c>
      <c r="Y444" s="3">
        <v>9</v>
      </c>
      <c r="Z444">
        <v>85.07</v>
      </c>
      <c r="AA444">
        <v>1.5509999999999999E-2</v>
      </c>
      <c r="AB444">
        <v>1</v>
      </c>
      <c r="AC444">
        <v>0</v>
      </c>
      <c r="AH444" s="3">
        <v>300</v>
      </c>
      <c r="AI444" s="3">
        <v>4</v>
      </c>
      <c r="AJ444" s="3">
        <v>2</v>
      </c>
      <c r="AO444">
        <v>85</v>
      </c>
      <c r="AP444">
        <v>0</v>
      </c>
      <c r="AQ444">
        <v>0</v>
      </c>
    </row>
    <row r="445" spans="1:43" x14ac:dyDescent="0.25">
      <c r="A445" s="3">
        <v>180</v>
      </c>
      <c r="B445" s="3">
        <v>1</v>
      </c>
      <c r="C445" s="3">
        <v>10</v>
      </c>
      <c r="L445" s="3">
        <v>180</v>
      </c>
      <c r="M445" s="3">
        <v>1</v>
      </c>
      <c r="N445" s="3">
        <v>10</v>
      </c>
      <c r="W445" s="3">
        <v>180</v>
      </c>
      <c r="X445" s="3">
        <v>1</v>
      </c>
      <c r="Y445" s="3">
        <v>10</v>
      </c>
      <c r="Z445">
        <v>85.07</v>
      </c>
      <c r="AA445">
        <v>1.5509999999999999E-2</v>
      </c>
      <c r="AB445">
        <v>1</v>
      </c>
      <c r="AC445">
        <v>0</v>
      </c>
      <c r="AH445" s="3">
        <v>300</v>
      </c>
      <c r="AI445" s="3">
        <v>5</v>
      </c>
      <c r="AJ445" s="3">
        <v>1</v>
      </c>
      <c r="AK445">
        <v>108.5</v>
      </c>
      <c r="AL445">
        <v>1.5599999999999999E-2</v>
      </c>
    </row>
    <row r="446" spans="1:43" x14ac:dyDescent="0.25">
      <c r="A446" s="3">
        <v>180</v>
      </c>
      <c r="B446" s="3">
        <v>2</v>
      </c>
      <c r="C446" s="3">
        <v>1</v>
      </c>
      <c r="D446">
        <v>6.0827250608217181E-3</v>
      </c>
      <c r="E446">
        <v>0.19108280254778501</v>
      </c>
      <c r="H446">
        <v>0</v>
      </c>
      <c r="I446">
        <v>5.0059932479611087E-5</v>
      </c>
      <c r="J446">
        <v>7.2547434237253152E-5</v>
      </c>
      <c r="L446" s="3">
        <v>180</v>
      </c>
      <c r="M446" s="3">
        <v>2</v>
      </c>
      <c r="N446" s="3">
        <v>1</v>
      </c>
      <c r="O446">
        <v>9.9999999999909051E-3</v>
      </c>
      <c r="P446">
        <v>3.000000000000225E-5</v>
      </c>
      <c r="S446">
        <v>0</v>
      </c>
      <c r="T446">
        <v>0.70000000018626451</v>
      </c>
      <c r="U446">
        <v>0.2000000000116415</v>
      </c>
      <c r="W446" s="3">
        <v>180</v>
      </c>
      <c r="X446" s="3">
        <v>2</v>
      </c>
      <c r="Y446" s="3">
        <v>1</v>
      </c>
      <c r="Z446">
        <v>164.41</v>
      </c>
      <c r="AA446">
        <v>1.5730000000000001E-2</v>
      </c>
      <c r="AB446">
        <v>0.1</v>
      </c>
      <c r="AC446">
        <v>0</v>
      </c>
      <c r="AD446">
        <v>89.6</v>
      </c>
      <c r="AE446">
        <v>1398324.6</v>
      </c>
      <c r="AF446">
        <v>275681.90000000002</v>
      </c>
      <c r="AH446" s="3">
        <v>350</v>
      </c>
      <c r="AI446" s="3">
        <v>1</v>
      </c>
      <c r="AJ446" s="3">
        <v>1</v>
      </c>
      <c r="AK446">
        <v>85</v>
      </c>
      <c r="AL446">
        <v>1.55E-2</v>
      </c>
    </row>
    <row r="447" spans="1:43" x14ac:dyDescent="0.25">
      <c r="A447" s="3">
        <v>180</v>
      </c>
      <c r="B447" s="3">
        <v>2</v>
      </c>
      <c r="C447" s="3">
        <v>2</v>
      </c>
      <c r="H447">
        <v>0</v>
      </c>
      <c r="I447">
        <v>2.9619434697940128E-5</v>
      </c>
      <c r="J447">
        <v>2.2825614821613159E-5</v>
      </c>
      <c r="L447" s="3">
        <v>180</v>
      </c>
      <c r="M447" s="3">
        <v>2</v>
      </c>
      <c r="N447" s="3">
        <v>2</v>
      </c>
      <c r="S447">
        <v>0</v>
      </c>
      <c r="T447">
        <v>-0.60000000009313226</v>
      </c>
      <c r="U447">
        <v>0.1000000000349246</v>
      </c>
      <c r="W447" s="3">
        <v>180</v>
      </c>
      <c r="X447" s="3">
        <v>2</v>
      </c>
      <c r="Y447" s="3">
        <v>2</v>
      </c>
      <c r="Z447">
        <v>199.88</v>
      </c>
      <c r="AA447">
        <v>1.5789999999999998E-2</v>
      </c>
      <c r="AB447">
        <v>0.1</v>
      </c>
      <c r="AC447">
        <v>0</v>
      </c>
      <c r="AD447">
        <v>92.7</v>
      </c>
      <c r="AE447">
        <v>2025696.4</v>
      </c>
      <c r="AF447">
        <v>438104.4</v>
      </c>
      <c r="AH447" s="3">
        <v>350</v>
      </c>
      <c r="AI447" s="3">
        <v>2</v>
      </c>
      <c r="AJ447" s="3">
        <v>1</v>
      </c>
      <c r="AK447">
        <v>188.7</v>
      </c>
      <c r="AL447">
        <v>1.5800000000000002E-2</v>
      </c>
      <c r="AO447">
        <v>95.4</v>
      </c>
      <c r="AP447">
        <v>1702677.9</v>
      </c>
      <c r="AQ447">
        <v>373318</v>
      </c>
    </row>
    <row r="448" spans="1:43" x14ac:dyDescent="0.25">
      <c r="A448" s="3">
        <v>180</v>
      </c>
      <c r="B448" s="3">
        <v>3</v>
      </c>
      <c r="C448" s="3">
        <v>1</v>
      </c>
      <c r="D448">
        <v>8.2850041424945356E-3</v>
      </c>
      <c r="E448">
        <v>0.1265822784810075</v>
      </c>
      <c r="H448">
        <v>0</v>
      </c>
      <c r="I448">
        <v>8.4400924656723251E-5</v>
      </c>
      <c r="J448">
        <v>5.2841805903497532E-5</v>
      </c>
      <c r="L448" s="3">
        <v>180</v>
      </c>
      <c r="M448" s="3">
        <v>3</v>
      </c>
      <c r="N448" s="3">
        <v>1</v>
      </c>
      <c r="O448">
        <v>1.999999999998181E-2</v>
      </c>
      <c r="P448">
        <v>1.9999999999999188E-5</v>
      </c>
      <c r="S448">
        <v>0</v>
      </c>
      <c r="T448">
        <v>-0.70000000006984919</v>
      </c>
      <c r="U448">
        <v>-0.10000000000582079</v>
      </c>
      <c r="W448" s="3">
        <v>180</v>
      </c>
      <c r="X448" s="3">
        <v>3</v>
      </c>
      <c r="Y448" s="3">
        <v>1</v>
      </c>
      <c r="Z448">
        <v>241.42</v>
      </c>
      <c r="AA448">
        <v>1.5820000000000001E-2</v>
      </c>
      <c r="AB448">
        <v>0</v>
      </c>
      <c r="AC448">
        <v>0</v>
      </c>
      <c r="AD448">
        <v>97.6</v>
      </c>
      <c r="AE448">
        <v>829374.1</v>
      </c>
      <c r="AF448">
        <v>189244</v>
      </c>
      <c r="AH448" s="3">
        <v>350</v>
      </c>
      <c r="AI448" s="3">
        <v>2</v>
      </c>
      <c r="AJ448" s="3">
        <v>2</v>
      </c>
      <c r="AO448">
        <v>99.6</v>
      </c>
      <c r="AP448">
        <v>2203812.7999999998</v>
      </c>
      <c r="AQ448">
        <v>527982.5</v>
      </c>
    </row>
    <row r="449" spans="1:43" x14ac:dyDescent="0.25">
      <c r="A449" s="3">
        <v>180</v>
      </c>
      <c r="B449" s="3">
        <v>3</v>
      </c>
      <c r="C449" s="3">
        <v>2</v>
      </c>
      <c r="H449">
        <v>0</v>
      </c>
      <c r="I449">
        <v>7.6894828643702564E-5</v>
      </c>
      <c r="J449">
        <v>4.6254988024963251E-5</v>
      </c>
      <c r="L449" s="3">
        <v>180</v>
      </c>
      <c r="M449" s="3">
        <v>3</v>
      </c>
      <c r="N449" s="3">
        <v>2</v>
      </c>
      <c r="S449">
        <v>0</v>
      </c>
      <c r="T449">
        <v>-0.70000000006984919</v>
      </c>
      <c r="U449">
        <v>-0.10000000000582079</v>
      </c>
      <c r="W449" s="3">
        <v>180</v>
      </c>
      <c r="X449" s="3">
        <v>3</v>
      </c>
      <c r="Y449" s="3">
        <v>2</v>
      </c>
      <c r="Z449">
        <v>256.83</v>
      </c>
      <c r="AA449">
        <v>1.5820000000000001E-2</v>
      </c>
      <c r="AB449">
        <v>0</v>
      </c>
      <c r="AC449">
        <v>0</v>
      </c>
      <c r="AD449">
        <v>99.4</v>
      </c>
      <c r="AE449">
        <v>910333.6</v>
      </c>
      <c r="AF449">
        <v>216192.8</v>
      </c>
      <c r="AH449" s="3">
        <v>350</v>
      </c>
      <c r="AI449" s="3">
        <v>3</v>
      </c>
      <c r="AJ449" s="3">
        <v>1</v>
      </c>
      <c r="AK449">
        <v>260.60000000000002</v>
      </c>
      <c r="AL449">
        <v>1.5900000000000001E-2</v>
      </c>
      <c r="AO449">
        <v>106.3</v>
      </c>
      <c r="AP449">
        <v>867866.5</v>
      </c>
      <c r="AQ449">
        <v>217295.8</v>
      </c>
    </row>
    <row r="450" spans="1:43" x14ac:dyDescent="0.25">
      <c r="A450" s="3">
        <v>180</v>
      </c>
      <c r="B450" s="3">
        <v>3</v>
      </c>
      <c r="C450" s="3">
        <v>3</v>
      </c>
      <c r="H450">
        <v>0</v>
      </c>
      <c r="I450">
        <v>1.000286682163108E-4</v>
      </c>
      <c r="J450">
        <v>8.0706993265663833E-5</v>
      </c>
      <c r="L450" s="3">
        <v>180</v>
      </c>
      <c r="M450" s="3">
        <v>3</v>
      </c>
      <c r="N450" s="3">
        <v>3</v>
      </c>
      <c r="S450">
        <v>0</v>
      </c>
      <c r="T450">
        <v>-1</v>
      </c>
      <c r="U450">
        <v>-0.2000000000116415</v>
      </c>
      <c r="W450" s="3">
        <v>180</v>
      </c>
      <c r="X450" s="3">
        <v>3</v>
      </c>
      <c r="Y450" s="3">
        <v>3</v>
      </c>
      <c r="Z450">
        <v>273.7</v>
      </c>
      <c r="AA450">
        <v>1.583E-2</v>
      </c>
      <c r="AB450">
        <v>0</v>
      </c>
      <c r="AC450">
        <v>0</v>
      </c>
      <c r="AD450">
        <v>101.5</v>
      </c>
      <c r="AE450">
        <v>999712.4</v>
      </c>
      <c r="AF450">
        <v>247809.8</v>
      </c>
      <c r="AH450" s="3">
        <v>350</v>
      </c>
      <c r="AI450" s="3">
        <v>3</v>
      </c>
      <c r="AJ450" s="3">
        <v>2</v>
      </c>
      <c r="AO450">
        <v>108.8</v>
      </c>
      <c r="AP450">
        <v>946723.8</v>
      </c>
      <c r="AQ450">
        <v>246951.7</v>
      </c>
    </row>
    <row r="451" spans="1:43" x14ac:dyDescent="0.25">
      <c r="A451" s="3">
        <v>180</v>
      </c>
      <c r="B451" s="3">
        <v>3</v>
      </c>
      <c r="C451" s="3">
        <v>4</v>
      </c>
      <c r="H451">
        <v>0</v>
      </c>
      <c r="I451">
        <v>1.2741099137670561E-4</v>
      </c>
      <c r="J451">
        <v>1.402621429197863E-4</v>
      </c>
      <c r="L451" s="3">
        <v>180</v>
      </c>
      <c r="M451" s="3">
        <v>3</v>
      </c>
      <c r="N451" s="3">
        <v>4</v>
      </c>
      <c r="S451">
        <v>0</v>
      </c>
      <c r="T451">
        <v>-1.4000000001396979</v>
      </c>
      <c r="U451">
        <v>-0.3999999999650754</v>
      </c>
      <c r="W451" s="3">
        <v>180</v>
      </c>
      <c r="X451" s="3">
        <v>3</v>
      </c>
      <c r="Y451" s="3">
        <v>4</v>
      </c>
      <c r="Z451">
        <v>292.20999999999998</v>
      </c>
      <c r="AA451">
        <v>1.583E-2</v>
      </c>
      <c r="AB451">
        <v>0</v>
      </c>
      <c r="AC451">
        <v>0</v>
      </c>
      <c r="AD451">
        <v>103.9</v>
      </c>
      <c r="AE451">
        <v>1098804.8999999999</v>
      </c>
      <c r="AF451">
        <v>285179.90000000002</v>
      </c>
      <c r="AH451" s="3">
        <v>350</v>
      </c>
      <c r="AI451" s="3">
        <v>3</v>
      </c>
      <c r="AJ451" s="3">
        <v>3</v>
      </c>
      <c r="AO451">
        <v>111.6</v>
      </c>
      <c r="AP451">
        <v>1033920.2</v>
      </c>
      <c r="AQ451">
        <v>281821.3</v>
      </c>
    </row>
    <row r="452" spans="1:43" x14ac:dyDescent="0.25">
      <c r="A452" s="3">
        <v>180</v>
      </c>
      <c r="B452" s="3">
        <v>3</v>
      </c>
      <c r="C452" s="3">
        <v>5</v>
      </c>
      <c r="H452">
        <v>0</v>
      </c>
      <c r="I452">
        <v>8.2828569130670272E-5</v>
      </c>
      <c r="J452">
        <v>3.033024481509761E-5</v>
      </c>
      <c r="L452" s="3">
        <v>180</v>
      </c>
      <c r="M452" s="3">
        <v>3</v>
      </c>
      <c r="N452" s="3">
        <v>5</v>
      </c>
      <c r="S452">
        <v>0</v>
      </c>
      <c r="T452">
        <v>-1</v>
      </c>
      <c r="U452">
        <v>-0.1000000000349246</v>
      </c>
      <c r="W452" s="3">
        <v>180</v>
      </c>
      <c r="X452" s="3">
        <v>3</v>
      </c>
      <c r="Y452" s="3">
        <v>5</v>
      </c>
      <c r="Z452">
        <v>312.58999999999997</v>
      </c>
      <c r="AA452">
        <v>1.583E-2</v>
      </c>
      <c r="AB452">
        <v>0</v>
      </c>
      <c r="AC452">
        <v>0</v>
      </c>
      <c r="AD452">
        <v>106.5</v>
      </c>
      <c r="AE452">
        <v>1207311.8999999999</v>
      </c>
      <c r="AF452">
        <v>329703.8</v>
      </c>
      <c r="AH452" s="3">
        <v>350</v>
      </c>
      <c r="AI452" s="3">
        <v>3</v>
      </c>
      <c r="AJ452" s="3">
        <v>4</v>
      </c>
      <c r="AO452">
        <v>114.8</v>
      </c>
      <c r="AP452">
        <v>1128948.6000000001</v>
      </c>
      <c r="AQ452">
        <v>323137.3</v>
      </c>
    </row>
    <row r="453" spans="1:43" x14ac:dyDescent="0.25">
      <c r="A453" s="3">
        <v>180</v>
      </c>
      <c r="B453" s="3">
        <v>3</v>
      </c>
      <c r="C453" s="3">
        <v>6</v>
      </c>
      <c r="H453">
        <v>0</v>
      </c>
      <c r="I453">
        <v>9.0424170739027233E-5</v>
      </c>
      <c r="J453">
        <v>5.2200553485507042E-5</v>
      </c>
      <c r="L453" s="3">
        <v>180</v>
      </c>
      <c r="M453" s="3">
        <v>3</v>
      </c>
      <c r="N453" s="3">
        <v>6</v>
      </c>
      <c r="S453">
        <v>0</v>
      </c>
      <c r="T453">
        <v>-1.1999999999534341</v>
      </c>
      <c r="U453">
        <v>-0.2000000000116415</v>
      </c>
      <c r="W453" s="3">
        <v>180</v>
      </c>
      <c r="X453" s="3">
        <v>3</v>
      </c>
      <c r="Y453" s="3">
        <v>6</v>
      </c>
      <c r="Z453">
        <v>335.04</v>
      </c>
      <c r="AA453">
        <v>1.583E-2</v>
      </c>
      <c r="AB453">
        <v>0</v>
      </c>
      <c r="AC453">
        <v>0</v>
      </c>
      <c r="AD453">
        <v>109.6</v>
      </c>
      <c r="AE453">
        <v>1327077.6000000001</v>
      </c>
      <c r="AF453">
        <v>383137.5</v>
      </c>
      <c r="AH453" s="3">
        <v>350</v>
      </c>
      <c r="AI453" s="3">
        <v>3</v>
      </c>
      <c r="AJ453" s="3">
        <v>5</v>
      </c>
      <c r="AO453">
        <v>118.4</v>
      </c>
      <c r="AP453">
        <v>1233688.8999999999</v>
      </c>
      <c r="AQ453">
        <v>372417.9</v>
      </c>
    </row>
    <row r="454" spans="1:43" x14ac:dyDescent="0.25">
      <c r="A454" s="3">
        <v>180</v>
      </c>
      <c r="B454" s="3">
        <v>3</v>
      </c>
      <c r="C454" s="3">
        <v>7</v>
      </c>
      <c r="H454">
        <v>0</v>
      </c>
      <c r="I454">
        <v>5.4749281129191297E-5</v>
      </c>
      <c r="J454">
        <v>4.4665179752432943E-5</v>
      </c>
      <c r="L454" s="3">
        <v>180</v>
      </c>
      <c r="M454" s="3">
        <v>3</v>
      </c>
      <c r="N454" s="3">
        <v>7</v>
      </c>
      <c r="S454">
        <v>0</v>
      </c>
      <c r="T454">
        <v>-0.79999999981373549</v>
      </c>
      <c r="U454">
        <v>-0.1999999999534339</v>
      </c>
      <c r="W454" s="3">
        <v>180</v>
      </c>
      <c r="X454" s="3">
        <v>3</v>
      </c>
      <c r="Y454" s="3">
        <v>7</v>
      </c>
      <c r="Z454">
        <v>359.84</v>
      </c>
      <c r="AA454">
        <v>1.584E-2</v>
      </c>
      <c r="AB454">
        <v>0</v>
      </c>
      <c r="AC454">
        <v>0</v>
      </c>
      <c r="AD454">
        <v>113.1</v>
      </c>
      <c r="AE454">
        <v>1461205.6</v>
      </c>
      <c r="AF454">
        <v>447775.9</v>
      </c>
      <c r="AH454" s="3">
        <v>350</v>
      </c>
      <c r="AI454" s="3">
        <v>3</v>
      </c>
      <c r="AJ454" s="3">
        <v>6</v>
      </c>
      <c r="AO454">
        <v>122.5</v>
      </c>
      <c r="AP454">
        <v>1350536.9</v>
      </c>
      <c r="AQ454">
        <v>431646.4</v>
      </c>
    </row>
    <row r="455" spans="1:43" x14ac:dyDescent="0.25">
      <c r="A455" s="3">
        <v>180</v>
      </c>
      <c r="B455" s="3">
        <v>3</v>
      </c>
      <c r="C455" s="3">
        <v>8</v>
      </c>
      <c r="H455">
        <v>0</v>
      </c>
      <c r="I455">
        <v>2.4809604898340059E-5</v>
      </c>
      <c r="J455">
        <v>1.8983898254873309E-5</v>
      </c>
      <c r="L455" s="3">
        <v>180</v>
      </c>
      <c r="M455" s="3">
        <v>3</v>
      </c>
      <c r="N455" s="3">
        <v>8</v>
      </c>
      <c r="S455">
        <v>0</v>
      </c>
      <c r="T455">
        <v>-0.40000000013969839</v>
      </c>
      <c r="U455">
        <v>0.1000000000931323</v>
      </c>
      <c r="W455" s="3">
        <v>180</v>
      </c>
      <c r="X455" s="3">
        <v>3</v>
      </c>
      <c r="Y455" s="3">
        <v>8</v>
      </c>
      <c r="Z455">
        <v>387.33</v>
      </c>
      <c r="AA455">
        <v>1.584E-2</v>
      </c>
      <c r="AB455">
        <v>0</v>
      </c>
      <c r="AC455">
        <v>0</v>
      </c>
      <c r="AD455">
        <v>117.1</v>
      </c>
      <c r="AE455">
        <v>1612278.4</v>
      </c>
      <c r="AF455">
        <v>526762.30000000005</v>
      </c>
      <c r="AH455" s="3">
        <v>350</v>
      </c>
      <c r="AI455" s="3">
        <v>3</v>
      </c>
      <c r="AJ455" s="3">
        <v>7</v>
      </c>
      <c r="AO455">
        <v>127.3</v>
      </c>
      <c r="AP455">
        <v>1481539</v>
      </c>
      <c r="AQ455">
        <v>503500.1</v>
      </c>
    </row>
    <row r="456" spans="1:43" x14ac:dyDescent="0.25">
      <c r="A456" s="3">
        <v>180</v>
      </c>
      <c r="B456" s="3">
        <v>3</v>
      </c>
      <c r="C456" s="3">
        <v>9</v>
      </c>
      <c r="H456">
        <v>0</v>
      </c>
      <c r="I456">
        <v>1.458752815939967E-5</v>
      </c>
      <c r="J456">
        <v>1.006663103040218E-4</v>
      </c>
      <c r="L456" s="3">
        <v>180</v>
      </c>
      <c r="M456" s="3">
        <v>3</v>
      </c>
      <c r="N456" s="3">
        <v>9</v>
      </c>
      <c r="S456">
        <v>0</v>
      </c>
      <c r="T456">
        <v>0.5</v>
      </c>
      <c r="U456">
        <v>0.59999999997671694</v>
      </c>
      <c r="W456" s="3">
        <v>180</v>
      </c>
      <c r="X456" s="3">
        <v>3</v>
      </c>
      <c r="Y456" s="3">
        <v>9</v>
      </c>
      <c r="Z456">
        <v>417.93</v>
      </c>
      <c r="AA456">
        <v>1.584E-2</v>
      </c>
      <c r="AB456">
        <v>54.9</v>
      </c>
      <c r="AC456">
        <v>4.5</v>
      </c>
      <c r="AD456">
        <v>147.80000000000001</v>
      </c>
      <c r="AE456">
        <v>3427586</v>
      </c>
      <c r="AF456">
        <v>596029.19999999995</v>
      </c>
      <c r="AH456" s="3">
        <v>350</v>
      </c>
      <c r="AI456" s="3">
        <v>3</v>
      </c>
      <c r="AJ456" s="3">
        <v>8</v>
      </c>
      <c r="AO456">
        <v>132.69999999999999</v>
      </c>
      <c r="AP456">
        <v>1627403.6</v>
      </c>
      <c r="AQ456">
        <v>591618.69999999995</v>
      </c>
    </row>
    <row r="457" spans="1:43" x14ac:dyDescent="0.25">
      <c r="A457" s="3">
        <v>180</v>
      </c>
      <c r="B457" s="3">
        <v>3</v>
      </c>
      <c r="C457" s="3">
        <v>10</v>
      </c>
      <c r="H457">
        <v>0</v>
      </c>
      <c r="I457">
        <v>1.1918000817336501E-5</v>
      </c>
      <c r="J457">
        <v>1.025614990709404E-4</v>
      </c>
      <c r="L457" s="3">
        <v>180</v>
      </c>
      <c r="M457" s="3">
        <v>3</v>
      </c>
      <c r="N457" s="3">
        <v>10</v>
      </c>
      <c r="S457">
        <v>0</v>
      </c>
      <c r="T457">
        <v>-0.5</v>
      </c>
      <c r="U457">
        <v>0.79999999993015081</v>
      </c>
      <c r="W457" s="3">
        <v>180</v>
      </c>
      <c r="X457" s="3">
        <v>3</v>
      </c>
      <c r="Y457" s="3">
        <v>10</v>
      </c>
      <c r="Z457">
        <v>470.59</v>
      </c>
      <c r="AA457">
        <v>1.5789999999999998E-2</v>
      </c>
      <c r="AB457">
        <v>61.4</v>
      </c>
      <c r="AC457">
        <v>5.0999999999999996</v>
      </c>
      <c r="AD457">
        <v>163.5</v>
      </c>
      <c r="AE457">
        <v>4195334</v>
      </c>
      <c r="AF457">
        <v>780020.6</v>
      </c>
      <c r="AH457" s="3">
        <v>350</v>
      </c>
      <c r="AI457" s="3">
        <v>3</v>
      </c>
      <c r="AJ457" s="3">
        <v>9</v>
      </c>
      <c r="AO457">
        <v>174.4</v>
      </c>
      <c r="AP457">
        <v>3366765.3</v>
      </c>
      <c r="AQ457">
        <v>657877</v>
      </c>
    </row>
    <row r="458" spans="1:43" x14ac:dyDescent="0.25">
      <c r="A458" s="3">
        <v>180</v>
      </c>
      <c r="B458" s="3">
        <v>3</v>
      </c>
      <c r="C458" s="3">
        <v>11</v>
      </c>
      <c r="H458">
        <v>0</v>
      </c>
      <c r="I458">
        <v>7.3607850130000659E-5</v>
      </c>
      <c r="J458">
        <v>0</v>
      </c>
      <c r="L458" s="3">
        <v>180</v>
      </c>
      <c r="M458" s="3">
        <v>3</v>
      </c>
      <c r="N458" s="3">
        <v>11</v>
      </c>
      <c r="S458">
        <v>0</v>
      </c>
      <c r="T458">
        <v>2</v>
      </c>
      <c r="U458">
        <v>0</v>
      </c>
      <c r="W458" s="3">
        <v>180</v>
      </c>
      <c r="X458" s="3">
        <v>3</v>
      </c>
      <c r="Y458" s="3">
        <v>11</v>
      </c>
      <c r="Z458">
        <v>535.72</v>
      </c>
      <c r="AA458">
        <v>1.5730000000000001E-2</v>
      </c>
      <c r="AB458">
        <v>13394.7</v>
      </c>
      <c r="AC458">
        <v>5.0999999999999996</v>
      </c>
      <c r="AD458">
        <v>340.7</v>
      </c>
      <c r="AE458">
        <v>2717103.5</v>
      </c>
      <c r="AF458">
        <v>12636497</v>
      </c>
      <c r="AH458" s="3">
        <v>350</v>
      </c>
      <c r="AI458" s="3">
        <v>3</v>
      </c>
      <c r="AJ458" s="3">
        <v>10</v>
      </c>
      <c r="AO458">
        <v>195.7</v>
      </c>
      <c r="AP458">
        <v>4042931.3</v>
      </c>
      <c r="AQ458">
        <v>856621.9</v>
      </c>
    </row>
    <row r="459" spans="1:43" x14ac:dyDescent="0.25">
      <c r="A459" s="3">
        <v>180</v>
      </c>
      <c r="B459" s="3">
        <v>3</v>
      </c>
      <c r="C459" s="3">
        <v>12</v>
      </c>
      <c r="H459">
        <v>0</v>
      </c>
      <c r="I459">
        <v>5.8697330153219284E-4</v>
      </c>
      <c r="J459">
        <v>0</v>
      </c>
      <c r="L459" s="3">
        <v>180</v>
      </c>
      <c r="M459" s="3">
        <v>3</v>
      </c>
      <c r="N459" s="3">
        <v>12</v>
      </c>
      <c r="S459">
        <v>0</v>
      </c>
      <c r="T459">
        <v>0.40000000000873109</v>
      </c>
      <c r="U459">
        <v>0</v>
      </c>
      <c r="W459" s="3">
        <v>180</v>
      </c>
      <c r="X459" s="3">
        <v>3</v>
      </c>
      <c r="Y459" s="3">
        <v>12</v>
      </c>
      <c r="Z459">
        <v>92.12</v>
      </c>
      <c r="AA459">
        <v>1.5679999999999999E-2</v>
      </c>
      <c r="AB459">
        <v>61.4</v>
      </c>
      <c r="AC459">
        <v>5.0999999999999996</v>
      </c>
      <c r="AD459">
        <v>86.7</v>
      </c>
      <c r="AE459">
        <v>68146.600000000006</v>
      </c>
      <c r="AF459">
        <v>4723.5</v>
      </c>
      <c r="AH459" s="3">
        <v>350</v>
      </c>
      <c r="AI459" s="3">
        <v>3</v>
      </c>
      <c r="AJ459" s="3">
        <v>11</v>
      </c>
      <c r="AO459">
        <v>424.8</v>
      </c>
      <c r="AP459">
        <v>1903308.9</v>
      </c>
      <c r="AQ459">
        <v>12462513</v>
      </c>
    </row>
    <row r="460" spans="1:43" x14ac:dyDescent="0.25">
      <c r="A460" s="3">
        <v>180</v>
      </c>
      <c r="B460" s="3">
        <v>3</v>
      </c>
      <c r="C460" s="3">
        <v>13</v>
      </c>
      <c r="H460">
        <v>0</v>
      </c>
      <c r="I460">
        <v>6.4510163575332686E-4</v>
      </c>
      <c r="J460">
        <v>0</v>
      </c>
      <c r="L460" s="3">
        <v>180</v>
      </c>
      <c r="M460" s="3">
        <v>3</v>
      </c>
      <c r="N460" s="3">
        <v>13</v>
      </c>
      <c r="S460">
        <v>0</v>
      </c>
      <c r="T460">
        <v>0.29999999999563443</v>
      </c>
      <c r="U460">
        <v>0</v>
      </c>
      <c r="W460" s="3">
        <v>180</v>
      </c>
      <c r="X460" s="3">
        <v>3</v>
      </c>
      <c r="Y460" s="3">
        <v>13</v>
      </c>
      <c r="Z460">
        <v>90.06</v>
      </c>
      <c r="AA460">
        <v>1.562E-2</v>
      </c>
      <c r="AB460">
        <v>61.4</v>
      </c>
      <c r="AC460">
        <v>5.0999999999999996</v>
      </c>
      <c r="AD460">
        <v>86.3</v>
      </c>
      <c r="AE460">
        <v>46504.6</v>
      </c>
      <c r="AF460">
        <v>3205.9</v>
      </c>
      <c r="AH460" s="3">
        <v>350</v>
      </c>
      <c r="AI460" s="3">
        <v>3</v>
      </c>
      <c r="AJ460" s="3">
        <v>12</v>
      </c>
      <c r="AO460">
        <v>86.7</v>
      </c>
      <c r="AP460">
        <v>50472.3</v>
      </c>
      <c r="AQ460">
        <v>3592.1</v>
      </c>
    </row>
    <row r="461" spans="1:43" x14ac:dyDescent="0.25">
      <c r="A461" s="3">
        <v>180</v>
      </c>
      <c r="B461" s="3">
        <v>3</v>
      </c>
      <c r="C461" s="3">
        <v>14</v>
      </c>
      <c r="H461">
        <v>0</v>
      </c>
      <c r="I461">
        <v>1.356806078570208E-4</v>
      </c>
      <c r="J461">
        <v>7.7579519006911596E-3</v>
      </c>
      <c r="L461" s="3">
        <v>180</v>
      </c>
      <c r="M461" s="3">
        <v>3</v>
      </c>
      <c r="N461" s="3">
        <v>14</v>
      </c>
      <c r="S461">
        <v>0</v>
      </c>
      <c r="T461">
        <v>-0.10000000000582079</v>
      </c>
      <c r="U461">
        <v>9.9999999999909051E-2</v>
      </c>
      <c r="W461" s="3">
        <v>180</v>
      </c>
      <c r="X461" s="3">
        <v>3</v>
      </c>
      <c r="Y461" s="3">
        <v>14</v>
      </c>
      <c r="Z461">
        <v>87.7</v>
      </c>
      <c r="AA461">
        <v>1.5570000000000001E-2</v>
      </c>
      <c r="AB461">
        <v>60.5</v>
      </c>
      <c r="AC461">
        <v>5</v>
      </c>
      <c r="AD461">
        <v>86.2</v>
      </c>
      <c r="AE461">
        <v>73702.399999999994</v>
      </c>
      <c r="AF461">
        <v>1289.0999999999999</v>
      </c>
      <c r="AH461" s="3">
        <v>350</v>
      </c>
      <c r="AI461" s="3">
        <v>3</v>
      </c>
      <c r="AJ461" s="3">
        <v>13</v>
      </c>
      <c r="AO461">
        <v>86.3</v>
      </c>
      <c r="AP461">
        <v>35133.699999999997</v>
      </c>
      <c r="AQ461">
        <v>2488.4</v>
      </c>
    </row>
    <row r="462" spans="1:43" x14ac:dyDescent="0.25">
      <c r="A462" s="3">
        <v>180</v>
      </c>
      <c r="B462" s="3">
        <v>4</v>
      </c>
      <c r="C462" s="3">
        <v>1</v>
      </c>
      <c r="D462">
        <v>0</v>
      </c>
      <c r="E462">
        <v>6.451612903225544E-2</v>
      </c>
      <c r="H462">
        <v>0</v>
      </c>
      <c r="L462" s="3">
        <v>180</v>
      </c>
      <c r="M462" s="3">
        <v>4</v>
      </c>
      <c r="N462" s="3">
        <v>1</v>
      </c>
      <c r="O462">
        <v>0</v>
      </c>
      <c r="P462">
        <v>9.9999999999995925E-6</v>
      </c>
      <c r="S462">
        <v>0</v>
      </c>
      <c r="T462">
        <v>0</v>
      </c>
      <c r="U462">
        <v>0</v>
      </c>
      <c r="W462" s="3">
        <v>180</v>
      </c>
      <c r="X462" s="3">
        <v>4</v>
      </c>
      <c r="Y462" s="3">
        <v>1</v>
      </c>
      <c r="Z462">
        <v>85</v>
      </c>
      <c r="AA462">
        <v>1.5509999999999999E-2</v>
      </c>
      <c r="AB462">
        <v>0</v>
      </c>
      <c r="AC462">
        <v>0</v>
      </c>
      <c r="AD462">
        <v>85</v>
      </c>
      <c r="AE462">
        <v>0</v>
      </c>
      <c r="AF462">
        <v>0</v>
      </c>
      <c r="AH462" s="3">
        <v>350</v>
      </c>
      <c r="AI462" s="3">
        <v>3</v>
      </c>
      <c r="AJ462" s="3">
        <v>14</v>
      </c>
      <c r="AO462">
        <v>86.7</v>
      </c>
      <c r="AP462">
        <v>74476.100000000006</v>
      </c>
      <c r="AQ462">
        <v>515.4</v>
      </c>
    </row>
    <row r="463" spans="1:43" x14ac:dyDescent="0.25">
      <c r="A463" s="3">
        <v>180</v>
      </c>
      <c r="B463" s="3">
        <v>4</v>
      </c>
      <c r="C463" s="3">
        <v>2</v>
      </c>
      <c r="H463">
        <v>0</v>
      </c>
      <c r="L463" s="3">
        <v>180</v>
      </c>
      <c r="M463" s="3">
        <v>4</v>
      </c>
      <c r="N463" s="3">
        <v>2</v>
      </c>
      <c r="S463">
        <v>0</v>
      </c>
      <c r="T463">
        <v>0</v>
      </c>
      <c r="U463">
        <v>0</v>
      </c>
      <c r="W463" s="3">
        <v>180</v>
      </c>
      <c r="X463" s="3">
        <v>4</v>
      </c>
      <c r="Y463" s="3">
        <v>2</v>
      </c>
      <c r="Z463">
        <v>85</v>
      </c>
      <c r="AA463">
        <v>1.5509999999999999E-2</v>
      </c>
      <c r="AB463">
        <v>0</v>
      </c>
      <c r="AC463">
        <v>0</v>
      </c>
      <c r="AD463">
        <v>85</v>
      </c>
      <c r="AE463">
        <v>0</v>
      </c>
      <c r="AF463">
        <v>0</v>
      </c>
      <c r="AH463" s="3">
        <v>350</v>
      </c>
      <c r="AI463" s="3">
        <v>4</v>
      </c>
      <c r="AJ463" s="3">
        <v>1</v>
      </c>
      <c r="AK463">
        <v>85</v>
      </c>
      <c r="AL463">
        <v>1.55E-2</v>
      </c>
      <c r="AO463">
        <v>85</v>
      </c>
      <c r="AP463">
        <v>0</v>
      </c>
      <c r="AQ463">
        <v>0</v>
      </c>
    </row>
    <row r="464" spans="1:43" x14ac:dyDescent="0.25">
      <c r="A464" s="3">
        <v>180</v>
      </c>
      <c r="B464" s="3">
        <v>5</v>
      </c>
      <c r="C464" s="3">
        <v>1</v>
      </c>
      <c r="D464">
        <v>9.6246390760395713E-3</v>
      </c>
      <c r="E464">
        <v>0.25641025641025711</v>
      </c>
      <c r="L464" s="3">
        <v>180</v>
      </c>
      <c r="M464" s="3">
        <v>5</v>
      </c>
      <c r="N464" s="3">
        <v>1</v>
      </c>
      <c r="O464">
        <v>-1.0000000000005119E-2</v>
      </c>
      <c r="P464">
        <v>-4.0000000000000098E-5</v>
      </c>
      <c r="W464" s="3">
        <v>180</v>
      </c>
      <c r="X464" s="3">
        <v>5</v>
      </c>
      <c r="Y464" s="3">
        <v>1</v>
      </c>
      <c r="Z464">
        <v>103.89</v>
      </c>
      <c r="AA464">
        <v>1.5559999999999999E-2</v>
      </c>
      <c r="AH464" s="3">
        <v>350</v>
      </c>
      <c r="AI464" s="3">
        <v>4</v>
      </c>
      <c r="AJ464" s="3">
        <v>2</v>
      </c>
      <c r="AO464">
        <v>85</v>
      </c>
      <c r="AP464">
        <v>0</v>
      </c>
      <c r="AQ464">
        <v>0</v>
      </c>
    </row>
    <row r="465" spans="1:43" x14ac:dyDescent="0.25">
      <c r="A465" s="3">
        <v>180</v>
      </c>
      <c r="B465" s="3">
        <v>5</v>
      </c>
      <c r="C465" s="3">
        <v>2</v>
      </c>
      <c r="L465" s="3">
        <v>180</v>
      </c>
      <c r="M465" s="3">
        <v>5</v>
      </c>
      <c r="N465" s="3">
        <v>2</v>
      </c>
      <c r="W465" s="3">
        <v>180</v>
      </c>
      <c r="X465" s="3">
        <v>5</v>
      </c>
      <c r="Y465" s="3">
        <v>2</v>
      </c>
      <c r="Z465">
        <v>103.38</v>
      </c>
      <c r="AA465">
        <v>1.5559999999999999E-2</v>
      </c>
      <c r="AH465" s="3">
        <v>350</v>
      </c>
      <c r="AI465" s="3">
        <v>5</v>
      </c>
      <c r="AJ465" s="3">
        <v>1</v>
      </c>
      <c r="AK465">
        <v>109.2</v>
      </c>
      <c r="AL465">
        <v>1.5599999999999999E-2</v>
      </c>
    </row>
    <row r="466" spans="1:43" x14ac:dyDescent="0.25">
      <c r="A466" s="3">
        <v>200</v>
      </c>
      <c r="B466" s="3">
        <v>1</v>
      </c>
      <c r="C466" s="3">
        <v>1</v>
      </c>
      <c r="D466">
        <v>1.1764705882358961E-2</v>
      </c>
      <c r="E466">
        <v>6.451612903225544E-2</v>
      </c>
      <c r="L466" s="3">
        <v>200</v>
      </c>
      <c r="M466" s="3">
        <v>1</v>
      </c>
      <c r="N466" s="3">
        <v>1</v>
      </c>
      <c r="O466">
        <v>1.0000000000005119E-2</v>
      </c>
      <c r="P466">
        <v>9.9999999999995925E-6</v>
      </c>
      <c r="W466" s="3">
        <v>200</v>
      </c>
      <c r="X466" s="3">
        <v>1</v>
      </c>
      <c r="Y466" s="3">
        <v>1</v>
      </c>
      <c r="Z466">
        <v>85.01</v>
      </c>
      <c r="AA466">
        <v>1.5509999999999999E-2</v>
      </c>
      <c r="AB466">
        <v>1</v>
      </c>
      <c r="AC466">
        <v>0</v>
      </c>
      <c r="AH466" s="3">
        <v>400</v>
      </c>
      <c r="AI466" s="3">
        <v>1</v>
      </c>
      <c r="AJ466" s="3">
        <v>1</v>
      </c>
      <c r="AK466">
        <v>85</v>
      </c>
      <c r="AL466">
        <v>1.55E-2</v>
      </c>
    </row>
    <row r="467" spans="1:43" x14ac:dyDescent="0.25">
      <c r="A467" s="3">
        <v>200</v>
      </c>
      <c r="B467" s="3">
        <v>1</v>
      </c>
      <c r="C467" s="3">
        <v>2</v>
      </c>
      <c r="L467" s="3">
        <v>200</v>
      </c>
      <c r="M467" s="3">
        <v>1</v>
      </c>
      <c r="N467" s="3">
        <v>2</v>
      </c>
      <c r="W467" s="3">
        <v>200</v>
      </c>
      <c r="X467" s="3">
        <v>1</v>
      </c>
      <c r="Y467" s="3">
        <v>2</v>
      </c>
      <c r="Z467">
        <v>85.03</v>
      </c>
      <c r="AA467">
        <v>1.5509999999999999E-2</v>
      </c>
      <c r="AB467">
        <v>1</v>
      </c>
      <c r="AC467">
        <v>0</v>
      </c>
      <c r="AH467" s="3">
        <v>400</v>
      </c>
      <c r="AI467" s="3">
        <v>2</v>
      </c>
      <c r="AJ467" s="3">
        <v>1</v>
      </c>
      <c r="AK467">
        <v>191.6</v>
      </c>
      <c r="AL467">
        <v>1.5800000000000002E-2</v>
      </c>
      <c r="AO467">
        <v>96.7</v>
      </c>
      <c r="AP467">
        <v>1725476.1</v>
      </c>
      <c r="AQ467">
        <v>383964.4</v>
      </c>
    </row>
    <row r="468" spans="1:43" x14ac:dyDescent="0.25">
      <c r="A468" s="3">
        <v>200</v>
      </c>
      <c r="B468" s="3">
        <v>1</v>
      </c>
      <c r="C468" s="3">
        <v>3</v>
      </c>
      <c r="L468" s="3">
        <v>200</v>
      </c>
      <c r="M468" s="3">
        <v>1</v>
      </c>
      <c r="N468" s="3">
        <v>3</v>
      </c>
      <c r="W468" s="3">
        <v>200</v>
      </c>
      <c r="X468" s="3">
        <v>1</v>
      </c>
      <c r="Y468" s="3">
        <v>3</v>
      </c>
      <c r="Z468">
        <v>85.04</v>
      </c>
      <c r="AA468">
        <v>1.5509999999999999E-2</v>
      </c>
      <c r="AB468">
        <v>1</v>
      </c>
      <c r="AC468">
        <v>0</v>
      </c>
      <c r="AH468" s="3">
        <v>400</v>
      </c>
      <c r="AI468" s="3">
        <v>2</v>
      </c>
      <c r="AJ468" s="3">
        <v>2</v>
      </c>
      <c r="AO468">
        <v>101.1</v>
      </c>
      <c r="AP468">
        <v>2222385.5</v>
      </c>
      <c r="AQ468">
        <v>541370.30000000005</v>
      </c>
    </row>
    <row r="469" spans="1:43" x14ac:dyDescent="0.25">
      <c r="A469" s="3">
        <v>200</v>
      </c>
      <c r="B469" s="3">
        <v>1</v>
      </c>
      <c r="C469" s="3">
        <v>4</v>
      </c>
      <c r="L469" s="3">
        <v>200</v>
      </c>
      <c r="M469" s="3">
        <v>1</v>
      </c>
      <c r="N469" s="3">
        <v>4</v>
      </c>
      <c r="W469" s="3">
        <v>200</v>
      </c>
      <c r="X469" s="3">
        <v>1</v>
      </c>
      <c r="Y469" s="3">
        <v>4</v>
      </c>
      <c r="Z469">
        <v>85.04</v>
      </c>
      <c r="AA469">
        <v>1.5509999999999999E-2</v>
      </c>
      <c r="AB469">
        <v>1</v>
      </c>
      <c r="AC469">
        <v>0</v>
      </c>
      <c r="AH469" s="3">
        <v>400</v>
      </c>
      <c r="AI469" s="3">
        <v>3</v>
      </c>
      <c r="AJ469" s="3">
        <v>1</v>
      </c>
      <c r="AK469">
        <v>264.2</v>
      </c>
      <c r="AL469">
        <v>1.5900000000000001E-2</v>
      </c>
      <c r="AO469">
        <v>108.4</v>
      </c>
      <c r="AP469">
        <v>873153.3</v>
      </c>
      <c r="AQ469">
        <v>222311.4</v>
      </c>
    </row>
    <row r="470" spans="1:43" x14ac:dyDescent="0.25">
      <c r="A470" s="3">
        <v>200</v>
      </c>
      <c r="B470" s="3">
        <v>1</v>
      </c>
      <c r="C470" s="3">
        <v>5</v>
      </c>
      <c r="L470" s="3">
        <v>200</v>
      </c>
      <c r="M470" s="3">
        <v>1</v>
      </c>
      <c r="N470" s="3">
        <v>5</v>
      </c>
      <c r="W470" s="3">
        <v>200</v>
      </c>
      <c r="X470" s="3">
        <v>1</v>
      </c>
      <c r="Y470" s="3">
        <v>5</v>
      </c>
      <c r="Z470">
        <v>85.05</v>
      </c>
      <c r="AA470">
        <v>1.5509999999999999E-2</v>
      </c>
      <c r="AB470">
        <v>1</v>
      </c>
      <c r="AC470">
        <v>0</v>
      </c>
      <c r="AH470" s="3">
        <v>400</v>
      </c>
      <c r="AI470" s="3">
        <v>3</v>
      </c>
      <c r="AJ470" s="3">
        <v>2</v>
      </c>
      <c r="AO470">
        <v>111.1</v>
      </c>
      <c r="AP470">
        <v>951803.8</v>
      </c>
      <c r="AQ470">
        <v>252570.5</v>
      </c>
    </row>
    <row r="471" spans="1:43" x14ac:dyDescent="0.25">
      <c r="A471" s="3">
        <v>200</v>
      </c>
      <c r="B471" s="3">
        <v>1</v>
      </c>
      <c r="C471" s="3">
        <v>6</v>
      </c>
      <c r="L471" s="3">
        <v>200</v>
      </c>
      <c r="M471" s="3">
        <v>1</v>
      </c>
      <c r="N471" s="3">
        <v>6</v>
      </c>
      <c r="W471" s="3">
        <v>200</v>
      </c>
      <c r="X471" s="3">
        <v>1</v>
      </c>
      <c r="Y471" s="3">
        <v>6</v>
      </c>
      <c r="Z471">
        <v>85.06</v>
      </c>
      <c r="AA471">
        <v>1.5509999999999999E-2</v>
      </c>
      <c r="AB471">
        <v>1</v>
      </c>
      <c r="AC471">
        <v>0</v>
      </c>
      <c r="AH471" s="3">
        <v>400</v>
      </c>
      <c r="AI471" s="3">
        <v>3</v>
      </c>
      <c r="AJ471" s="3">
        <v>3</v>
      </c>
      <c r="AO471">
        <v>114.1</v>
      </c>
      <c r="AP471">
        <v>1038765.8</v>
      </c>
      <c r="AQ471">
        <v>288162.5</v>
      </c>
    </row>
    <row r="472" spans="1:43" x14ac:dyDescent="0.25">
      <c r="A472" s="3">
        <v>200</v>
      </c>
      <c r="B472" s="3">
        <v>1</v>
      </c>
      <c r="C472" s="3">
        <v>7</v>
      </c>
      <c r="L472" s="3">
        <v>200</v>
      </c>
      <c r="M472" s="3">
        <v>1</v>
      </c>
      <c r="N472" s="3">
        <v>7</v>
      </c>
      <c r="W472" s="3">
        <v>200</v>
      </c>
      <c r="X472" s="3">
        <v>1</v>
      </c>
      <c r="Y472" s="3">
        <v>7</v>
      </c>
      <c r="Z472">
        <v>85.06</v>
      </c>
      <c r="AA472">
        <v>1.5509999999999999E-2</v>
      </c>
      <c r="AB472">
        <v>1</v>
      </c>
      <c r="AC472">
        <v>0</v>
      </c>
      <c r="AH472" s="3">
        <v>400</v>
      </c>
      <c r="AI472" s="3">
        <v>3</v>
      </c>
      <c r="AJ472" s="3">
        <v>4</v>
      </c>
      <c r="AO472">
        <v>117.4</v>
      </c>
      <c r="AP472">
        <v>1133012.3</v>
      </c>
      <c r="AQ472">
        <v>330361.8</v>
      </c>
    </row>
    <row r="473" spans="1:43" x14ac:dyDescent="0.25">
      <c r="A473" s="3">
        <v>200</v>
      </c>
      <c r="B473" s="3">
        <v>1</v>
      </c>
      <c r="C473" s="3">
        <v>8</v>
      </c>
      <c r="L473" s="3">
        <v>200</v>
      </c>
      <c r="M473" s="3">
        <v>1</v>
      </c>
      <c r="N473" s="3">
        <v>8</v>
      </c>
      <c r="W473" s="3">
        <v>200</v>
      </c>
      <c r="X473" s="3">
        <v>1</v>
      </c>
      <c r="Y473" s="3">
        <v>8</v>
      </c>
      <c r="Z473">
        <v>85.07</v>
      </c>
      <c r="AA473">
        <v>1.5509999999999999E-2</v>
      </c>
      <c r="AB473">
        <v>1</v>
      </c>
      <c r="AC473">
        <v>0</v>
      </c>
      <c r="AH473" s="3">
        <v>400</v>
      </c>
      <c r="AI473" s="3">
        <v>3</v>
      </c>
      <c r="AJ473" s="3">
        <v>5</v>
      </c>
      <c r="AO473">
        <v>121.3</v>
      </c>
      <c r="AP473">
        <v>1237402.3999999999</v>
      </c>
      <c r="AQ473">
        <v>380696</v>
      </c>
    </row>
    <row r="474" spans="1:43" x14ac:dyDescent="0.25">
      <c r="A474" s="3">
        <v>200</v>
      </c>
      <c r="B474" s="3">
        <v>1</v>
      </c>
      <c r="C474" s="3">
        <v>9</v>
      </c>
      <c r="L474" s="3">
        <v>200</v>
      </c>
      <c r="M474" s="3">
        <v>1</v>
      </c>
      <c r="N474" s="3">
        <v>9</v>
      </c>
      <c r="W474" s="3">
        <v>200</v>
      </c>
      <c r="X474" s="3">
        <v>1</v>
      </c>
      <c r="Y474" s="3">
        <v>9</v>
      </c>
      <c r="Z474">
        <v>85.07</v>
      </c>
      <c r="AA474">
        <v>1.5509999999999999E-2</v>
      </c>
      <c r="AB474">
        <v>1</v>
      </c>
      <c r="AC474">
        <v>0</v>
      </c>
      <c r="AH474" s="3">
        <v>400</v>
      </c>
      <c r="AI474" s="3">
        <v>3</v>
      </c>
      <c r="AJ474" s="3">
        <v>6</v>
      </c>
      <c r="AO474">
        <v>125.7</v>
      </c>
      <c r="AP474">
        <v>1353854</v>
      </c>
      <c r="AQ474">
        <v>441223.5</v>
      </c>
    </row>
    <row r="475" spans="1:43" x14ac:dyDescent="0.25">
      <c r="A475" s="3">
        <v>200</v>
      </c>
      <c r="B475" s="3">
        <v>1</v>
      </c>
      <c r="C475" s="3">
        <v>10</v>
      </c>
      <c r="L475" s="3">
        <v>200</v>
      </c>
      <c r="M475" s="3">
        <v>1</v>
      </c>
      <c r="N475" s="3">
        <v>10</v>
      </c>
      <c r="W475" s="3">
        <v>200</v>
      </c>
      <c r="X475" s="3">
        <v>1</v>
      </c>
      <c r="Y475" s="3">
        <v>10</v>
      </c>
      <c r="Z475">
        <v>85.07</v>
      </c>
      <c r="AA475">
        <v>1.5509999999999999E-2</v>
      </c>
      <c r="AB475">
        <v>1</v>
      </c>
      <c r="AC475">
        <v>0</v>
      </c>
      <c r="AH475" s="3">
        <v>400</v>
      </c>
      <c r="AI475" s="3">
        <v>3</v>
      </c>
      <c r="AJ475" s="3">
        <v>7</v>
      </c>
      <c r="AO475">
        <v>130.69999999999999</v>
      </c>
      <c r="AP475">
        <v>1484402.8</v>
      </c>
      <c r="AQ475">
        <v>514698.5</v>
      </c>
    </row>
    <row r="476" spans="1:43" x14ac:dyDescent="0.25">
      <c r="A476" s="3">
        <v>200</v>
      </c>
      <c r="B476" s="3">
        <v>2</v>
      </c>
      <c r="C476" s="3">
        <v>1</v>
      </c>
      <c r="D476">
        <v>1.17233294255462E-2</v>
      </c>
      <c r="E476">
        <v>0.25316455696203688</v>
      </c>
      <c r="H476">
        <v>0</v>
      </c>
      <c r="I476">
        <v>7.3814802692571572E-5</v>
      </c>
      <c r="J476">
        <v>1.9919287050037401E-4</v>
      </c>
      <c r="L476" s="3">
        <v>200</v>
      </c>
      <c r="M476" s="3">
        <v>2</v>
      </c>
      <c r="N476" s="3">
        <v>1</v>
      </c>
      <c r="O476">
        <v>-1.999999999998181E-2</v>
      </c>
      <c r="P476">
        <v>-4.000000000000184E-5</v>
      </c>
      <c r="S476">
        <v>0</v>
      </c>
      <c r="T476">
        <v>1.100000000093132</v>
      </c>
      <c r="U476">
        <v>0.6000000000349246</v>
      </c>
      <c r="W476" s="3">
        <v>200</v>
      </c>
      <c r="X476" s="3">
        <v>2</v>
      </c>
      <c r="Y476" s="3">
        <v>1</v>
      </c>
      <c r="Z476">
        <v>170.58</v>
      </c>
      <c r="AA476">
        <v>1.576E-2</v>
      </c>
      <c r="AB476">
        <v>0.1</v>
      </c>
      <c r="AC476">
        <v>0</v>
      </c>
      <c r="AD476">
        <v>90.5</v>
      </c>
      <c r="AE476">
        <v>1490217.1</v>
      </c>
      <c r="AF476">
        <v>301216.2</v>
      </c>
      <c r="AH476" s="3">
        <v>400</v>
      </c>
      <c r="AI476" s="3">
        <v>3</v>
      </c>
      <c r="AJ476" s="3">
        <v>8</v>
      </c>
      <c r="AO476">
        <v>136.5</v>
      </c>
      <c r="AP476">
        <v>1628984.9</v>
      </c>
      <c r="AQ476">
        <v>604876.9</v>
      </c>
    </row>
    <row r="477" spans="1:43" x14ac:dyDescent="0.25">
      <c r="A477" s="3">
        <v>200</v>
      </c>
      <c r="B477" s="3">
        <v>2</v>
      </c>
      <c r="C477" s="3">
        <v>2</v>
      </c>
      <c r="H477">
        <v>0</v>
      </c>
      <c r="I477">
        <v>8.2035859802328994E-5</v>
      </c>
      <c r="J477">
        <v>0</v>
      </c>
      <c r="L477" s="3">
        <v>200</v>
      </c>
      <c r="M477" s="3">
        <v>2</v>
      </c>
      <c r="N477" s="3">
        <v>2</v>
      </c>
      <c r="S477">
        <v>0</v>
      </c>
      <c r="T477">
        <v>-1.6999999999534341</v>
      </c>
      <c r="U477">
        <v>0</v>
      </c>
      <c r="W477" s="3">
        <v>200</v>
      </c>
      <c r="X477" s="3">
        <v>2</v>
      </c>
      <c r="Y477" s="3">
        <v>2</v>
      </c>
      <c r="Z477">
        <v>204.15</v>
      </c>
      <c r="AA477">
        <v>1.5800000000000002E-2</v>
      </c>
      <c r="AB477">
        <v>0.1</v>
      </c>
      <c r="AC477">
        <v>0</v>
      </c>
      <c r="AD477">
        <v>93.7</v>
      </c>
      <c r="AE477">
        <v>2072262.8</v>
      </c>
      <c r="AF477">
        <v>457812.9</v>
      </c>
      <c r="AH477" s="3">
        <v>400</v>
      </c>
      <c r="AI477" s="3">
        <v>3</v>
      </c>
      <c r="AJ477" s="3">
        <v>9</v>
      </c>
      <c r="AO477">
        <v>180.8</v>
      </c>
      <c r="AP477">
        <v>3354781</v>
      </c>
      <c r="AQ477">
        <v>669861.1</v>
      </c>
    </row>
    <row r="478" spans="1:43" x14ac:dyDescent="0.25">
      <c r="A478" s="3">
        <v>200</v>
      </c>
      <c r="B478" s="3">
        <v>3</v>
      </c>
      <c r="C478" s="3">
        <v>1</v>
      </c>
      <c r="D478">
        <v>1.6339869281042502E-2</v>
      </c>
      <c r="E478">
        <v>0.1898734177215112</v>
      </c>
      <c r="H478">
        <v>0</v>
      </c>
      <c r="I478">
        <v>9.5580124152625534E-5</v>
      </c>
      <c r="J478">
        <v>1.5437053870041739E-4</v>
      </c>
      <c r="L478" s="3">
        <v>200</v>
      </c>
      <c r="M478" s="3">
        <v>3</v>
      </c>
      <c r="N478" s="3">
        <v>1</v>
      </c>
      <c r="O478">
        <v>3.9999999999992042E-2</v>
      </c>
      <c r="P478">
        <v>2.9999999999998781E-5</v>
      </c>
      <c r="S478">
        <v>0</v>
      </c>
      <c r="T478">
        <v>-0.79999999993015081</v>
      </c>
      <c r="U478">
        <v>-0.3000000000174623</v>
      </c>
      <c r="W478" s="3">
        <v>200</v>
      </c>
      <c r="X478" s="3">
        <v>3</v>
      </c>
      <c r="Y478" s="3">
        <v>1</v>
      </c>
      <c r="Z478">
        <v>244.84</v>
      </c>
      <c r="AA478">
        <v>1.583E-2</v>
      </c>
      <c r="AB478">
        <v>0</v>
      </c>
      <c r="AC478">
        <v>0</v>
      </c>
      <c r="AD478">
        <v>98.8</v>
      </c>
      <c r="AE478">
        <v>836993.3</v>
      </c>
      <c r="AF478">
        <v>194337.3</v>
      </c>
      <c r="AH478" s="3">
        <v>400</v>
      </c>
      <c r="AI478" s="3">
        <v>3</v>
      </c>
      <c r="AJ478" s="3">
        <v>10</v>
      </c>
      <c r="AO478">
        <v>203.1</v>
      </c>
      <c r="AP478">
        <v>4005362</v>
      </c>
      <c r="AQ478">
        <v>871108.1</v>
      </c>
    </row>
    <row r="479" spans="1:43" x14ac:dyDescent="0.25">
      <c r="A479" s="3">
        <v>200</v>
      </c>
      <c r="B479" s="3">
        <v>3</v>
      </c>
      <c r="C479" s="3">
        <v>2</v>
      </c>
      <c r="H479">
        <v>0</v>
      </c>
      <c r="I479">
        <v>7.6283544185056244E-5</v>
      </c>
      <c r="J479">
        <v>9.017974174439982E-5</v>
      </c>
      <c r="L479" s="3">
        <v>200</v>
      </c>
      <c r="M479" s="3">
        <v>3</v>
      </c>
      <c r="N479" s="3">
        <v>2</v>
      </c>
      <c r="S479">
        <v>0</v>
      </c>
      <c r="T479">
        <v>-0.69999999995343387</v>
      </c>
      <c r="U479">
        <v>-0.1999999999825377</v>
      </c>
      <c r="W479" s="3">
        <v>200</v>
      </c>
      <c r="X479" s="3">
        <v>3</v>
      </c>
      <c r="Y479" s="3">
        <v>2</v>
      </c>
      <c r="Z479">
        <v>260.33</v>
      </c>
      <c r="AA479">
        <v>1.583E-2</v>
      </c>
      <c r="AB479">
        <v>0</v>
      </c>
      <c r="AC479">
        <v>0</v>
      </c>
      <c r="AD479">
        <v>100.8</v>
      </c>
      <c r="AE479">
        <v>917628.4</v>
      </c>
      <c r="AF479">
        <v>221779.1</v>
      </c>
      <c r="AH479" s="3">
        <v>400</v>
      </c>
      <c r="AI479" s="3">
        <v>3</v>
      </c>
      <c r="AJ479" s="3">
        <v>11</v>
      </c>
      <c r="AO479">
        <v>443.6</v>
      </c>
      <c r="AP479">
        <v>1718093</v>
      </c>
      <c r="AQ479">
        <v>12406290</v>
      </c>
    </row>
    <row r="480" spans="1:43" x14ac:dyDescent="0.25">
      <c r="A480" s="3">
        <v>200</v>
      </c>
      <c r="B480" s="3">
        <v>3</v>
      </c>
      <c r="C480" s="3">
        <v>3</v>
      </c>
      <c r="H480">
        <v>0</v>
      </c>
      <c r="I480">
        <v>4.9668270587572659E-5</v>
      </c>
      <c r="J480">
        <v>7.8744404711016968E-5</v>
      </c>
      <c r="L480" s="3">
        <v>200</v>
      </c>
      <c r="M480" s="3">
        <v>3</v>
      </c>
      <c r="N480" s="3">
        <v>3</v>
      </c>
      <c r="S480">
        <v>0</v>
      </c>
      <c r="T480">
        <v>-0.5</v>
      </c>
      <c r="U480">
        <v>-0.1999999999825377</v>
      </c>
      <c r="W480" s="3">
        <v>200</v>
      </c>
      <c r="X480" s="3">
        <v>3</v>
      </c>
      <c r="Y480" s="3">
        <v>3</v>
      </c>
      <c r="Z480">
        <v>277.29000000000002</v>
      </c>
      <c r="AA480">
        <v>1.583E-2</v>
      </c>
      <c r="AB480">
        <v>0</v>
      </c>
      <c r="AC480">
        <v>0</v>
      </c>
      <c r="AD480">
        <v>102.9</v>
      </c>
      <c r="AE480">
        <v>1006678.4</v>
      </c>
      <c r="AF480">
        <v>253986.1</v>
      </c>
      <c r="AH480" s="3">
        <v>400</v>
      </c>
      <c r="AI480" s="3">
        <v>3</v>
      </c>
      <c r="AJ480" s="3">
        <v>12</v>
      </c>
      <c r="AO480">
        <v>86.7</v>
      </c>
      <c r="AP480">
        <v>47236.4</v>
      </c>
      <c r="AQ480">
        <v>3374.6</v>
      </c>
    </row>
    <row r="481" spans="1:43" x14ac:dyDescent="0.25">
      <c r="A481" s="3">
        <v>200</v>
      </c>
      <c r="B481" s="3">
        <v>3</v>
      </c>
      <c r="C481" s="3">
        <v>4</v>
      </c>
      <c r="H481">
        <v>0</v>
      </c>
      <c r="I481">
        <v>3.6186542725921261E-5</v>
      </c>
      <c r="J481">
        <v>0</v>
      </c>
      <c r="L481" s="3">
        <v>200</v>
      </c>
      <c r="M481" s="3">
        <v>3</v>
      </c>
      <c r="N481" s="3">
        <v>4</v>
      </c>
      <c r="S481">
        <v>0</v>
      </c>
      <c r="T481">
        <v>-0.40000000013969839</v>
      </c>
      <c r="U481">
        <v>0</v>
      </c>
      <c r="W481" s="3">
        <v>200</v>
      </c>
      <c r="X481" s="3">
        <v>3</v>
      </c>
      <c r="Y481" s="3">
        <v>4</v>
      </c>
      <c r="Z481">
        <v>295.91000000000003</v>
      </c>
      <c r="AA481">
        <v>1.584E-2</v>
      </c>
      <c r="AB481">
        <v>0</v>
      </c>
      <c r="AC481">
        <v>0</v>
      </c>
      <c r="AD481">
        <v>105.4</v>
      </c>
      <c r="AE481">
        <v>1105382.8999999999</v>
      </c>
      <c r="AF481">
        <v>292048.3</v>
      </c>
      <c r="AH481" s="3">
        <v>400</v>
      </c>
      <c r="AI481" s="3">
        <v>3</v>
      </c>
      <c r="AJ481" s="3">
        <v>13</v>
      </c>
      <c r="AO481">
        <v>86.3</v>
      </c>
      <c r="AP481">
        <v>32769.599999999999</v>
      </c>
      <c r="AQ481">
        <v>2330</v>
      </c>
    </row>
    <row r="482" spans="1:43" x14ac:dyDescent="0.25">
      <c r="A482" s="3">
        <v>200</v>
      </c>
      <c r="B482" s="3">
        <v>3</v>
      </c>
      <c r="C482" s="3">
        <v>5</v>
      </c>
      <c r="H482">
        <v>0</v>
      </c>
      <c r="I482">
        <v>2.4734459095847199E-5</v>
      </c>
      <c r="J482">
        <v>2.963898236827827E-5</v>
      </c>
      <c r="L482" s="3">
        <v>200</v>
      </c>
      <c r="M482" s="3">
        <v>3</v>
      </c>
      <c r="N482" s="3">
        <v>5</v>
      </c>
      <c r="S482">
        <v>0</v>
      </c>
      <c r="T482">
        <v>-0.30000000004656607</v>
      </c>
      <c r="U482">
        <v>-9.9999999976716936E-2</v>
      </c>
      <c r="W482" s="3">
        <v>200</v>
      </c>
      <c r="X482" s="3">
        <v>3</v>
      </c>
      <c r="Y482" s="3">
        <v>5</v>
      </c>
      <c r="Z482">
        <v>316.39</v>
      </c>
      <c r="AA482">
        <v>1.584E-2</v>
      </c>
      <c r="AB482">
        <v>0</v>
      </c>
      <c r="AC482">
        <v>0</v>
      </c>
      <c r="AD482">
        <v>108.2</v>
      </c>
      <c r="AE482">
        <v>1212882.5</v>
      </c>
      <c r="AF482">
        <v>337393.4</v>
      </c>
      <c r="AH482" s="3">
        <v>400</v>
      </c>
      <c r="AI482" s="3">
        <v>3</v>
      </c>
      <c r="AJ482" s="3">
        <v>14</v>
      </c>
      <c r="AO482">
        <v>86.4</v>
      </c>
      <c r="AP482">
        <v>5802.3</v>
      </c>
      <c r="AQ482">
        <v>648.6</v>
      </c>
    </row>
    <row r="483" spans="1:43" x14ac:dyDescent="0.25">
      <c r="A483" s="3">
        <v>200</v>
      </c>
      <c r="B483" s="3">
        <v>3</v>
      </c>
      <c r="C483" s="3">
        <v>6</v>
      </c>
      <c r="H483">
        <v>0</v>
      </c>
      <c r="I483">
        <v>1.501434996148323E-5</v>
      </c>
      <c r="J483">
        <v>2.552398181689834E-5</v>
      </c>
      <c r="L483" s="3">
        <v>200</v>
      </c>
      <c r="M483" s="3">
        <v>3</v>
      </c>
      <c r="N483" s="3">
        <v>6</v>
      </c>
      <c r="S483">
        <v>0</v>
      </c>
      <c r="T483">
        <v>0.1999999999534339</v>
      </c>
      <c r="U483">
        <v>9.9999999976716936E-2</v>
      </c>
      <c r="W483" s="3">
        <v>200</v>
      </c>
      <c r="X483" s="3">
        <v>3</v>
      </c>
      <c r="Y483" s="3">
        <v>6</v>
      </c>
      <c r="Z483">
        <v>338.95</v>
      </c>
      <c r="AA483">
        <v>1.584E-2</v>
      </c>
      <c r="AB483">
        <v>0</v>
      </c>
      <c r="AC483">
        <v>0</v>
      </c>
      <c r="AD483">
        <v>111.4</v>
      </c>
      <c r="AE483">
        <v>1332059.2</v>
      </c>
      <c r="AF483">
        <v>391788.5</v>
      </c>
      <c r="AH483" s="3">
        <v>400</v>
      </c>
      <c r="AI483" s="3">
        <v>4</v>
      </c>
      <c r="AJ483" s="3">
        <v>1</v>
      </c>
      <c r="AK483">
        <v>85</v>
      </c>
      <c r="AL483">
        <v>1.55E-2</v>
      </c>
      <c r="AO483">
        <v>85</v>
      </c>
      <c r="AP483">
        <v>0</v>
      </c>
      <c r="AQ483">
        <v>0</v>
      </c>
    </row>
    <row r="484" spans="1:43" x14ac:dyDescent="0.25">
      <c r="A484" s="3">
        <v>200</v>
      </c>
      <c r="B484" s="3">
        <v>3</v>
      </c>
      <c r="C484" s="3">
        <v>7</v>
      </c>
      <c r="H484">
        <v>0</v>
      </c>
      <c r="I484">
        <v>1.3646876690741159E-5</v>
      </c>
      <c r="J484">
        <v>4.3706121787904141E-5</v>
      </c>
      <c r="L484" s="3">
        <v>200</v>
      </c>
      <c r="M484" s="3">
        <v>3</v>
      </c>
      <c r="N484" s="3">
        <v>7</v>
      </c>
      <c r="S484">
        <v>0</v>
      </c>
      <c r="T484">
        <v>0.1999999999534339</v>
      </c>
      <c r="U484">
        <v>0.2000000000116415</v>
      </c>
      <c r="W484" s="3">
        <v>200</v>
      </c>
      <c r="X484" s="3">
        <v>3</v>
      </c>
      <c r="Y484" s="3">
        <v>7</v>
      </c>
      <c r="Z484">
        <v>363.87</v>
      </c>
      <c r="AA484">
        <v>1.584E-2</v>
      </c>
      <c r="AB484">
        <v>0</v>
      </c>
      <c r="AC484">
        <v>0</v>
      </c>
      <c r="AD484">
        <v>115</v>
      </c>
      <c r="AE484">
        <v>1465537</v>
      </c>
      <c r="AF484">
        <v>457602</v>
      </c>
      <c r="AH484" s="3">
        <v>400</v>
      </c>
      <c r="AI484" s="3">
        <v>4</v>
      </c>
      <c r="AJ484" s="3">
        <v>2</v>
      </c>
      <c r="AO484">
        <v>85</v>
      </c>
      <c r="AP484">
        <v>0</v>
      </c>
      <c r="AQ484">
        <v>0</v>
      </c>
    </row>
    <row r="485" spans="1:43" x14ac:dyDescent="0.25">
      <c r="A485" s="3">
        <v>200</v>
      </c>
      <c r="B485" s="3">
        <v>3</v>
      </c>
      <c r="C485" s="3">
        <v>8</v>
      </c>
      <c r="H485">
        <v>0</v>
      </c>
      <c r="I485">
        <v>2.475379872659642E-5</v>
      </c>
      <c r="J485">
        <v>3.7170741584144371E-5</v>
      </c>
      <c r="L485" s="3">
        <v>200</v>
      </c>
      <c r="M485" s="3">
        <v>3</v>
      </c>
      <c r="N485" s="3">
        <v>8</v>
      </c>
      <c r="S485">
        <v>0</v>
      </c>
      <c r="T485">
        <v>-0.40000000013969839</v>
      </c>
      <c r="U485">
        <v>0.20000000006984919</v>
      </c>
      <c r="W485" s="3">
        <v>200</v>
      </c>
      <c r="X485" s="3">
        <v>3</v>
      </c>
      <c r="Y485" s="3">
        <v>8</v>
      </c>
      <c r="Z485">
        <v>391.51</v>
      </c>
      <c r="AA485">
        <v>1.584E-2</v>
      </c>
      <c r="AB485">
        <v>0</v>
      </c>
      <c r="AC485">
        <v>0</v>
      </c>
      <c r="AD485">
        <v>119.2</v>
      </c>
      <c r="AE485">
        <v>1615913.2</v>
      </c>
      <c r="AF485">
        <v>538057.80000000005</v>
      </c>
      <c r="AH485" s="3">
        <v>400</v>
      </c>
      <c r="AI485" s="3">
        <v>5</v>
      </c>
      <c r="AJ485" s="3">
        <v>1</v>
      </c>
      <c r="AK485">
        <v>109.8</v>
      </c>
      <c r="AL485">
        <v>1.5599999999999999E-2</v>
      </c>
    </row>
    <row r="486" spans="1:43" x14ac:dyDescent="0.25">
      <c r="A486" s="3">
        <v>200</v>
      </c>
      <c r="B486" s="3">
        <v>3</v>
      </c>
      <c r="C486" s="3">
        <v>9</v>
      </c>
      <c r="H486">
        <v>0</v>
      </c>
      <c r="I486">
        <v>2.9262478728006871E-5</v>
      </c>
      <c r="J486">
        <v>3.2932826247962087E-5</v>
      </c>
      <c r="L486" s="3">
        <v>200</v>
      </c>
      <c r="M486" s="3">
        <v>3</v>
      </c>
      <c r="N486" s="3">
        <v>9</v>
      </c>
      <c r="S486">
        <v>0</v>
      </c>
      <c r="T486">
        <v>1</v>
      </c>
      <c r="U486">
        <v>0.1999999999534339</v>
      </c>
      <c r="W486" s="3">
        <v>200</v>
      </c>
      <c r="X486" s="3">
        <v>3</v>
      </c>
      <c r="Y486" s="3">
        <v>9</v>
      </c>
      <c r="Z486">
        <v>422.3</v>
      </c>
      <c r="AA486">
        <v>1.584E-2</v>
      </c>
      <c r="AB486">
        <v>52.8</v>
      </c>
      <c r="AC486">
        <v>4.5</v>
      </c>
      <c r="AD486">
        <v>151.5</v>
      </c>
      <c r="AE486">
        <v>3417346.5</v>
      </c>
      <c r="AF486">
        <v>607297</v>
      </c>
      <c r="AH486" s="3">
        <v>450</v>
      </c>
      <c r="AI486" s="3">
        <v>1</v>
      </c>
      <c r="AJ486" s="3">
        <v>1</v>
      </c>
      <c r="AK486">
        <v>85</v>
      </c>
      <c r="AL486">
        <v>1.55E-2</v>
      </c>
    </row>
    <row r="487" spans="1:43" x14ac:dyDescent="0.25">
      <c r="A487" s="3">
        <v>200</v>
      </c>
      <c r="B487" s="3">
        <v>3</v>
      </c>
      <c r="C487" s="3">
        <v>10</v>
      </c>
      <c r="H487">
        <v>0</v>
      </c>
      <c r="I487">
        <v>0</v>
      </c>
      <c r="J487">
        <v>2.5170115379789881E-5</v>
      </c>
      <c r="L487" s="3">
        <v>200</v>
      </c>
      <c r="M487" s="3">
        <v>3</v>
      </c>
      <c r="N487" s="3">
        <v>10</v>
      </c>
      <c r="S487">
        <v>0</v>
      </c>
      <c r="T487">
        <v>0</v>
      </c>
      <c r="U487">
        <v>0.20000000006984919</v>
      </c>
      <c r="W487" s="3">
        <v>200</v>
      </c>
      <c r="X487" s="3">
        <v>3</v>
      </c>
      <c r="Y487" s="3">
        <v>10</v>
      </c>
      <c r="Z487">
        <v>475.35</v>
      </c>
      <c r="AA487">
        <v>1.5789999999999998E-2</v>
      </c>
      <c r="AB487">
        <v>59</v>
      </c>
      <c r="AC487">
        <v>5.0999999999999996</v>
      </c>
      <c r="AD487">
        <v>168</v>
      </c>
      <c r="AE487">
        <v>4180761.5</v>
      </c>
      <c r="AF487">
        <v>794593.3</v>
      </c>
      <c r="AH487" s="3">
        <v>450</v>
      </c>
      <c r="AI487" s="3">
        <v>2</v>
      </c>
      <c r="AJ487" s="3">
        <v>1</v>
      </c>
      <c r="AK487">
        <v>194.1</v>
      </c>
      <c r="AL487">
        <v>1.5900000000000001E-2</v>
      </c>
      <c r="AO487">
        <v>97.9</v>
      </c>
      <c r="AP487">
        <v>1743419.9</v>
      </c>
      <c r="AQ487">
        <v>393035.2</v>
      </c>
    </row>
    <row r="488" spans="1:43" x14ac:dyDescent="0.25">
      <c r="A488" s="3">
        <v>200</v>
      </c>
      <c r="B488" s="3">
        <v>3</v>
      </c>
      <c r="C488" s="3">
        <v>11</v>
      </c>
      <c r="H488">
        <v>0</v>
      </c>
      <c r="I488">
        <v>0</v>
      </c>
      <c r="J488">
        <v>0</v>
      </c>
      <c r="L488" s="3">
        <v>200</v>
      </c>
      <c r="M488" s="3">
        <v>3</v>
      </c>
      <c r="N488" s="3">
        <v>11</v>
      </c>
      <c r="S488">
        <v>0</v>
      </c>
      <c r="T488">
        <v>0</v>
      </c>
      <c r="U488">
        <v>0</v>
      </c>
      <c r="W488" s="3">
        <v>200</v>
      </c>
      <c r="X488" s="3">
        <v>3</v>
      </c>
      <c r="Y488" s="3">
        <v>11</v>
      </c>
      <c r="Z488">
        <v>540.94000000000005</v>
      </c>
      <c r="AA488">
        <v>1.5740000000000001E-2</v>
      </c>
      <c r="AB488">
        <v>13392.4</v>
      </c>
      <c r="AC488">
        <v>5.0999999999999996</v>
      </c>
      <c r="AD488">
        <v>352.9</v>
      </c>
      <c r="AE488">
        <v>2605024.5</v>
      </c>
      <c r="AF488">
        <v>12621773</v>
      </c>
      <c r="AH488" s="3">
        <v>450</v>
      </c>
      <c r="AI488" s="3">
        <v>2</v>
      </c>
      <c r="AJ488" s="3">
        <v>2</v>
      </c>
      <c r="AO488">
        <v>102.6</v>
      </c>
      <c r="AP488">
        <v>2237653</v>
      </c>
      <c r="AQ488">
        <v>553230.80000000005</v>
      </c>
    </row>
    <row r="489" spans="1:43" x14ac:dyDescent="0.25">
      <c r="A489" s="3">
        <v>200</v>
      </c>
      <c r="B489" s="3">
        <v>3</v>
      </c>
      <c r="C489" s="3">
        <v>12</v>
      </c>
      <c r="H489">
        <v>0</v>
      </c>
      <c r="I489">
        <v>0</v>
      </c>
      <c r="J489">
        <v>2.202012639540534E-3</v>
      </c>
      <c r="L489" s="3">
        <v>200</v>
      </c>
      <c r="M489" s="3">
        <v>3</v>
      </c>
      <c r="N489" s="3">
        <v>12</v>
      </c>
      <c r="S489">
        <v>0</v>
      </c>
      <c r="T489">
        <v>0</v>
      </c>
      <c r="U489">
        <v>9.9999999999454303E-2</v>
      </c>
      <c r="W489" s="3">
        <v>200</v>
      </c>
      <c r="X489" s="3">
        <v>3</v>
      </c>
      <c r="Y489" s="3">
        <v>12</v>
      </c>
      <c r="Z489">
        <v>91.92</v>
      </c>
      <c r="AA489">
        <v>1.5679999999999999E-2</v>
      </c>
      <c r="AB489">
        <v>59</v>
      </c>
      <c r="AC489">
        <v>5.0999999999999996</v>
      </c>
      <c r="AD489">
        <v>86.7</v>
      </c>
      <c r="AE489">
        <v>65119.4</v>
      </c>
      <c r="AF489">
        <v>4541.3999999999996</v>
      </c>
      <c r="AH489" s="3">
        <v>450</v>
      </c>
      <c r="AI489" s="3">
        <v>3</v>
      </c>
      <c r="AJ489" s="3">
        <v>1</v>
      </c>
      <c r="AK489">
        <v>267.39999999999998</v>
      </c>
      <c r="AL489">
        <v>1.5900000000000001E-2</v>
      </c>
      <c r="AO489">
        <v>110.3</v>
      </c>
      <c r="AP489">
        <v>877657.4</v>
      </c>
      <c r="AQ489">
        <v>226858.1</v>
      </c>
    </row>
    <row r="490" spans="1:43" x14ac:dyDescent="0.25">
      <c r="A490" s="3">
        <v>200</v>
      </c>
      <c r="B490" s="3">
        <v>3</v>
      </c>
      <c r="C490" s="3">
        <v>13</v>
      </c>
      <c r="H490">
        <v>0</v>
      </c>
      <c r="I490">
        <v>2.2402889076249309E-4</v>
      </c>
      <c r="J490">
        <v>0</v>
      </c>
      <c r="L490" s="3">
        <v>200</v>
      </c>
      <c r="M490" s="3">
        <v>3</v>
      </c>
      <c r="N490" s="3">
        <v>13</v>
      </c>
      <c r="S490">
        <v>0</v>
      </c>
      <c r="T490">
        <v>-9.9999999998544808E-2</v>
      </c>
      <c r="U490">
        <v>0</v>
      </c>
      <c r="W490" s="3">
        <v>200</v>
      </c>
      <c r="X490" s="3">
        <v>3</v>
      </c>
      <c r="Y490" s="3">
        <v>13</v>
      </c>
      <c r="Z490">
        <v>89.92</v>
      </c>
      <c r="AA490">
        <v>1.562E-2</v>
      </c>
      <c r="AB490">
        <v>59</v>
      </c>
      <c r="AC490">
        <v>5.0999999999999996</v>
      </c>
      <c r="AD490">
        <v>86.3</v>
      </c>
      <c r="AE490">
        <v>44637</v>
      </c>
      <c r="AF490">
        <v>3096.3</v>
      </c>
      <c r="AH490" s="3">
        <v>450</v>
      </c>
      <c r="AI490" s="3">
        <v>3</v>
      </c>
      <c r="AJ490" s="3">
        <v>2</v>
      </c>
      <c r="AO490">
        <v>113.1</v>
      </c>
      <c r="AP490">
        <v>956170</v>
      </c>
      <c r="AQ490">
        <v>257694.2</v>
      </c>
    </row>
    <row r="491" spans="1:43" x14ac:dyDescent="0.25">
      <c r="A491" s="3">
        <v>200</v>
      </c>
      <c r="B491" s="3">
        <v>3</v>
      </c>
      <c r="C491" s="3">
        <v>14</v>
      </c>
      <c r="H491">
        <v>0</v>
      </c>
      <c r="I491">
        <v>0</v>
      </c>
      <c r="J491">
        <v>8.5251491901030731E-3</v>
      </c>
      <c r="L491" s="3">
        <v>200</v>
      </c>
      <c r="M491" s="3">
        <v>3</v>
      </c>
      <c r="N491" s="3">
        <v>14</v>
      </c>
      <c r="S491">
        <v>0</v>
      </c>
      <c r="T491">
        <v>0</v>
      </c>
      <c r="U491">
        <v>-9.9999999999909051E-2</v>
      </c>
      <c r="W491" s="3">
        <v>200</v>
      </c>
      <c r="X491" s="3">
        <v>3</v>
      </c>
      <c r="Y491" s="3">
        <v>14</v>
      </c>
      <c r="Z491">
        <v>87.63</v>
      </c>
      <c r="AA491">
        <v>1.5570000000000001E-2</v>
      </c>
      <c r="AB491">
        <v>58.2</v>
      </c>
      <c r="AC491">
        <v>5</v>
      </c>
      <c r="AD491">
        <v>86.3</v>
      </c>
      <c r="AE491">
        <v>73818.600000000006</v>
      </c>
      <c r="AF491">
        <v>1172.9000000000001</v>
      </c>
      <c r="AH491" s="3">
        <v>450</v>
      </c>
      <c r="AI491" s="3">
        <v>3</v>
      </c>
      <c r="AJ491" s="3">
        <v>3</v>
      </c>
      <c r="AO491">
        <v>116.3</v>
      </c>
      <c r="AP491">
        <v>1042810.9</v>
      </c>
      <c r="AQ491">
        <v>293980.90000000002</v>
      </c>
    </row>
    <row r="492" spans="1:43" x14ac:dyDescent="0.25">
      <c r="A492" s="3">
        <v>200</v>
      </c>
      <c r="B492" s="3">
        <v>4</v>
      </c>
      <c r="C492" s="3">
        <v>1</v>
      </c>
      <c r="D492">
        <v>0</v>
      </c>
      <c r="E492">
        <v>6.451612903225544E-2</v>
      </c>
      <c r="H492">
        <v>0</v>
      </c>
      <c r="L492" s="3">
        <v>200</v>
      </c>
      <c r="M492" s="3">
        <v>4</v>
      </c>
      <c r="N492" s="3">
        <v>1</v>
      </c>
      <c r="O492">
        <v>0</v>
      </c>
      <c r="P492">
        <v>9.9999999999995925E-6</v>
      </c>
      <c r="S492">
        <v>0</v>
      </c>
      <c r="T492">
        <v>0</v>
      </c>
      <c r="U492">
        <v>0</v>
      </c>
      <c r="W492" s="3">
        <v>200</v>
      </c>
      <c r="X492" s="3">
        <v>4</v>
      </c>
      <c r="Y492" s="3">
        <v>1</v>
      </c>
      <c r="Z492">
        <v>85</v>
      </c>
      <c r="AA492">
        <v>1.5509999999999999E-2</v>
      </c>
      <c r="AB492">
        <v>0</v>
      </c>
      <c r="AC492">
        <v>0</v>
      </c>
      <c r="AD492">
        <v>85</v>
      </c>
      <c r="AE492">
        <v>0</v>
      </c>
      <c r="AF492">
        <v>0</v>
      </c>
      <c r="AH492" s="3">
        <v>450</v>
      </c>
      <c r="AI492" s="3">
        <v>3</v>
      </c>
      <c r="AJ492" s="3">
        <v>4</v>
      </c>
      <c r="AO492">
        <v>119.9</v>
      </c>
      <c r="AP492">
        <v>1136558.8999999999</v>
      </c>
      <c r="AQ492">
        <v>337021.3</v>
      </c>
    </row>
    <row r="493" spans="1:43" x14ac:dyDescent="0.25">
      <c r="A493" s="3">
        <v>200</v>
      </c>
      <c r="B493" s="3">
        <v>4</v>
      </c>
      <c r="C493" s="3">
        <v>2</v>
      </c>
      <c r="H493">
        <v>0</v>
      </c>
      <c r="L493" s="3">
        <v>200</v>
      </c>
      <c r="M493" s="3">
        <v>4</v>
      </c>
      <c r="N493" s="3">
        <v>2</v>
      </c>
      <c r="S493">
        <v>0</v>
      </c>
      <c r="T493">
        <v>0</v>
      </c>
      <c r="U493">
        <v>0</v>
      </c>
      <c r="W493" s="3">
        <v>200</v>
      </c>
      <c r="X493" s="3">
        <v>4</v>
      </c>
      <c r="Y493" s="3">
        <v>2</v>
      </c>
      <c r="Z493">
        <v>85</v>
      </c>
      <c r="AA493">
        <v>1.5509999999999999E-2</v>
      </c>
      <c r="AB493">
        <v>0</v>
      </c>
      <c r="AC493">
        <v>0</v>
      </c>
      <c r="AD493">
        <v>85</v>
      </c>
      <c r="AE493">
        <v>0</v>
      </c>
      <c r="AF493">
        <v>0</v>
      </c>
      <c r="AH493" s="3">
        <v>450</v>
      </c>
      <c r="AI493" s="3">
        <v>3</v>
      </c>
      <c r="AJ493" s="3">
        <v>5</v>
      </c>
      <c r="AO493">
        <v>124</v>
      </c>
      <c r="AP493">
        <v>1240671.3999999999</v>
      </c>
      <c r="AQ493">
        <v>388360.5</v>
      </c>
    </row>
    <row r="494" spans="1:43" x14ac:dyDescent="0.25">
      <c r="A494" s="3">
        <v>200</v>
      </c>
      <c r="B494" s="3">
        <v>5</v>
      </c>
      <c r="C494" s="3">
        <v>1</v>
      </c>
      <c r="D494">
        <v>9.4966761633476886E-3</v>
      </c>
      <c r="E494">
        <v>0.19230769230768449</v>
      </c>
      <c r="L494" s="3">
        <v>200</v>
      </c>
      <c r="M494" s="3">
        <v>5</v>
      </c>
      <c r="N494" s="3">
        <v>1</v>
      </c>
      <c r="O494">
        <v>1.0000000000005119E-2</v>
      </c>
      <c r="P494">
        <v>-2.9999999999998781E-5</v>
      </c>
      <c r="W494" s="3">
        <v>200</v>
      </c>
      <c r="X494" s="3">
        <v>5</v>
      </c>
      <c r="Y494" s="3">
        <v>1</v>
      </c>
      <c r="Z494">
        <v>105.31</v>
      </c>
      <c r="AA494">
        <v>1.5570000000000001E-2</v>
      </c>
      <c r="AH494" s="3">
        <v>450</v>
      </c>
      <c r="AI494" s="3">
        <v>3</v>
      </c>
      <c r="AJ494" s="3">
        <v>6</v>
      </c>
      <c r="AO494">
        <v>128.6</v>
      </c>
      <c r="AP494">
        <v>1356787.6</v>
      </c>
      <c r="AQ494">
        <v>450119.5</v>
      </c>
    </row>
    <row r="495" spans="1:43" x14ac:dyDescent="0.25">
      <c r="A495" s="3">
        <v>200</v>
      </c>
      <c r="B495" s="3">
        <v>5</v>
      </c>
      <c r="C495" s="3">
        <v>2</v>
      </c>
      <c r="L495" s="3">
        <v>200</v>
      </c>
      <c r="M495" s="3">
        <v>5</v>
      </c>
      <c r="N495" s="3">
        <v>2</v>
      </c>
      <c r="W495" s="3">
        <v>200</v>
      </c>
      <c r="X495" s="3">
        <v>5</v>
      </c>
      <c r="Y495" s="3">
        <v>2</v>
      </c>
      <c r="Z495">
        <v>104.85</v>
      </c>
      <c r="AA495">
        <v>1.5570000000000001E-2</v>
      </c>
      <c r="AH495" s="3">
        <v>450</v>
      </c>
      <c r="AI495" s="3">
        <v>3</v>
      </c>
      <c r="AJ495" s="3">
        <v>7</v>
      </c>
      <c r="AO495">
        <v>134</v>
      </c>
      <c r="AP495">
        <v>1486925.1</v>
      </c>
      <c r="AQ495">
        <v>525121</v>
      </c>
    </row>
    <row r="496" spans="1:43" x14ac:dyDescent="0.25">
      <c r="A496" s="3">
        <v>220</v>
      </c>
      <c r="B496" s="3">
        <v>1</v>
      </c>
      <c r="C496" s="3">
        <v>1</v>
      </c>
      <c r="D496">
        <v>1.1764705882358961E-2</v>
      </c>
      <c r="E496">
        <v>6.451612903225544E-2</v>
      </c>
      <c r="L496" s="3">
        <v>220</v>
      </c>
      <c r="M496" s="3">
        <v>1</v>
      </c>
      <c r="N496" s="3">
        <v>1</v>
      </c>
      <c r="O496">
        <v>1.0000000000005119E-2</v>
      </c>
      <c r="P496">
        <v>9.9999999999995925E-6</v>
      </c>
      <c r="W496" s="3">
        <v>220</v>
      </c>
      <c r="X496" s="3">
        <v>1</v>
      </c>
      <c r="Y496" s="3">
        <v>1</v>
      </c>
      <c r="Z496">
        <v>85.01</v>
      </c>
      <c r="AA496">
        <v>1.5509999999999999E-2</v>
      </c>
      <c r="AB496">
        <v>1</v>
      </c>
      <c r="AC496">
        <v>0</v>
      </c>
      <c r="AH496" s="3">
        <v>450</v>
      </c>
      <c r="AI496" s="3">
        <v>3</v>
      </c>
      <c r="AJ496" s="3">
        <v>8</v>
      </c>
      <c r="AO496">
        <v>140.19999999999999</v>
      </c>
      <c r="AP496">
        <v>1630332.5</v>
      </c>
      <c r="AQ496">
        <v>617232.5</v>
      </c>
    </row>
    <row r="497" spans="1:43" x14ac:dyDescent="0.25">
      <c r="A497" s="3">
        <v>220</v>
      </c>
      <c r="B497" s="3">
        <v>1</v>
      </c>
      <c r="C497" s="3">
        <v>2</v>
      </c>
      <c r="L497" s="3">
        <v>220</v>
      </c>
      <c r="M497" s="3">
        <v>1</v>
      </c>
      <c r="N497" s="3">
        <v>2</v>
      </c>
      <c r="W497" s="3">
        <v>220</v>
      </c>
      <c r="X497" s="3">
        <v>1</v>
      </c>
      <c r="Y497" s="3">
        <v>2</v>
      </c>
      <c r="Z497">
        <v>85.03</v>
      </c>
      <c r="AA497">
        <v>1.5509999999999999E-2</v>
      </c>
      <c r="AB497">
        <v>1</v>
      </c>
      <c r="AC497">
        <v>0</v>
      </c>
      <c r="AH497" s="3">
        <v>450</v>
      </c>
      <c r="AI497" s="3">
        <v>3</v>
      </c>
      <c r="AJ497" s="3">
        <v>9</v>
      </c>
      <c r="AO497">
        <v>186.8</v>
      </c>
      <c r="AP497">
        <v>3343717.3</v>
      </c>
      <c r="AQ497">
        <v>680924.9</v>
      </c>
    </row>
    <row r="498" spans="1:43" x14ac:dyDescent="0.25">
      <c r="A498" s="3">
        <v>220</v>
      </c>
      <c r="B498" s="3">
        <v>1</v>
      </c>
      <c r="C498" s="3">
        <v>3</v>
      </c>
      <c r="L498" s="3">
        <v>220</v>
      </c>
      <c r="M498" s="3">
        <v>1</v>
      </c>
      <c r="N498" s="3">
        <v>3</v>
      </c>
      <c r="W498" s="3">
        <v>220</v>
      </c>
      <c r="X498" s="3">
        <v>1</v>
      </c>
      <c r="Y498" s="3">
        <v>3</v>
      </c>
      <c r="Z498">
        <v>85.04</v>
      </c>
      <c r="AA498">
        <v>1.5509999999999999E-2</v>
      </c>
      <c r="AB498">
        <v>1</v>
      </c>
      <c r="AC498">
        <v>0</v>
      </c>
      <c r="AH498" s="3">
        <v>450</v>
      </c>
      <c r="AI498" s="3">
        <v>3</v>
      </c>
      <c r="AJ498" s="3">
        <v>10</v>
      </c>
      <c r="AO498">
        <v>209.9</v>
      </c>
      <c r="AP498">
        <v>3969317</v>
      </c>
      <c r="AQ498">
        <v>884354.9</v>
      </c>
    </row>
    <row r="499" spans="1:43" x14ac:dyDescent="0.25">
      <c r="A499" s="3">
        <v>220</v>
      </c>
      <c r="B499" s="3">
        <v>1</v>
      </c>
      <c r="C499" s="3">
        <v>4</v>
      </c>
      <c r="L499" s="3">
        <v>220</v>
      </c>
      <c r="M499" s="3">
        <v>1</v>
      </c>
      <c r="N499" s="3">
        <v>4</v>
      </c>
      <c r="W499" s="3">
        <v>220</v>
      </c>
      <c r="X499" s="3">
        <v>1</v>
      </c>
      <c r="Y499" s="3">
        <v>4</v>
      </c>
      <c r="Z499">
        <v>85.04</v>
      </c>
      <c r="AA499">
        <v>1.5509999999999999E-2</v>
      </c>
      <c r="AB499">
        <v>1</v>
      </c>
      <c r="AC499">
        <v>0</v>
      </c>
      <c r="AH499" s="3">
        <v>450</v>
      </c>
      <c r="AI499" s="3">
        <v>3</v>
      </c>
      <c r="AJ499" s="3">
        <v>11</v>
      </c>
      <c r="AO499">
        <v>460.8</v>
      </c>
      <c r="AP499">
        <v>1550836.9</v>
      </c>
      <c r="AQ499">
        <v>12350661</v>
      </c>
    </row>
    <row r="500" spans="1:43" x14ac:dyDescent="0.25">
      <c r="A500" s="3">
        <v>220</v>
      </c>
      <c r="B500" s="3">
        <v>1</v>
      </c>
      <c r="C500" s="3">
        <v>5</v>
      </c>
      <c r="L500" s="3">
        <v>220</v>
      </c>
      <c r="M500" s="3">
        <v>1</v>
      </c>
      <c r="N500" s="3">
        <v>5</v>
      </c>
      <c r="W500" s="3">
        <v>220</v>
      </c>
      <c r="X500" s="3">
        <v>1</v>
      </c>
      <c r="Y500" s="3">
        <v>5</v>
      </c>
      <c r="Z500">
        <v>85.05</v>
      </c>
      <c r="AA500">
        <v>1.5509999999999999E-2</v>
      </c>
      <c r="AB500">
        <v>1</v>
      </c>
      <c r="AC500">
        <v>0</v>
      </c>
      <c r="AH500" s="3">
        <v>450</v>
      </c>
      <c r="AI500" s="3">
        <v>3</v>
      </c>
      <c r="AJ500" s="3">
        <v>12</v>
      </c>
      <c r="AO500">
        <v>86.7</v>
      </c>
      <c r="AP500">
        <v>44362.2</v>
      </c>
      <c r="AQ500">
        <v>3179.9</v>
      </c>
    </row>
    <row r="501" spans="1:43" x14ac:dyDescent="0.25">
      <c r="A501" s="3">
        <v>220</v>
      </c>
      <c r="B501" s="3">
        <v>1</v>
      </c>
      <c r="C501" s="3">
        <v>6</v>
      </c>
      <c r="L501" s="3">
        <v>220</v>
      </c>
      <c r="M501" s="3">
        <v>1</v>
      </c>
      <c r="N501" s="3">
        <v>6</v>
      </c>
      <c r="W501" s="3">
        <v>220</v>
      </c>
      <c r="X501" s="3">
        <v>1</v>
      </c>
      <c r="Y501" s="3">
        <v>6</v>
      </c>
      <c r="Z501">
        <v>85.06</v>
      </c>
      <c r="AA501">
        <v>1.5509999999999999E-2</v>
      </c>
      <c r="AB501">
        <v>1</v>
      </c>
      <c r="AC501">
        <v>0</v>
      </c>
      <c r="AH501" s="3">
        <v>450</v>
      </c>
      <c r="AI501" s="3">
        <v>3</v>
      </c>
      <c r="AJ501" s="3">
        <v>13</v>
      </c>
      <c r="AO501">
        <v>86.3</v>
      </c>
      <c r="AP501">
        <v>30693</v>
      </c>
      <c r="AQ501">
        <v>2189.8000000000002</v>
      </c>
    </row>
    <row r="502" spans="1:43" x14ac:dyDescent="0.25">
      <c r="A502" s="3">
        <v>220</v>
      </c>
      <c r="B502" s="3">
        <v>1</v>
      </c>
      <c r="C502" s="3">
        <v>7</v>
      </c>
      <c r="L502" s="3">
        <v>220</v>
      </c>
      <c r="M502" s="3">
        <v>1</v>
      </c>
      <c r="N502" s="3">
        <v>7</v>
      </c>
      <c r="W502" s="3">
        <v>220</v>
      </c>
      <c r="X502" s="3">
        <v>1</v>
      </c>
      <c r="Y502" s="3">
        <v>7</v>
      </c>
      <c r="Z502">
        <v>85.06</v>
      </c>
      <c r="AA502">
        <v>1.5509999999999999E-2</v>
      </c>
      <c r="AB502">
        <v>1</v>
      </c>
      <c r="AC502">
        <v>0</v>
      </c>
      <c r="AH502" s="3">
        <v>450</v>
      </c>
      <c r="AI502" s="3">
        <v>3</v>
      </c>
      <c r="AJ502" s="3">
        <v>14</v>
      </c>
      <c r="AO502">
        <v>86.2</v>
      </c>
      <c r="AP502">
        <v>5722.2</v>
      </c>
      <c r="AQ502">
        <v>728.7</v>
      </c>
    </row>
    <row r="503" spans="1:43" x14ac:dyDescent="0.25">
      <c r="A503" s="3">
        <v>220</v>
      </c>
      <c r="B503" s="3">
        <v>1</v>
      </c>
      <c r="C503" s="3">
        <v>8</v>
      </c>
      <c r="L503" s="3">
        <v>220</v>
      </c>
      <c r="M503" s="3">
        <v>1</v>
      </c>
      <c r="N503" s="3">
        <v>8</v>
      </c>
      <c r="W503" s="3">
        <v>220</v>
      </c>
      <c r="X503" s="3">
        <v>1</v>
      </c>
      <c r="Y503" s="3">
        <v>8</v>
      </c>
      <c r="Z503">
        <v>85.07</v>
      </c>
      <c r="AA503">
        <v>1.5509999999999999E-2</v>
      </c>
      <c r="AB503">
        <v>1</v>
      </c>
      <c r="AC503">
        <v>0</v>
      </c>
      <c r="AH503" s="3">
        <v>450</v>
      </c>
      <c r="AI503" s="3">
        <v>4</v>
      </c>
      <c r="AJ503" s="3">
        <v>1</v>
      </c>
      <c r="AK503">
        <v>85</v>
      </c>
      <c r="AL503">
        <v>1.55E-2</v>
      </c>
      <c r="AO503">
        <v>85</v>
      </c>
      <c r="AP503">
        <v>0</v>
      </c>
      <c r="AQ503">
        <v>0</v>
      </c>
    </row>
    <row r="504" spans="1:43" x14ac:dyDescent="0.25">
      <c r="A504" s="3">
        <v>220</v>
      </c>
      <c r="B504" s="3">
        <v>1</v>
      </c>
      <c r="C504" s="3">
        <v>9</v>
      </c>
      <c r="L504" s="3">
        <v>220</v>
      </c>
      <c r="M504" s="3">
        <v>1</v>
      </c>
      <c r="N504" s="3">
        <v>9</v>
      </c>
      <c r="W504" s="3">
        <v>220</v>
      </c>
      <c r="X504" s="3">
        <v>1</v>
      </c>
      <c r="Y504" s="3">
        <v>9</v>
      </c>
      <c r="Z504">
        <v>85.07</v>
      </c>
      <c r="AA504">
        <v>1.5509999999999999E-2</v>
      </c>
      <c r="AB504">
        <v>1</v>
      </c>
      <c r="AC504">
        <v>0</v>
      </c>
      <c r="AH504" s="3">
        <v>450</v>
      </c>
      <c r="AI504" s="3">
        <v>4</v>
      </c>
      <c r="AJ504" s="3">
        <v>2</v>
      </c>
      <c r="AO504">
        <v>85</v>
      </c>
      <c r="AP504">
        <v>0</v>
      </c>
      <c r="AQ504">
        <v>0</v>
      </c>
    </row>
    <row r="505" spans="1:43" x14ac:dyDescent="0.25">
      <c r="A505" s="3">
        <v>220</v>
      </c>
      <c r="B505" s="3">
        <v>1</v>
      </c>
      <c r="C505" s="3">
        <v>10</v>
      </c>
      <c r="L505" s="3">
        <v>220</v>
      </c>
      <c r="M505" s="3">
        <v>1</v>
      </c>
      <c r="N505" s="3">
        <v>10</v>
      </c>
      <c r="W505" s="3">
        <v>220</v>
      </c>
      <c r="X505" s="3">
        <v>1</v>
      </c>
      <c r="Y505" s="3">
        <v>10</v>
      </c>
      <c r="Z505">
        <v>85.07</v>
      </c>
      <c r="AA505">
        <v>1.5509999999999999E-2</v>
      </c>
      <c r="AB505">
        <v>1</v>
      </c>
      <c r="AC505">
        <v>0</v>
      </c>
      <c r="AH505" s="3">
        <v>450</v>
      </c>
      <c r="AI505" s="3">
        <v>5</v>
      </c>
      <c r="AJ505" s="3">
        <v>1</v>
      </c>
      <c r="AK505">
        <v>110.3</v>
      </c>
      <c r="AL505">
        <v>1.5599999999999999E-2</v>
      </c>
    </row>
    <row r="506" spans="1:43" x14ac:dyDescent="0.25">
      <c r="A506" s="3">
        <v>220</v>
      </c>
      <c r="B506" s="3">
        <v>2</v>
      </c>
      <c r="C506" s="3">
        <v>1</v>
      </c>
      <c r="D506">
        <v>2.8571428571435069E-2</v>
      </c>
      <c r="E506">
        <v>0.1265822784810294</v>
      </c>
      <c r="H506">
        <v>0</v>
      </c>
      <c r="I506">
        <v>1.288332729664208E-5</v>
      </c>
      <c r="J506">
        <v>6.2562660418213092E-5</v>
      </c>
      <c r="L506" s="3">
        <v>220</v>
      </c>
      <c r="M506" s="3">
        <v>2</v>
      </c>
      <c r="N506" s="3">
        <v>1</v>
      </c>
      <c r="O506">
        <v>5.0000000000011369E-2</v>
      </c>
      <c r="P506">
        <v>-2.0000000000002651E-5</v>
      </c>
      <c r="S506">
        <v>0</v>
      </c>
      <c r="T506">
        <v>0.1999999999534339</v>
      </c>
      <c r="U506">
        <v>0.2000000000116415</v>
      </c>
      <c r="W506" s="3">
        <v>220</v>
      </c>
      <c r="X506" s="3">
        <v>2</v>
      </c>
      <c r="Y506" s="3">
        <v>1</v>
      </c>
      <c r="Z506">
        <v>175.05</v>
      </c>
      <c r="AA506">
        <v>1.5779999999999999E-2</v>
      </c>
      <c r="AB506">
        <v>0.1</v>
      </c>
      <c r="AC506">
        <v>0</v>
      </c>
      <c r="AD506">
        <v>91.3</v>
      </c>
      <c r="AE506">
        <v>1552394.2</v>
      </c>
      <c r="AF506">
        <v>319679.7</v>
      </c>
      <c r="AH506" s="3">
        <v>500</v>
      </c>
      <c r="AI506" s="3">
        <v>1</v>
      </c>
      <c r="AJ506" s="3">
        <v>1</v>
      </c>
      <c r="AK506">
        <v>85</v>
      </c>
      <c r="AL506">
        <v>1.55E-2</v>
      </c>
    </row>
    <row r="507" spans="1:43" x14ac:dyDescent="0.25">
      <c r="A507" s="3">
        <v>220</v>
      </c>
      <c r="B507" s="3">
        <v>2</v>
      </c>
      <c r="C507" s="3">
        <v>2</v>
      </c>
      <c r="H507">
        <v>0</v>
      </c>
      <c r="I507">
        <v>6.1750391797388407E-5</v>
      </c>
      <c r="J507">
        <v>8.4573408560664837E-5</v>
      </c>
      <c r="L507" s="3">
        <v>220</v>
      </c>
      <c r="M507" s="3">
        <v>2</v>
      </c>
      <c r="N507" s="3">
        <v>2</v>
      </c>
      <c r="S507">
        <v>0</v>
      </c>
      <c r="T507">
        <v>-1.299999999813735</v>
      </c>
      <c r="U507">
        <v>-0.40000000002328312</v>
      </c>
      <c r="W507" s="3">
        <v>220</v>
      </c>
      <c r="X507" s="3">
        <v>2</v>
      </c>
      <c r="Y507" s="3">
        <v>2</v>
      </c>
      <c r="Z507">
        <v>207.47</v>
      </c>
      <c r="AA507">
        <v>1.5820000000000001E-2</v>
      </c>
      <c r="AB507">
        <v>0.1</v>
      </c>
      <c r="AC507">
        <v>0</v>
      </c>
      <c r="AD507">
        <v>94.7</v>
      </c>
      <c r="AE507">
        <v>2105248.5</v>
      </c>
      <c r="AF507">
        <v>472961.5</v>
      </c>
      <c r="AH507" s="3">
        <v>500</v>
      </c>
      <c r="AI507" s="3">
        <v>2</v>
      </c>
      <c r="AJ507" s="3">
        <v>1</v>
      </c>
      <c r="AK507">
        <v>196.4</v>
      </c>
      <c r="AL507">
        <v>1.5900000000000001E-2</v>
      </c>
      <c r="AO507">
        <v>99</v>
      </c>
      <c r="AP507">
        <v>1758649.1</v>
      </c>
      <c r="AQ507">
        <v>401182</v>
      </c>
    </row>
    <row r="508" spans="1:43" x14ac:dyDescent="0.25">
      <c r="A508" s="3">
        <v>220</v>
      </c>
      <c r="B508" s="3">
        <v>3</v>
      </c>
      <c r="C508" s="3">
        <v>1</v>
      </c>
      <c r="D508">
        <v>8.0710250201702222E-3</v>
      </c>
      <c r="E508">
        <v>0.1898734177215112</v>
      </c>
      <c r="H508">
        <v>0</v>
      </c>
      <c r="I508">
        <v>2.3704226258480981E-5</v>
      </c>
      <c r="J508">
        <v>0</v>
      </c>
      <c r="L508" s="3">
        <v>220</v>
      </c>
      <c r="M508" s="3">
        <v>3</v>
      </c>
      <c r="N508" s="3">
        <v>1</v>
      </c>
      <c r="O508">
        <v>1.999999999998181E-2</v>
      </c>
      <c r="P508">
        <v>2.9999999999998781E-5</v>
      </c>
      <c r="S508">
        <v>0</v>
      </c>
      <c r="T508">
        <v>-0.20000000006984919</v>
      </c>
      <c r="U508">
        <v>0</v>
      </c>
      <c r="W508" s="3">
        <v>220</v>
      </c>
      <c r="X508" s="3">
        <v>3</v>
      </c>
      <c r="Y508" s="3">
        <v>1</v>
      </c>
      <c r="Z508">
        <v>247.82</v>
      </c>
      <c r="AA508">
        <v>1.583E-2</v>
      </c>
      <c r="AB508">
        <v>0</v>
      </c>
      <c r="AC508">
        <v>0</v>
      </c>
      <c r="AD508">
        <v>100</v>
      </c>
      <c r="AE508">
        <v>843731.2</v>
      </c>
      <c r="AF508">
        <v>198778.9</v>
      </c>
      <c r="AH508" s="3">
        <v>500</v>
      </c>
      <c r="AI508" s="3">
        <v>2</v>
      </c>
      <c r="AJ508" s="3">
        <v>2</v>
      </c>
      <c r="AO508">
        <v>104</v>
      </c>
      <c r="AP508">
        <v>2250968.7999999998</v>
      </c>
      <c r="AQ508">
        <v>564135.30000000005</v>
      </c>
    </row>
    <row r="509" spans="1:43" x14ac:dyDescent="0.25">
      <c r="A509" s="3">
        <v>220</v>
      </c>
      <c r="B509" s="3">
        <v>3</v>
      </c>
      <c r="C509" s="3">
        <v>2</v>
      </c>
      <c r="H509">
        <v>0</v>
      </c>
      <c r="I509">
        <v>1.0822289454979431E-5</v>
      </c>
      <c r="J509">
        <v>4.4126167305166761E-5</v>
      </c>
      <c r="L509" s="3">
        <v>220</v>
      </c>
      <c r="M509" s="3">
        <v>3</v>
      </c>
      <c r="N509" s="3">
        <v>2</v>
      </c>
      <c r="S509">
        <v>0</v>
      </c>
      <c r="T509">
        <v>9.9999999976716936E-2</v>
      </c>
      <c r="U509">
        <v>0.10000000000582079</v>
      </c>
      <c r="W509" s="3">
        <v>220</v>
      </c>
      <c r="X509" s="3">
        <v>3</v>
      </c>
      <c r="Y509" s="3">
        <v>2</v>
      </c>
      <c r="Z509">
        <v>263.37</v>
      </c>
      <c r="AA509">
        <v>1.584E-2</v>
      </c>
      <c r="AB509">
        <v>0</v>
      </c>
      <c r="AC509">
        <v>0</v>
      </c>
      <c r="AD509">
        <v>102</v>
      </c>
      <c r="AE509">
        <v>924019</v>
      </c>
      <c r="AF509">
        <v>226623</v>
      </c>
      <c r="AH509" s="3">
        <v>500</v>
      </c>
      <c r="AI509" s="3">
        <v>3</v>
      </c>
      <c r="AJ509" s="3">
        <v>1</v>
      </c>
      <c r="AK509">
        <v>270.3</v>
      </c>
      <c r="AL509">
        <v>1.5900000000000001E-2</v>
      </c>
      <c r="AO509">
        <v>112.1</v>
      </c>
      <c r="AP509">
        <v>881689</v>
      </c>
      <c r="AQ509">
        <v>231100.9</v>
      </c>
    </row>
    <row r="510" spans="1:43" x14ac:dyDescent="0.25">
      <c r="A510" s="3">
        <v>220</v>
      </c>
      <c r="B510" s="3">
        <v>3</v>
      </c>
      <c r="C510" s="3">
        <v>3</v>
      </c>
      <c r="H510">
        <v>0</v>
      </c>
      <c r="I510">
        <v>2.9624614650927319E-5</v>
      </c>
      <c r="J510">
        <v>0</v>
      </c>
      <c r="L510" s="3">
        <v>220</v>
      </c>
      <c r="M510" s="3">
        <v>3</v>
      </c>
      <c r="N510" s="3">
        <v>3</v>
      </c>
      <c r="S510">
        <v>0</v>
      </c>
      <c r="T510">
        <v>0.29999999993015081</v>
      </c>
      <c r="U510">
        <v>0</v>
      </c>
      <c r="W510" s="3">
        <v>220</v>
      </c>
      <c r="X510" s="3">
        <v>3</v>
      </c>
      <c r="Y510" s="3">
        <v>3</v>
      </c>
      <c r="Z510">
        <v>280.39999999999998</v>
      </c>
      <c r="AA510">
        <v>1.584E-2</v>
      </c>
      <c r="AB510">
        <v>0</v>
      </c>
      <c r="AC510">
        <v>0</v>
      </c>
      <c r="AD510">
        <v>104.3</v>
      </c>
      <c r="AE510">
        <v>1012671.7</v>
      </c>
      <c r="AF510">
        <v>259297.1</v>
      </c>
      <c r="AH510" s="3">
        <v>500</v>
      </c>
      <c r="AI510" s="3">
        <v>3</v>
      </c>
      <c r="AJ510" s="3">
        <v>2</v>
      </c>
      <c r="AO510">
        <v>115.1</v>
      </c>
      <c r="AP510">
        <v>960093</v>
      </c>
      <c r="AQ510">
        <v>262489.7</v>
      </c>
    </row>
    <row r="511" spans="1:43" x14ac:dyDescent="0.25">
      <c r="A511" s="3">
        <v>220</v>
      </c>
      <c r="B511" s="3">
        <v>3</v>
      </c>
      <c r="C511" s="3">
        <v>4</v>
      </c>
      <c r="H511">
        <v>0</v>
      </c>
      <c r="I511">
        <v>2.7004472193876221E-5</v>
      </c>
      <c r="J511">
        <v>0</v>
      </c>
      <c r="L511" s="3">
        <v>220</v>
      </c>
      <c r="M511" s="3">
        <v>3</v>
      </c>
      <c r="N511" s="3">
        <v>4</v>
      </c>
      <c r="S511">
        <v>0</v>
      </c>
      <c r="T511">
        <v>0.29999999981373549</v>
      </c>
      <c r="U511">
        <v>0</v>
      </c>
      <c r="W511" s="3">
        <v>220</v>
      </c>
      <c r="X511" s="3">
        <v>3</v>
      </c>
      <c r="Y511" s="3">
        <v>4</v>
      </c>
      <c r="Z511">
        <v>299.08</v>
      </c>
      <c r="AA511">
        <v>1.584E-2</v>
      </c>
      <c r="AB511">
        <v>0</v>
      </c>
      <c r="AC511">
        <v>0</v>
      </c>
      <c r="AD511">
        <v>106.9</v>
      </c>
      <c r="AE511">
        <v>1110927.3999999999</v>
      </c>
      <c r="AF511">
        <v>297909</v>
      </c>
      <c r="AH511" s="3">
        <v>500</v>
      </c>
      <c r="AI511" s="3">
        <v>3</v>
      </c>
      <c r="AJ511" s="3">
        <v>3</v>
      </c>
      <c r="AO511">
        <v>118.5</v>
      </c>
      <c r="AP511">
        <v>1046187.6</v>
      </c>
      <c r="AQ511">
        <v>299444.2</v>
      </c>
    </row>
    <row r="512" spans="1:43" x14ac:dyDescent="0.25">
      <c r="A512" s="3">
        <v>220</v>
      </c>
      <c r="B512" s="3">
        <v>3</v>
      </c>
      <c r="C512" s="3">
        <v>5</v>
      </c>
      <c r="H512">
        <v>0</v>
      </c>
      <c r="I512">
        <v>8.2136711046609187E-6</v>
      </c>
      <c r="J512">
        <v>0</v>
      </c>
      <c r="L512" s="3">
        <v>220</v>
      </c>
      <c r="M512" s="3">
        <v>3</v>
      </c>
      <c r="N512" s="3">
        <v>5</v>
      </c>
      <c r="S512">
        <v>0</v>
      </c>
      <c r="T512">
        <v>0.1000000000931323</v>
      </c>
      <c r="U512">
        <v>0</v>
      </c>
      <c r="W512" s="3">
        <v>220</v>
      </c>
      <c r="X512" s="3">
        <v>3</v>
      </c>
      <c r="Y512" s="3">
        <v>5</v>
      </c>
      <c r="Z512">
        <v>319.64</v>
      </c>
      <c r="AA512">
        <v>1.584E-2</v>
      </c>
      <c r="AB512">
        <v>0</v>
      </c>
      <c r="AC512">
        <v>0</v>
      </c>
      <c r="AD512">
        <v>109.8</v>
      </c>
      <c r="AE512">
        <v>1217482.5</v>
      </c>
      <c r="AF512">
        <v>343921.2</v>
      </c>
      <c r="AH512" s="3">
        <v>500</v>
      </c>
      <c r="AI512" s="3">
        <v>3</v>
      </c>
      <c r="AJ512" s="3">
        <v>4</v>
      </c>
      <c r="AO512">
        <v>122.2</v>
      </c>
      <c r="AP512">
        <v>1139735.6000000001</v>
      </c>
      <c r="AQ512">
        <v>343275.9</v>
      </c>
    </row>
    <row r="513" spans="1:43" x14ac:dyDescent="0.25">
      <c r="A513" s="3">
        <v>220</v>
      </c>
      <c r="B513" s="3">
        <v>3</v>
      </c>
      <c r="C513" s="3">
        <v>6</v>
      </c>
      <c r="H513">
        <v>0</v>
      </c>
      <c r="I513">
        <v>1.496893048439413E-5</v>
      </c>
      <c r="J513">
        <v>2.505554188119629E-5</v>
      </c>
      <c r="L513" s="3">
        <v>220</v>
      </c>
      <c r="M513" s="3">
        <v>3</v>
      </c>
      <c r="N513" s="3">
        <v>6</v>
      </c>
      <c r="S513">
        <v>0</v>
      </c>
      <c r="T513">
        <v>0.1999999999534339</v>
      </c>
      <c r="U513">
        <v>0.1000000000349246</v>
      </c>
      <c r="W513" s="3">
        <v>220</v>
      </c>
      <c r="X513" s="3">
        <v>3</v>
      </c>
      <c r="Y513" s="3">
        <v>6</v>
      </c>
      <c r="Z513">
        <v>342.29</v>
      </c>
      <c r="AA513">
        <v>1.584E-2</v>
      </c>
      <c r="AB513">
        <v>0</v>
      </c>
      <c r="AC513">
        <v>0</v>
      </c>
      <c r="AD513">
        <v>113.1</v>
      </c>
      <c r="AE513">
        <v>1336101</v>
      </c>
      <c r="AF513">
        <v>399113.4</v>
      </c>
      <c r="AH513" s="3">
        <v>500</v>
      </c>
      <c r="AI513" s="3">
        <v>3</v>
      </c>
      <c r="AJ513" s="3">
        <v>5</v>
      </c>
      <c r="AO513">
        <v>126.5</v>
      </c>
      <c r="AP513">
        <v>1243605.5</v>
      </c>
      <c r="AQ513">
        <v>395576.5</v>
      </c>
    </row>
    <row r="514" spans="1:43" x14ac:dyDescent="0.25">
      <c r="A514" s="3">
        <v>220</v>
      </c>
      <c r="B514" s="3">
        <v>3</v>
      </c>
      <c r="C514" s="3">
        <v>7</v>
      </c>
      <c r="H514">
        <v>0</v>
      </c>
      <c r="I514">
        <v>4.7651466837149858E-5</v>
      </c>
      <c r="J514">
        <v>2.1462852210217609E-5</v>
      </c>
      <c r="L514" s="3">
        <v>220</v>
      </c>
      <c r="M514" s="3">
        <v>3</v>
      </c>
      <c r="N514" s="3">
        <v>7</v>
      </c>
      <c r="S514">
        <v>0</v>
      </c>
      <c r="T514">
        <v>0.70000000018626451</v>
      </c>
      <c r="U514">
        <v>0.1000000000349246</v>
      </c>
      <c r="W514" s="3">
        <v>220</v>
      </c>
      <c r="X514" s="3">
        <v>3</v>
      </c>
      <c r="Y514" s="3">
        <v>7</v>
      </c>
      <c r="Z514">
        <v>367.32</v>
      </c>
      <c r="AA514">
        <v>1.584E-2</v>
      </c>
      <c r="AB514">
        <v>0</v>
      </c>
      <c r="AC514">
        <v>0</v>
      </c>
      <c r="AD514">
        <v>116.9</v>
      </c>
      <c r="AE514">
        <v>1469000.6</v>
      </c>
      <c r="AF514">
        <v>465921.4</v>
      </c>
      <c r="AH514" s="3">
        <v>500</v>
      </c>
      <c r="AI514" s="3">
        <v>3</v>
      </c>
      <c r="AJ514" s="3">
        <v>6</v>
      </c>
      <c r="AO514">
        <v>131.4</v>
      </c>
      <c r="AP514">
        <v>1359424.6</v>
      </c>
      <c r="AQ514">
        <v>458515</v>
      </c>
    </row>
    <row r="515" spans="1:43" x14ac:dyDescent="0.25">
      <c r="A515" s="3">
        <v>220</v>
      </c>
      <c r="B515" s="3">
        <v>3</v>
      </c>
      <c r="C515" s="3">
        <v>8</v>
      </c>
      <c r="H515">
        <v>0</v>
      </c>
      <c r="I515">
        <v>2.4709928597996809E-5</v>
      </c>
      <c r="J515">
        <v>3.6520335174478493E-5</v>
      </c>
      <c r="L515" s="3">
        <v>220</v>
      </c>
      <c r="M515" s="3">
        <v>3</v>
      </c>
      <c r="N515" s="3">
        <v>8</v>
      </c>
      <c r="S515">
        <v>0</v>
      </c>
      <c r="T515">
        <v>0.39999999990686769</v>
      </c>
      <c r="U515">
        <v>0.20000000006984919</v>
      </c>
      <c r="W515" s="3">
        <v>220</v>
      </c>
      <c r="X515" s="3">
        <v>3</v>
      </c>
      <c r="Y515" s="3">
        <v>8</v>
      </c>
      <c r="Z515">
        <v>395.09</v>
      </c>
      <c r="AA515">
        <v>1.585E-2</v>
      </c>
      <c r="AB515">
        <v>0</v>
      </c>
      <c r="AC515">
        <v>0</v>
      </c>
      <c r="AD515">
        <v>121.3</v>
      </c>
      <c r="AE515">
        <v>1618782.9</v>
      </c>
      <c r="AF515">
        <v>547640.30000000005</v>
      </c>
      <c r="AH515" s="3">
        <v>500</v>
      </c>
      <c r="AI515" s="3">
        <v>3</v>
      </c>
      <c r="AJ515" s="3">
        <v>7</v>
      </c>
      <c r="AO515">
        <v>137.1</v>
      </c>
      <c r="AP515">
        <v>1489196.4</v>
      </c>
      <c r="AQ515">
        <v>534980.5</v>
      </c>
    </row>
    <row r="516" spans="1:43" x14ac:dyDescent="0.25">
      <c r="A516" s="3">
        <v>220</v>
      </c>
      <c r="B516" s="3">
        <v>3</v>
      </c>
      <c r="C516" s="3">
        <v>9</v>
      </c>
      <c r="H516">
        <v>0</v>
      </c>
      <c r="I516">
        <v>2.9343043298477319E-5</v>
      </c>
      <c r="J516">
        <v>6.4863536023808109E-5</v>
      </c>
      <c r="L516" s="3">
        <v>220</v>
      </c>
      <c r="M516" s="3">
        <v>3</v>
      </c>
      <c r="N516" s="3">
        <v>9</v>
      </c>
      <c r="S516">
        <v>0</v>
      </c>
      <c r="T516">
        <v>1</v>
      </c>
      <c r="U516">
        <v>0.39999999990686769</v>
      </c>
      <c r="W516" s="3">
        <v>220</v>
      </c>
      <c r="X516" s="3">
        <v>3</v>
      </c>
      <c r="Y516" s="3">
        <v>9</v>
      </c>
      <c r="Z516">
        <v>426.04</v>
      </c>
      <c r="AA516">
        <v>1.585E-2</v>
      </c>
      <c r="AB516">
        <v>50.9</v>
      </c>
      <c r="AC516">
        <v>4.5</v>
      </c>
      <c r="AD516">
        <v>155</v>
      </c>
      <c r="AE516">
        <v>3407963.8</v>
      </c>
      <c r="AF516">
        <v>616679.69999999995</v>
      </c>
      <c r="AH516" s="3">
        <v>500</v>
      </c>
      <c r="AI516" s="3">
        <v>3</v>
      </c>
      <c r="AJ516" s="3">
        <v>8</v>
      </c>
      <c r="AO516">
        <v>143.6</v>
      </c>
      <c r="AP516">
        <v>1631541.9</v>
      </c>
      <c r="AQ516">
        <v>628951.6</v>
      </c>
    </row>
    <row r="517" spans="1:43" x14ac:dyDescent="0.25">
      <c r="A517" s="3">
        <v>220</v>
      </c>
      <c r="B517" s="3">
        <v>3</v>
      </c>
      <c r="C517" s="3">
        <v>10</v>
      </c>
      <c r="H517">
        <v>0</v>
      </c>
      <c r="I517">
        <v>1.918991224246204E-5</v>
      </c>
      <c r="J517">
        <v>9.9194368131893648E-5</v>
      </c>
      <c r="L517" s="3">
        <v>220</v>
      </c>
      <c r="M517" s="3">
        <v>3</v>
      </c>
      <c r="N517" s="3">
        <v>10</v>
      </c>
      <c r="S517">
        <v>0</v>
      </c>
      <c r="T517">
        <v>-0.79999999981373549</v>
      </c>
      <c r="U517">
        <v>0.79999999993015081</v>
      </c>
      <c r="W517" s="3">
        <v>220</v>
      </c>
      <c r="X517" s="3">
        <v>3</v>
      </c>
      <c r="Y517" s="3">
        <v>10</v>
      </c>
      <c r="Z517">
        <v>479.39</v>
      </c>
      <c r="AA517">
        <v>1.5800000000000002E-2</v>
      </c>
      <c r="AB517">
        <v>56.9</v>
      </c>
      <c r="AC517">
        <v>5.0999999999999996</v>
      </c>
      <c r="AD517">
        <v>172.3</v>
      </c>
      <c r="AE517">
        <v>4168856.2</v>
      </c>
      <c r="AF517">
        <v>806498.2</v>
      </c>
      <c r="AH517" s="3">
        <v>500</v>
      </c>
      <c r="AI517" s="3">
        <v>3</v>
      </c>
      <c r="AJ517" s="3">
        <v>9</v>
      </c>
      <c r="AO517">
        <v>192.5</v>
      </c>
      <c r="AP517">
        <v>3333257.8</v>
      </c>
      <c r="AQ517">
        <v>691384.3</v>
      </c>
    </row>
    <row r="518" spans="1:43" x14ac:dyDescent="0.25">
      <c r="A518" s="3">
        <v>220</v>
      </c>
      <c r="B518" s="3">
        <v>3</v>
      </c>
      <c r="C518" s="3">
        <v>11</v>
      </c>
      <c r="H518">
        <v>0</v>
      </c>
      <c r="I518">
        <v>1.682057492799698E-4</v>
      </c>
      <c r="J518">
        <v>7.9340590828751354E-6</v>
      </c>
      <c r="L518" s="3">
        <v>220</v>
      </c>
      <c r="M518" s="3">
        <v>3</v>
      </c>
      <c r="N518" s="3">
        <v>11</v>
      </c>
      <c r="S518">
        <v>0</v>
      </c>
      <c r="T518">
        <v>4.2000000001862654</v>
      </c>
      <c r="U518">
        <v>1</v>
      </c>
      <c r="W518" s="3">
        <v>220</v>
      </c>
      <c r="X518" s="3">
        <v>3</v>
      </c>
      <c r="Y518" s="3">
        <v>11</v>
      </c>
      <c r="Z518">
        <v>545.29</v>
      </c>
      <c r="AA518">
        <v>1.5740000000000001E-2</v>
      </c>
      <c r="AB518">
        <v>13390.3</v>
      </c>
      <c r="AC518">
        <v>5.0999999999999996</v>
      </c>
      <c r="AD518">
        <v>364.3</v>
      </c>
      <c r="AE518">
        <v>2496946.2000000002</v>
      </c>
      <c r="AF518">
        <v>12603890</v>
      </c>
      <c r="AH518" s="3">
        <v>500</v>
      </c>
      <c r="AI518" s="3">
        <v>3</v>
      </c>
      <c r="AJ518" s="3">
        <v>10</v>
      </c>
      <c r="AO518">
        <v>216.4</v>
      </c>
      <c r="AP518">
        <v>3936207.3</v>
      </c>
      <c r="AQ518">
        <v>896843.6</v>
      </c>
    </row>
    <row r="519" spans="1:43" x14ac:dyDescent="0.25">
      <c r="A519" s="3">
        <v>220</v>
      </c>
      <c r="B519" s="3">
        <v>3</v>
      </c>
      <c r="C519" s="3">
        <v>12</v>
      </c>
      <c r="H519">
        <v>0</v>
      </c>
      <c r="I519">
        <v>4.8052434817338338E-4</v>
      </c>
      <c r="J519">
        <v>0</v>
      </c>
      <c r="L519" s="3">
        <v>220</v>
      </c>
      <c r="M519" s="3">
        <v>3</v>
      </c>
      <c r="N519" s="3">
        <v>12</v>
      </c>
      <c r="S519">
        <v>0</v>
      </c>
      <c r="T519">
        <v>-0.30000000000291038</v>
      </c>
      <c r="U519">
        <v>0</v>
      </c>
      <c r="W519" s="3">
        <v>220</v>
      </c>
      <c r="X519" s="3">
        <v>3</v>
      </c>
      <c r="Y519" s="3">
        <v>12</v>
      </c>
      <c r="Z519">
        <v>91.73</v>
      </c>
      <c r="AA519">
        <v>1.5679999999999999E-2</v>
      </c>
      <c r="AB519">
        <v>56.9</v>
      </c>
      <c r="AC519">
        <v>5.0999999999999996</v>
      </c>
      <c r="AD519">
        <v>86.7</v>
      </c>
      <c r="AE519">
        <v>62431.5</v>
      </c>
      <c r="AF519">
        <v>4373.8999999999996</v>
      </c>
      <c r="AH519" s="3">
        <v>500</v>
      </c>
      <c r="AI519" s="3">
        <v>3</v>
      </c>
      <c r="AJ519" s="3">
        <v>11</v>
      </c>
      <c r="AO519">
        <v>476.6</v>
      </c>
      <c r="AP519">
        <v>1399131.4</v>
      </c>
      <c r="AQ519">
        <v>12296093</v>
      </c>
    </row>
    <row r="520" spans="1:43" x14ac:dyDescent="0.25">
      <c r="A520" s="3">
        <v>220</v>
      </c>
      <c r="B520" s="3">
        <v>3</v>
      </c>
      <c r="C520" s="3">
        <v>13</v>
      </c>
      <c r="H520">
        <v>0</v>
      </c>
      <c r="I520">
        <v>6.9874854136919861E-4</v>
      </c>
      <c r="J520">
        <v>3.3421342869526102E-3</v>
      </c>
      <c r="L520" s="3">
        <v>220</v>
      </c>
      <c r="M520" s="3">
        <v>3</v>
      </c>
      <c r="N520" s="3">
        <v>13</v>
      </c>
      <c r="S520">
        <v>0</v>
      </c>
      <c r="T520">
        <v>-0.30000000000291038</v>
      </c>
      <c r="U520">
        <v>-9.9999999999909051E-2</v>
      </c>
      <c r="W520" s="3">
        <v>220</v>
      </c>
      <c r="X520" s="3">
        <v>3</v>
      </c>
      <c r="Y520" s="3">
        <v>13</v>
      </c>
      <c r="Z520">
        <v>89.79</v>
      </c>
      <c r="AA520">
        <v>1.562E-2</v>
      </c>
      <c r="AB520">
        <v>56.9</v>
      </c>
      <c r="AC520">
        <v>5.0999999999999996</v>
      </c>
      <c r="AD520">
        <v>86.3</v>
      </c>
      <c r="AE520">
        <v>42933.599999999999</v>
      </c>
      <c r="AF520">
        <v>2992</v>
      </c>
      <c r="AH520" s="3">
        <v>500</v>
      </c>
      <c r="AI520" s="3">
        <v>3</v>
      </c>
      <c r="AJ520" s="3">
        <v>12</v>
      </c>
      <c r="AO520">
        <v>86.7</v>
      </c>
      <c r="AP520">
        <v>42146.1</v>
      </c>
      <c r="AQ520">
        <v>3030.4</v>
      </c>
    </row>
    <row r="521" spans="1:43" x14ac:dyDescent="0.25">
      <c r="A521" s="3">
        <v>220</v>
      </c>
      <c r="B521" s="3">
        <v>3</v>
      </c>
      <c r="C521" s="3">
        <v>14</v>
      </c>
      <c r="H521">
        <v>0</v>
      </c>
      <c r="I521">
        <v>1.352691246948948E-4</v>
      </c>
      <c r="J521">
        <v>9.3914350112611795E-3</v>
      </c>
      <c r="L521" s="3">
        <v>220</v>
      </c>
      <c r="M521" s="3">
        <v>3</v>
      </c>
      <c r="N521" s="3">
        <v>14</v>
      </c>
      <c r="S521">
        <v>0</v>
      </c>
      <c r="T521">
        <v>0.10000000000582079</v>
      </c>
      <c r="U521">
        <v>-9.9999999999909051E-2</v>
      </c>
      <c r="W521" s="3">
        <v>220</v>
      </c>
      <c r="X521" s="3">
        <v>3</v>
      </c>
      <c r="Y521" s="3">
        <v>14</v>
      </c>
      <c r="Z521">
        <v>87.57</v>
      </c>
      <c r="AA521">
        <v>1.5570000000000001E-2</v>
      </c>
      <c r="AB521">
        <v>56.1</v>
      </c>
      <c r="AC521">
        <v>5</v>
      </c>
      <c r="AD521">
        <v>86.3</v>
      </c>
      <c r="AE521">
        <v>73926.8</v>
      </c>
      <c r="AF521">
        <v>1064.7</v>
      </c>
      <c r="AH521" s="3">
        <v>500</v>
      </c>
      <c r="AI521" s="3">
        <v>3</v>
      </c>
      <c r="AJ521" s="3">
        <v>13</v>
      </c>
      <c r="AO521">
        <v>86.3</v>
      </c>
      <c r="AP521">
        <v>29120.799999999999</v>
      </c>
      <c r="AQ521">
        <v>2084.3000000000002</v>
      </c>
    </row>
    <row r="522" spans="1:43" x14ac:dyDescent="0.25">
      <c r="A522" s="3">
        <v>220</v>
      </c>
      <c r="B522" s="3">
        <v>4</v>
      </c>
      <c r="C522" s="3">
        <v>1</v>
      </c>
      <c r="D522">
        <v>0</v>
      </c>
      <c r="E522">
        <v>6.451612903225544E-2</v>
      </c>
      <c r="H522">
        <v>0</v>
      </c>
      <c r="L522" s="3">
        <v>220</v>
      </c>
      <c r="M522" s="3">
        <v>4</v>
      </c>
      <c r="N522" s="3">
        <v>1</v>
      </c>
      <c r="O522">
        <v>0</v>
      </c>
      <c r="P522">
        <v>9.9999999999995925E-6</v>
      </c>
      <c r="S522">
        <v>0</v>
      </c>
      <c r="T522">
        <v>0</v>
      </c>
      <c r="U522">
        <v>0</v>
      </c>
      <c r="W522" s="3">
        <v>220</v>
      </c>
      <c r="X522" s="3">
        <v>4</v>
      </c>
      <c r="Y522" s="3">
        <v>1</v>
      </c>
      <c r="Z522">
        <v>85</v>
      </c>
      <c r="AA522">
        <v>1.5509999999999999E-2</v>
      </c>
      <c r="AB522">
        <v>0</v>
      </c>
      <c r="AC522">
        <v>0</v>
      </c>
      <c r="AD522">
        <v>85</v>
      </c>
      <c r="AE522">
        <v>0</v>
      </c>
      <c r="AF522">
        <v>0</v>
      </c>
      <c r="AH522" s="3">
        <v>500</v>
      </c>
      <c r="AI522" s="3">
        <v>3</v>
      </c>
      <c r="AJ522" s="3">
        <v>14</v>
      </c>
      <c r="AO522">
        <v>86.1</v>
      </c>
      <c r="AP522">
        <v>5695.9</v>
      </c>
      <c r="AQ522">
        <v>755</v>
      </c>
    </row>
    <row r="523" spans="1:43" x14ac:dyDescent="0.25">
      <c r="A523" s="3">
        <v>220</v>
      </c>
      <c r="B523" s="3">
        <v>4</v>
      </c>
      <c r="C523" s="3">
        <v>2</v>
      </c>
      <c r="H523">
        <v>0</v>
      </c>
      <c r="L523" s="3">
        <v>220</v>
      </c>
      <c r="M523" s="3">
        <v>4</v>
      </c>
      <c r="N523" s="3">
        <v>2</v>
      </c>
      <c r="S523">
        <v>0</v>
      </c>
      <c r="T523">
        <v>0</v>
      </c>
      <c r="U523">
        <v>0</v>
      </c>
      <c r="W523" s="3">
        <v>220</v>
      </c>
      <c r="X523" s="3">
        <v>4</v>
      </c>
      <c r="Y523" s="3">
        <v>2</v>
      </c>
      <c r="Z523">
        <v>85</v>
      </c>
      <c r="AA523">
        <v>1.5509999999999999E-2</v>
      </c>
      <c r="AB523">
        <v>0</v>
      </c>
      <c r="AC523">
        <v>0</v>
      </c>
      <c r="AD523">
        <v>85</v>
      </c>
      <c r="AE523">
        <v>0</v>
      </c>
      <c r="AF523">
        <v>0</v>
      </c>
      <c r="AH523" s="3">
        <v>500</v>
      </c>
      <c r="AI523" s="3">
        <v>4</v>
      </c>
      <c r="AJ523" s="3">
        <v>1</v>
      </c>
      <c r="AK523">
        <v>85</v>
      </c>
      <c r="AL523">
        <v>1.55E-2</v>
      </c>
      <c r="AO523">
        <v>85</v>
      </c>
      <c r="AP523">
        <v>0</v>
      </c>
      <c r="AQ523">
        <v>0</v>
      </c>
    </row>
    <row r="524" spans="1:43" x14ac:dyDescent="0.25">
      <c r="A524" s="3">
        <v>220</v>
      </c>
      <c r="B524" s="3">
        <v>5</v>
      </c>
      <c r="C524" s="3">
        <v>1</v>
      </c>
      <c r="D524">
        <v>1.88146754468448E-2</v>
      </c>
      <c r="E524">
        <v>0.128205128205123</v>
      </c>
      <c r="L524" s="3">
        <v>220</v>
      </c>
      <c r="M524" s="3">
        <v>5</v>
      </c>
      <c r="N524" s="3">
        <v>1</v>
      </c>
      <c r="O524">
        <v>1.9999999999996021E-2</v>
      </c>
      <c r="P524">
        <v>-1.9999999999999188E-5</v>
      </c>
      <c r="W524" s="3">
        <v>220</v>
      </c>
      <c r="X524" s="3">
        <v>5</v>
      </c>
      <c r="Y524" s="3">
        <v>1</v>
      </c>
      <c r="Z524">
        <v>106.32</v>
      </c>
      <c r="AA524">
        <v>1.558E-2</v>
      </c>
      <c r="AH524" s="3">
        <v>500</v>
      </c>
      <c r="AI524" s="3">
        <v>4</v>
      </c>
      <c r="AJ524" s="3">
        <v>2</v>
      </c>
      <c r="AO524">
        <v>85</v>
      </c>
      <c r="AP524">
        <v>0</v>
      </c>
      <c r="AQ524">
        <v>0</v>
      </c>
    </row>
    <row r="525" spans="1:43" x14ac:dyDescent="0.25">
      <c r="A525" s="3">
        <v>220</v>
      </c>
      <c r="B525" s="3">
        <v>5</v>
      </c>
      <c r="C525" s="3">
        <v>2</v>
      </c>
      <c r="L525" s="3">
        <v>220</v>
      </c>
      <c r="M525" s="3">
        <v>5</v>
      </c>
      <c r="N525" s="3">
        <v>2</v>
      </c>
      <c r="W525" s="3">
        <v>220</v>
      </c>
      <c r="X525" s="3">
        <v>5</v>
      </c>
      <c r="Y525" s="3">
        <v>2</v>
      </c>
      <c r="Z525">
        <v>105.88</v>
      </c>
      <c r="AA525">
        <v>1.5570000000000001E-2</v>
      </c>
      <c r="AH525" s="3">
        <v>500</v>
      </c>
      <c r="AI525" s="3">
        <v>5</v>
      </c>
      <c r="AJ525" s="3">
        <v>1</v>
      </c>
      <c r="AK525">
        <v>110.7</v>
      </c>
      <c r="AL525">
        <v>1.5599999999999999E-2</v>
      </c>
    </row>
    <row r="526" spans="1:43" x14ac:dyDescent="0.25">
      <c r="A526" s="3">
        <v>240</v>
      </c>
      <c r="B526" s="3">
        <v>1</v>
      </c>
      <c r="C526" s="3">
        <v>1</v>
      </c>
      <c r="D526">
        <v>1.1764705882358961E-2</v>
      </c>
      <c r="E526">
        <v>6.451612903225544E-2</v>
      </c>
      <c r="L526" s="3">
        <v>240</v>
      </c>
      <c r="M526" s="3">
        <v>1</v>
      </c>
      <c r="N526" s="3">
        <v>1</v>
      </c>
      <c r="O526">
        <v>1.0000000000005119E-2</v>
      </c>
      <c r="P526">
        <v>9.9999999999995925E-6</v>
      </c>
      <c r="W526" s="3">
        <v>240</v>
      </c>
      <c r="X526" s="3">
        <v>1</v>
      </c>
      <c r="Y526" s="3">
        <v>1</v>
      </c>
      <c r="Z526">
        <v>85.01</v>
      </c>
      <c r="AA526">
        <v>1.5509999999999999E-2</v>
      </c>
      <c r="AB526">
        <v>1</v>
      </c>
      <c r="AC526">
        <v>0</v>
      </c>
    </row>
    <row r="527" spans="1:43" x14ac:dyDescent="0.25">
      <c r="A527" s="3">
        <v>240</v>
      </c>
      <c r="B527" s="3">
        <v>1</v>
      </c>
      <c r="C527" s="3">
        <v>2</v>
      </c>
      <c r="L527" s="3">
        <v>240</v>
      </c>
      <c r="M527" s="3">
        <v>1</v>
      </c>
      <c r="N527" s="3">
        <v>2</v>
      </c>
      <c r="W527" s="3">
        <v>240</v>
      </c>
      <c r="X527" s="3">
        <v>1</v>
      </c>
      <c r="Y527" s="3">
        <v>2</v>
      </c>
      <c r="Z527">
        <v>85.03</v>
      </c>
      <c r="AA527">
        <v>1.5509999999999999E-2</v>
      </c>
      <c r="AB527">
        <v>1</v>
      </c>
      <c r="AC527">
        <v>0</v>
      </c>
    </row>
    <row r="528" spans="1:43" x14ac:dyDescent="0.25">
      <c r="A528" s="3">
        <v>240</v>
      </c>
      <c r="B528" s="3">
        <v>1</v>
      </c>
      <c r="C528" s="3">
        <v>3</v>
      </c>
      <c r="L528" s="3">
        <v>240</v>
      </c>
      <c r="M528" s="3">
        <v>1</v>
      </c>
      <c r="N528" s="3">
        <v>3</v>
      </c>
      <c r="W528" s="3">
        <v>240</v>
      </c>
      <c r="X528" s="3">
        <v>1</v>
      </c>
      <c r="Y528" s="3">
        <v>3</v>
      </c>
      <c r="Z528">
        <v>85.03</v>
      </c>
      <c r="AA528">
        <v>1.5509999999999999E-2</v>
      </c>
      <c r="AB528">
        <v>1</v>
      </c>
      <c r="AC528">
        <v>0</v>
      </c>
    </row>
    <row r="529" spans="1:32" x14ac:dyDescent="0.25">
      <c r="A529" s="3">
        <v>240</v>
      </c>
      <c r="B529" s="3">
        <v>1</v>
      </c>
      <c r="C529" s="3">
        <v>4</v>
      </c>
      <c r="L529" s="3">
        <v>240</v>
      </c>
      <c r="M529" s="3">
        <v>1</v>
      </c>
      <c r="N529" s="3">
        <v>4</v>
      </c>
      <c r="W529" s="3">
        <v>240</v>
      </c>
      <c r="X529" s="3">
        <v>1</v>
      </c>
      <c r="Y529" s="3">
        <v>4</v>
      </c>
      <c r="Z529">
        <v>85.04</v>
      </c>
      <c r="AA529">
        <v>1.5509999999999999E-2</v>
      </c>
      <c r="AB529">
        <v>1</v>
      </c>
      <c r="AC529">
        <v>0</v>
      </c>
    </row>
    <row r="530" spans="1:32" x14ac:dyDescent="0.25">
      <c r="A530" s="3">
        <v>240</v>
      </c>
      <c r="B530" s="3">
        <v>1</v>
      </c>
      <c r="C530" s="3">
        <v>5</v>
      </c>
      <c r="L530" s="3">
        <v>240</v>
      </c>
      <c r="M530" s="3">
        <v>1</v>
      </c>
      <c r="N530" s="3">
        <v>5</v>
      </c>
      <c r="W530" s="3">
        <v>240</v>
      </c>
      <c r="X530" s="3">
        <v>1</v>
      </c>
      <c r="Y530" s="3">
        <v>5</v>
      </c>
      <c r="Z530">
        <v>85.05</v>
      </c>
      <c r="AA530">
        <v>1.5509999999999999E-2</v>
      </c>
      <c r="AB530">
        <v>1</v>
      </c>
      <c r="AC530">
        <v>0</v>
      </c>
    </row>
    <row r="531" spans="1:32" x14ac:dyDescent="0.25">
      <c r="A531" s="3">
        <v>240</v>
      </c>
      <c r="B531" s="3">
        <v>1</v>
      </c>
      <c r="C531" s="3">
        <v>6</v>
      </c>
      <c r="L531" s="3">
        <v>240</v>
      </c>
      <c r="M531" s="3">
        <v>1</v>
      </c>
      <c r="N531" s="3">
        <v>6</v>
      </c>
      <c r="W531" s="3">
        <v>240</v>
      </c>
      <c r="X531" s="3">
        <v>1</v>
      </c>
      <c r="Y531" s="3">
        <v>6</v>
      </c>
      <c r="Z531">
        <v>85.06</v>
      </c>
      <c r="AA531">
        <v>1.5509999999999999E-2</v>
      </c>
      <c r="AB531">
        <v>1</v>
      </c>
      <c r="AC531">
        <v>0</v>
      </c>
    </row>
    <row r="532" spans="1:32" x14ac:dyDescent="0.25">
      <c r="A532" s="3">
        <v>240</v>
      </c>
      <c r="B532" s="3">
        <v>1</v>
      </c>
      <c r="C532" s="3">
        <v>7</v>
      </c>
      <c r="L532" s="3">
        <v>240</v>
      </c>
      <c r="M532" s="3">
        <v>1</v>
      </c>
      <c r="N532" s="3">
        <v>7</v>
      </c>
      <c r="W532" s="3">
        <v>240</v>
      </c>
      <c r="X532" s="3">
        <v>1</v>
      </c>
      <c r="Y532" s="3">
        <v>7</v>
      </c>
      <c r="Z532">
        <v>85.06</v>
      </c>
      <c r="AA532">
        <v>1.5509999999999999E-2</v>
      </c>
      <c r="AB532">
        <v>1</v>
      </c>
      <c r="AC532">
        <v>0</v>
      </c>
    </row>
    <row r="533" spans="1:32" x14ac:dyDescent="0.25">
      <c r="A533" s="3">
        <v>240</v>
      </c>
      <c r="B533" s="3">
        <v>1</v>
      </c>
      <c r="C533" s="3">
        <v>8</v>
      </c>
      <c r="L533" s="3">
        <v>240</v>
      </c>
      <c r="M533" s="3">
        <v>1</v>
      </c>
      <c r="N533" s="3">
        <v>8</v>
      </c>
      <c r="W533" s="3">
        <v>240</v>
      </c>
      <c r="X533" s="3">
        <v>1</v>
      </c>
      <c r="Y533" s="3">
        <v>8</v>
      </c>
      <c r="Z533">
        <v>85.07</v>
      </c>
      <c r="AA533">
        <v>1.5509999999999999E-2</v>
      </c>
      <c r="AB533">
        <v>1</v>
      </c>
      <c r="AC533">
        <v>0</v>
      </c>
    </row>
    <row r="534" spans="1:32" x14ac:dyDescent="0.25">
      <c r="A534" s="3">
        <v>240</v>
      </c>
      <c r="B534" s="3">
        <v>1</v>
      </c>
      <c r="C534" s="3">
        <v>9</v>
      </c>
      <c r="L534" s="3">
        <v>240</v>
      </c>
      <c r="M534" s="3">
        <v>1</v>
      </c>
      <c r="N534" s="3">
        <v>9</v>
      </c>
      <c r="W534" s="3">
        <v>240</v>
      </c>
      <c r="X534" s="3">
        <v>1</v>
      </c>
      <c r="Y534" s="3">
        <v>9</v>
      </c>
      <c r="Z534">
        <v>85.07</v>
      </c>
      <c r="AA534">
        <v>1.5509999999999999E-2</v>
      </c>
      <c r="AB534">
        <v>1</v>
      </c>
      <c r="AC534">
        <v>0</v>
      </c>
    </row>
    <row r="535" spans="1:32" x14ac:dyDescent="0.25">
      <c r="A535" s="3">
        <v>240</v>
      </c>
      <c r="B535" s="3">
        <v>1</v>
      </c>
      <c r="C535" s="3">
        <v>10</v>
      </c>
      <c r="L535" s="3">
        <v>240</v>
      </c>
      <c r="M535" s="3">
        <v>1</v>
      </c>
      <c r="N535" s="3">
        <v>10</v>
      </c>
      <c r="W535" s="3">
        <v>240</v>
      </c>
      <c r="X535" s="3">
        <v>1</v>
      </c>
      <c r="Y535" s="3">
        <v>10</v>
      </c>
      <c r="Z535">
        <v>85.07</v>
      </c>
      <c r="AA535">
        <v>1.5509999999999999E-2</v>
      </c>
      <c r="AB535">
        <v>1</v>
      </c>
      <c r="AC535">
        <v>0</v>
      </c>
    </row>
    <row r="536" spans="1:32" x14ac:dyDescent="0.25">
      <c r="A536" s="3">
        <v>240</v>
      </c>
      <c r="B536" s="3">
        <v>2</v>
      </c>
      <c r="C536" s="3">
        <v>1</v>
      </c>
      <c r="D536">
        <v>5.6053811659141839E-3</v>
      </c>
      <c r="E536">
        <v>0</v>
      </c>
      <c r="H536">
        <v>0</v>
      </c>
      <c r="I536">
        <v>1.253294285192783E-5</v>
      </c>
      <c r="J536">
        <v>8.9976120334170858E-5</v>
      </c>
      <c r="L536" s="3">
        <v>240</v>
      </c>
      <c r="M536" s="3">
        <v>2</v>
      </c>
      <c r="N536" s="3">
        <v>1</v>
      </c>
      <c r="O536">
        <v>9.9999999999909051E-3</v>
      </c>
      <c r="P536">
        <v>0</v>
      </c>
      <c r="S536">
        <v>0</v>
      </c>
      <c r="T536">
        <v>0.20000000018626449</v>
      </c>
      <c r="U536">
        <v>-0.29999999998835852</v>
      </c>
      <c r="W536" s="3">
        <v>240</v>
      </c>
      <c r="X536" s="3">
        <v>2</v>
      </c>
      <c r="Y536" s="3">
        <v>1</v>
      </c>
      <c r="Z536">
        <v>178.41</v>
      </c>
      <c r="AA536">
        <v>1.5800000000000002E-2</v>
      </c>
      <c r="AB536">
        <v>0.1</v>
      </c>
      <c r="AC536">
        <v>0</v>
      </c>
      <c r="AD536">
        <v>92.1</v>
      </c>
      <c r="AE536">
        <v>1595794.6</v>
      </c>
      <c r="AF536">
        <v>333421.5</v>
      </c>
    </row>
    <row r="537" spans="1:32" x14ac:dyDescent="0.25">
      <c r="A537" s="3">
        <v>240</v>
      </c>
      <c r="B537" s="3">
        <v>2</v>
      </c>
      <c r="C537" s="3">
        <v>2</v>
      </c>
      <c r="H537">
        <v>0</v>
      </c>
      <c r="I537">
        <v>3.2859240224247631E-5</v>
      </c>
      <c r="J537">
        <v>4.1217329086500653E-5</v>
      </c>
      <c r="L537" s="3">
        <v>240</v>
      </c>
      <c r="M537" s="3">
        <v>2</v>
      </c>
      <c r="N537" s="3">
        <v>2</v>
      </c>
      <c r="S537">
        <v>0</v>
      </c>
      <c r="T537">
        <v>0.70000000018626451</v>
      </c>
      <c r="U537">
        <v>-0.2000000000116415</v>
      </c>
      <c r="W537" s="3">
        <v>240</v>
      </c>
      <c r="X537" s="3">
        <v>2</v>
      </c>
      <c r="Y537" s="3">
        <v>2</v>
      </c>
      <c r="Z537">
        <v>210.2</v>
      </c>
      <c r="AA537">
        <v>1.583E-2</v>
      </c>
      <c r="AB537">
        <v>0.1</v>
      </c>
      <c r="AC537">
        <v>0</v>
      </c>
      <c r="AD537">
        <v>95.5</v>
      </c>
      <c r="AE537">
        <v>2130299.5</v>
      </c>
      <c r="AF537">
        <v>485232.6</v>
      </c>
    </row>
    <row r="538" spans="1:32" x14ac:dyDescent="0.25">
      <c r="A538" s="3">
        <v>240</v>
      </c>
      <c r="B538" s="3">
        <v>3</v>
      </c>
      <c r="C538" s="3">
        <v>1</v>
      </c>
      <c r="D538">
        <v>7.9872204472770814E-3</v>
      </c>
      <c r="E538">
        <v>0.25316455696201501</v>
      </c>
      <c r="H538">
        <v>0</v>
      </c>
      <c r="I538">
        <v>2.3546187725446961E-5</v>
      </c>
      <c r="J538">
        <v>4.9352811904007178E-5</v>
      </c>
      <c r="L538" s="3">
        <v>240</v>
      </c>
      <c r="M538" s="3">
        <v>3</v>
      </c>
      <c r="N538" s="3">
        <v>1</v>
      </c>
      <c r="O538">
        <v>1.999999999998181E-2</v>
      </c>
      <c r="P538">
        <v>3.999999999999837E-5</v>
      </c>
      <c r="S538">
        <v>0</v>
      </c>
      <c r="T538">
        <v>0.1999999999534339</v>
      </c>
      <c r="U538">
        <v>-0.10000000000582079</v>
      </c>
      <c r="W538" s="3">
        <v>240</v>
      </c>
      <c r="X538" s="3">
        <v>3</v>
      </c>
      <c r="Y538" s="3">
        <v>1</v>
      </c>
      <c r="Z538">
        <v>250.42</v>
      </c>
      <c r="AA538">
        <v>1.584E-2</v>
      </c>
      <c r="AB538">
        <v>0</v>
      </c>
      <c r="AC538">
        <v>0</v>
      </c>
      <c r="AD538">
        <v>101.1</v>
      </c>
      <c r="AE538">
        <v>849394.6</v>
      </c>
      <c r="AF538">
        <v>202622.6</v>
      </c>
    </row>
    <row r="539" spans="1:32" x14ac:dyDescent="0.25">
      <c r="A539" s="3">
        <v>240</v>
      </c>
      <c r="B539" s="3">
        <v>3</v>
      </c>
      <c r="C539" s="3">
        <v>2</v>
      </c>
      <c r="H539">
        <v>0</v>
      </c>
      <c r="I539">
        <v>1.076063599842905E-5</v>
      </c>
      <c r="J539">
        <v>4.3328494987248763E-5</v>
      </c>
      <c r="L539" s="3">
        <v>240</v>
      </c>
      <c r="M539" s="3">
        <v>3</v>
      </c>
      <c r="N539" s="3">
        <v>2</v>
      </c>
      <c r="S539">
        <v>0</v>
      </c>
      <c r="T539">
        <v>9.9999999976716936E-2</v>
      </c>
      <c r="U539">
        <v>0.10000000000582079</v>
      </c>
      <c r="W539" s="3">
        <v>240</v>
      </c>
      <c r="X539" s="3">
        <v>3</v>
      </c>
      <c r="Y539" s="3">
        <v>2</v>
      </c>
      <c r="Z539">
        <v>266.01</v>
      </c>
      <c r="AA539">
        <v>1.584E-2</v>
      </c>
      <c r="AB539">
        <v>0</v>
      </c>
      <c r="AC539">
        <v>0</v>
      </c>
      <c r="AD539">
        <v>103.2</v>
      </c>
      <c r="AE539">
        <v>929313.2</v>
      </c>
      <c r="AF539">
        <v>230795.1</v>
      </c>
    </row>
    <row r="540" spans="1:32" x14ac:dyDescent="0.25">
      <c r="A540" s="3">
        <v>240</v>
      </c>
      <c r="B540" s="3">
        <v>3</v>
      </c>
      <c r="C540" s="3">
        <v>3</v>
      </c>
      <c r="H540">
        <v>0</v>
      </c>
      <c r="I540">
        <v>5.8963944528363818E-5</v>
      </c>
      <c r="J540">
        <v>0</v>
      </c>
      <c r="L540" s="3">
        <v>240</v>
      </c>
      <c r="M540" s="3">
        <v>3</v>
      </c>
      <c r="N540" s="3">
        <v>3</v>
      </c>
      <c r="S540">
        <v>0</v>
      </c>
      <c r="T540">
        <v>0.59999999997671694</v>
      </c>
      <c r="U540">
        <v>0</v>
      </c>
      <c r="W540" s="3">
        <v>240</v>
      </c>
      <c r="X540" s="3">
        <v>3</v>
      </c>
      <c r="Y540" s="3">
        <v>3</v>
      </c>
      <c r="Z540">
        <v>283.08999999999997</v>
      </c>
      <c r="AA540">
        <v>1.584E-2</v>
      </c>
      <c r="AB540">
        <v>0</v>
      </c>
      <c r="AC540">
        <v>0</v>
      </c>
      <c r="AD540">
        <v>105.6</v>
      </c>
      <c r="AE540">
        <v>1017571.6</v>
      </c>
      <c r="AF540">
        <v>263859</v>
      </c>
    </row>
    <row r="541" spans="1:32" x14ac:dyDescent="0.25">
      <c r="A541" s="3">
        <v>240</v>
      </c>
      <c r="B541" s="3">
        <v>3</v>
      </c>
      <c r="C541" s="3">
        <v>4</v>
      </c>
      <c r="H541">
        <v>0</v>
      </c>
      <c r="I541">
        <v>8.0704510916483808E-5</v>
      </c>
      <c r="J541">
        <v>6.6018671404488325E-5</v>
      </c>
      <c r="L541" s="3">
        <v>240</v>
      </c>
      <c r="M541" s="3">
        <v>3</v>
      </c>
      <c r="N541" s="3">
        <v>4</v>
      </c>
      <c r="S541">
        <v>0</v>
      </c>
      <c r="T541">
        <v>0.89999999990686774</v>
      </c>
      <c r="U541">
        <v>0.2000000000116415</v>
      </c>
      <c r="W541" s="3">
        <v>240</v>
      </c>
      <c r="X541" s="3">
        <v>3</v>
      </c>
      <c r="Y541" s="3">
        <v>4</v>
      </c>
      <c r="Z541">
        <v>301.83999999999997</v>
      </c>
      <c r="AA541">
        <v>1.584E-2</v>
      </c>
      <c r="AB541">
        <v>0</v>
      </c>
      <c r="AC541">
        <v>0</v>
      </c>
      <c r="AD541">
        <v>108.2</v>
      </c>
      <c r="AE541">
        <v>1115180.2</v>
      </c>
      <c r="AF541">
        <v>302944.8</v>
      </c>
    </row>
    <row r="542" spans="1:32" x14ac:dyDescent="0.25">
      <c r="A542" s="3">
        <v>240</v>
      </c>
      <c r="B542" s="3">
        <v>3</v>
      </c>
      <c r="C542" s="3">
        <v>5</v>
      </c>
      <c r="H542">
        <v>0</v>
      </c>
      <c r="I542">
        <v>4.0944843201722962E-5</v>
      </c>
      <c r="J542">
        <v>2.8609225455265649E-5</v>
      </c>
      <c r="L542" s="3">
        <v>240</v>
      </c>
      <c r="M542" s="3">
        <v>3</v>
      </c>
      <c r="N542" s="3">
        <v>5</v>
      </c>
      <c r="S542">
        <v>0</v>
      </c>
      <c r="T542">
        <v>0.5</v>
      </c>
      <c r="U542">
        <v>0.1000000000349246</v>
      </c>
      <c r="W542" s="3">
        <v>240</v>
      </c>
      <c r="X542" s="3">
        <v>3</v>
      </c>
      <c r="Y542" s="3">
        <v>5</v>
      </c>
      <c r="Z542">
        <v>322.47000000000003</v>
      </c>
      <c r="AA542">
        <v>1.584E-2</v>
      </c>
      <c r="AB542">
        <v>0</v>
      </c>
      <c r="AC542">
        <v>0</v>
      </c>
      <c r="AD542">
        <v>111.3</v>
      </c>
      <c r="AE542">
        <v>1221155.5</v>
      </c>
      <c r="AF542">
        <v>349537.7</v>
      </c>
    </row>
    <row r="543" spans="1:32" x14ac:dyDescent="0.25">
      <c r="A543" s="3">
        <v>240</v>
      </c>
      <c r="B543" s="3">
        <v>3</v>
      </c>
      <c r="C543" s="3">
        <v>6</v>
      </c>
      <c r="H543">
        <v>0</v>
      </c>
      <c r="I543">
        <v>3.733253650767411E-5</v>
      </c>
      <c r="J543">
        <v>0</v>
      </c>
      <c r="L543" s="3">
        <v>240</v>
      </c>
      <c r="M543" s="3">
        <v>3</v>
      </c>
      <c r="N543" s="3">
        <v>6</v>
      </c>
      <c r="S543">
        <v>0</v>
      </c>
      <c r="T543">
        <v>0.5</v>
      </c>
      <c r="U543">
        <v>0</v>
      </c>
      <c r="W543" s="3">
        <v>240</v>
      </c>
      <c r="X543" s="3">
        <v>3</v>
      </c>
      <c r="Y543" s="3">
        <v>6</v>
      </c>
      <c r="Z543">
        <v>345.2</v>
      </c>
      <c r="AA543">
        <v>1.585E-2</v>
      </c>
      <c r="AB543">
        <v>0</v>
      </c>
      <c r="AC543">
        <v>0</v>
      </c>
      <c r="AD543">
        <v>114.7</v>
      </c>
      <c r="AE543">
        <v>1339314.8</v>
      </c>
      <c r="AF543">
        <v>405440.7</v>
      </c>
    </row>
    <row r="544" spans="1:32" x14ac:dyDescent="0.25">
      <c r="A544" s="3">
        <v>240</v>
      </c>
      <c r="B544" s="3">
        <v>3</v>
      </c>
      <c r="C544" s="3">
        <v>7</v>
      </c>
      <c r="H544">
        <v>0</v>
      </c>
      <c r="I544">
        <v>9.5124974165542835E-5</v>
      </c>
      <c r="J544">
        <v>8.454062631992393E-5</v>
      </c>
      <c r="L544" s="3">
        <v>240</v>
      </c>
      <c r="M544" s="3">
        <v>3</v>
      </c>
      <c r="N544" s="3">
        <v>7</v>
      </c>
      <c r="S544">
        <v>0</v>
      </c>
      <c r="T544">
        <v>1.399999999906868</v>
      </c>
      <c r="U544">
        <v>0.40000000002328312</v>
      </c>
      <c r="W544" s="3">
        <v>240</v>
      </c>
      <c r="X544" s="3">
        <v>3</v>
      </c>
      <c r="Y544" s="3">
        <v>7</v>
      </c>
      <c r="Z544">
        <v>370.33</v>
      </c>
      <c r="AA544">
        <v>1.585E-2</v>
      </c>
      <c r="AB544">
        <v>0</v>
      </c>
      <c r="AC544">
        <v>0</v>
      </c>
      <c r="AD544">
        <v>118.7</v>
      </c>
      <c r="AE544">
        <v>1471749.5</v>
      </c>
      <c r="AF544">
        <v>473145.7</v>
      </c>
    </row>
    <row r="545" spans="1:32" x14ac:dyDescent="0.25">
      <c r="A545" s="3">
        <v>240</v>
      </c>
      <c r="B545" s="3">
        <v>3</v>
      </c>
      <c r="C545" s="3">
        <v>8</v>
      </c>
      <c r="H545">
        <v>0</v>
      </c>
      <c r="I545">
        <v>1.850643336345766E-5</v>
      </c>
      <c r="J545">
        <v>0</v>
      </c>
      <c r="L545" s="3">
        <v>240</v>
      </c>
      <c r="M545" s="3">
        <v>3</v>
      </c>
      <c r="N545" s="3">
        <v>8</v>
      </c>
      <c r="S545">
        <v>0</v>
      </c>
      <c r="T545">
        <v>0.30000000004656607</v>
      </c>
      <c r="U545">
        <v>0</v>
      </c>
      <c r="W545" s="3">
        <v>240</v>
      </c>
      <c r="X545" s="3">
        <v>3</v>
      </c>
      <c r="Y545" s="3">
        <v>8</v>
      </c>
      <c r="Z545">
        <v>398.24</v>
      </c>
      <c r="AA545">
        <v>1.585E-2</v>
      </c>
      <c r="AB545">
        <v>0</v>
      </c>
      <c r="AC545">
        <v>0</v>
      </c>
      <c r="AD545">
        <v>123.2</v>
      </c>
      <c r="AE545">
        <v>1621058.2</v>
      </c>
      <c r="AF545">
        <v>556008.80000000005</v>
      </c>
    </row>
    <row r="546" spans="1:32" x14ac:dyDescent="0.25">
      <c r="A546" s="3">
        <v>240</v>
      </c>
      <c r="B546" s="3">
        <v>3</v>
      </c>
      <c r="C546" s="3">
        <v>9</v>
      </c>
      <c r="H546">
        <v>0</v>
      </c>
      <c r="I546">
        <v>5.0001580937816839E-5</v>
      </c>
      <c r="J546">
        <v>3.2012820486898012E-5</v>
      </c>
      <c r="L546" s="3">
        <v>240</v>
      </c>
      <c r="M546" s="3">
        <v>3</v>
      </c>
      <c r="N546" s="3">
        <v>9</v>
      </c>
      <c r="S546">
        <v>0</v>
      </c>
      <c r="T546">
        <v>1.700000000186265</v>
      </c>
      <c r="U546">
        <v>-0.1999999999534339</v>
      </c>
      <c r="W546" s="3">
        <v>240</v>
      </c>
      <c r="X546" s="3">
        <v>3</v>
      </c>
      <c r="Y546" s="3">
        <v>9</v>
      </c>
      <c r="Z546">
        <v>429.35</v>
      </c>
      <c r="AA546">
        <v>1.585E-2</v>
      </c>
      <c r="AB546">
        <v>49.3</v>
      </c>
      <c r="AC546">
        <v>4.5</v>
      </c>
      <c r="AD546">
        <v>158.30000000000001</v>
      </c>
      <c r="AE546">
        <v>3399894.2</v>
      </c>
      <c r="AF546">
        <v>624749.5</v>
      </c>
    </row>
    <row r="547" spans="1:32" x14ac:dyDescent="0.25">
      <c r="A547" s="3">
        <v>240</v>
      </c>
      <c r="B547" s="3">
        <v>3</v>
      </c>
      <c r="C547" s="3">
        <v>10</v>
      </c>
      <c r="H547">
        <v>0</v>
      </c>
      <c r="I547">
        <v>2.4045364176418149E-5</v>
      </c>
      <c r="J547">
        <v>1.102200027881825E-4</v>
      </c>
      <c r="L547" s="3">
        <v>240</v>
      </c>
      <c r="M547" s="3">
        <v>3</v>
      </c>
      <c r="N547" s="3">
        <v>10</v>
      </c>
      <c r="S547">
        <v>0</v>
      </c>
      <c r="T547">
        <v>1</v>
      </c>
      <c r="U547">
        <v>-0.89999999990686774</v>
      </c>
      <c r="W547" s="3">
        <v>240</v>
      </c>
      <c r="X547" s="3">
        <v>3</v>
      </c>
      <c r="Y547" s="3">
        <v>10</v>
      </c>
      <c r="Z547">
        <v>482.93</v>
      </c>
      <c r="AA547">
        <v>1.5800000000000002E-2</v>
      </c>
      <c r="AB547">
        <v>55.1</v>
      </c>
      <c r="AC547">
        <v>5.0999999999999996</v>
      </c>
      <c r="AD547">
        <v>176.3</v>
      </c>
      <c r="AE547">
        <v>4158806.8</v>
      </c>
      <c r="AF547">
        <v>816547.8</v>
      </c>
    </row>
    <row r="548" spans="1:32" x14ac:dyDescent="0.25">
      <c r="A548" s="3">
        <v>240</v>
      </c>
      <c r="B548" s="3">
        <v>3</v>
      </c>
      <c r="C548" s="3">
        <v>11</v>
      </c>
      <c r="H548">
        <v>0</v>
      </c>
      <c r="I548">
        <v>1.044601430861613E-4</v>
      </c>
      <c r="J548">
        <v>7.946607696480273E-6</v>
      </c>
      <c r="L548" s="3">
        <v>240</v>
      </c>
      <c r="M548" s="3">
        <v>3</v>
      </c>
      <c r="N548" s="3">
        <v>11</v>
      </c>
      <c r="S548">
        <v>0</v>
      </c>
      <c r="T548">
        <v>-2.5</v>
      </c>
      <c r="U548">
        <v>-1</v>
      </c>
      <c r="W548" s="3">
        <v>240</v>
      </c>
      <c r="X548" s="3">
        <v>3</v>
      </c>
      <c r="Y548" s="3">
        <v>11</v>
      </c>
      <c r="Z548">
        <v>549.04999999999995</v>
      </c>
      <c r="AA548">
        <v>1.5740000000000001E-2</v>
      </c>
      <c r="AB548">
        <v>13388.4</v>
      </c>
      <c r="AC548">
        <v>5.0999999999999996</v>
      </c>
      <c r="AD548">
        <v>375</v>
      </c>
      <c r="AE548">
        <v>2393254.7999999998</v>
      </c>
      <c r="AF548">
        <v>12583985</v>
      </c>
    </row>
    <row r="549" spans="1:32" x14ac:dyDescent="0.25">
      <c r="A549" s="3">
        <v>240</v>
      </c>
      <c r="B549" s="3">
        <v>3</v>
      </c>
      <c r="C549" s="3">
        <v>12</v>
      </c>
      <c r="H549">
        <v>0</v>
      </c>
      <c r="I549">
        <v>9.9948693005227451E-4</v>
      </c>
      <c r="J549">
        <v>0</v>
      </c>
      <c r="L549" s="3">
        <v>240</v>
      </c>
      <c r="M549" s="3">
        <v>3</v>
      </c>
      <c r="N549" s="3">
        <v>12</v>
      </c>
      <c r="S549">
        <v>0</v>
      </c>
      <c r="T549">
        <v>-0.60000000000582077</v>
      </c>
      <c r="U549">
        <v>0</v>
      </c>
      <c r="W549" s="3">
        <v>240</v>
      </c>
      <c r="X549" s="3">
        <v>3</v>
      </c>
      <c r="Y549" s="3">
        <v>12</v>
      </c>
      <c r="Z549">
        <v>91.56</v>
      </c>
      <c r="AA549">
        <v>1.5679999999999999E-2</v>
      </c>
      <c r="AB549">
        <v>55.1</v>
      </c>
      <c r="AC549">
        <v>5.0999999999999996</v>
      </c>
      <c r="AD549">
        <v>86.7</v>
      </c>
      <c r="AE549">
        <v>60030.2</v>
      </c>
      <c r="AF549">
        <v>4220.8</v>
      </c>
    </row>
    <row r="550" spans="1:32" x14ac:dyDescent="0.25">
      <c r="A550" s="3">
        <v>240</v>
      </c>
      <c r="B550" s="3">
        <v>3</v>
      </c>
      <c r="C550" s="3">
        <v>13</v>
      </c>
      <c r="H550">
        <v>0</v>
      </c>
      <c r="I550">
        <v>1.449646527851442E-3</v>
      </c>
      <c r="J550">
        <v>3.45411212047629E-3</v>
      </c>
      <c r="L550" s="3">
        <v>240</v>
      </c>
      <c r="M550" s="3">
        <v>3</v>
      </c>
      <c r="N550" s="3">
        <v>13</v>
      </c>
      <c r="S550">
        <v>0</v>
      </c>
      <c r="T550">
        <v>-0.59999999999854481</v>
      </c>
      <c r="U550">
        <v>-9.9999999999909051E-2</v>
      </c>
      <c r="W550" s="3">
        <v>240</v>
      </c>
      <c r="X550" s="3">
        <v>3</v>
      </c>
      <c r="Y550" s="3">
        <v>13</v>
      </c>
      <c r="Z550">
        <v>89.67</v>
      </c>
      <c r="AA550">
        <v>1.562E-2</v>
      </c>
      <c r="AB550">
        <v>55.1</v>
      </c>
      <c r="AC550">
        <v>5.0999999999999996</v>
      </c>
      <c r="AD550">
        <v>86.3</v>
      </c>
      <c r="AE550">
        <v>41388.800000000003</v>
      </c>
      <c r="AF550">
        <v>2895</v>
      </c>
    </row>
    <row r="551" spans="1:32" x14ac:dyDescent="0.25">
      <c r="A551" s="3">
        <v>240</v>
      </c>
      <c r="B551" s="3">
        <v>3</v>
      </c>
      <c r="C551" s="3">
        <v>14</v>
      </c>
      <c r="H551">
        <v>0</v>
      </c>
      <c r="I551">
        <v>1.3508493466052581E-4</v>
      </c>
      <c r="J551">
        <v>1.037344398340485E-2</v>
      </c>
      <c r="L551" s="3">
        <v>240</v>
      </c>
      <c r="M551" s="3">
        <v>3</v>
      </c>
      <c r="N551" s="3">
        <v>14</v>
      </c>
      <c r="S551">
        <v>0</v>
      </c>
      <c r="T551">
        <v>0.10000000000582079</v>
      </c>
      <c r="U551">
        <v>-0.1000000000000227</v>
      </c>
      <c r="W551" s="3">
        <v>240</v>
      </c>
      <c r="X551" s="3">
        <v>3</v>
      </c>
      <c r="Y551" s="3">
        <v>14</v>
      </c>
      <c r="Z551">
        <v>87.51</v>
      </c>
      <c r="AA551">
        <v>1.5570000000000001E-2</v>
      </c>
      <c r="AB551">
        <v>54.3</v>
      </c>
      <c r="AC551">
        <v>5</v>
      </c>
      <c r="AD551">
        <v>86.4</v>
      </c>
      <c r="AE551">
        <v>74027.600000000006</v>
      </c>
      <c r="AF551">
        <v>963.9</v>
      </c>
    </row>
    <row r="552" spans="1:32" x14ac:dyDescent="0.25">
      <c r="A552" s="3">
        <v>240</v>
      </c>
      <c r="B552" s="3">
        <v>4</v>
      </c>
      <c r="C552" s="3">
        <v>1</v>
      </c>
      <c r="D552">
        <v>0</v>
      </c>
      <c r="E552">
        <v>6.451612903225544E-2</v>
      </c>
      <c r="H552">
        <v>0</v>
      </c>
      <c r="L552" s="3">
        <v>240</v>
      </c>
      <c r="M552" s="3">
        <v>4</v>
      </c>
      <c r="N552" s="3">
        <v>1</v>
      </c>
      <c r="O552">
        <v>0</v>
      </c>
      <c r="P552">
        <v>9.9999999999995925E-6</v>
      </c>
      <c r="S552">
        <v>0</v>
      </c>
      <c r="T552">
        <v>0</v>
      </c>
      <c r="U552">
        <v>0</v>
      </c>
      <c r="W552" s="3">
        <v>240</v>
      </c>
      <c r="X552" s="3">
        <v>4</v>
      </c>
      <c r="Y552" s="3">
        <v>1</v>
      </c>
      <c r="Z552">
        <v>85</v>
      </c>
      <c r="AA552">
        <v>1.5509999999999999E-2</v>
      </c>
      <c r="AB552">
        <v>0</v>
      </c>
      <c r="AC552">
        <v>0</v>
      </c>
      <c r="AD552">
        <v>85</v>
      </c>
      <c r="AE552">
        <v>0</v>
      </c>
      <c r="AF552">
        <v>0</v>
      </c>
    </row>
    <row r="553" spans="1:32" x14ac:dyDescent="0.25">
      <c r="A553" s="3">
        <v>240</v>
      </c>
      <c r="B553" s="3">
        <v>4</v>
      </c>
      <c r="C553" s="3">
        <v>2</v>
      </c>
      <c r="H553">
        <v>0</v>
      </c>
      <c r="L553" s="3">
        <v>240</v>
      </c>
      <c r="M553" s="3">
        <v>4</v>
      </c>
      <c r="N553" s="3">
        <v>2</v>
      </c>
      <c r="S553">
        <v>0</v>
      </c>
      <c r="T553">
        <v>0</v>
      </c>
      <c r="U553">
        <v>0</v>
      </c>
      <c r="W553" s="3">
        <v>240</v>
      </c>
      <c r="X553" s="3">
        <v>4</v>
      </c>
      <c r="Y553" s="3">
        <v>2</v>
      </c>
      <c r="Z553">
        <v>85</v>
      </c>
      <c r="AA553">
        <v>1.5509999999999999E-2</v>
      </c>
      <c r="AB553">
        <v>0</v>
      </c>
      <c r="AC553">
        <v>0</v>
      </c>
      <c r="AD553">
        <v>85</v>
      </c>
      <c r="AE553">
        <v>0</v>
      </c>
      <c r="AF553">
        <v>0</v>
      </c>
    </row>
    <row r="554" spans="1:32" x14ac:dyDescent="0.25">
      <c r="A554" s="3">
        <v>240</v>
      </c>
      <c r="B554" s="3">
        <v>5</v>
      </c>
      <c r="C554" s="3">
        <v>1</v>
      </c>
      <c r="D554">
        <v>3.7348272642382857E-2</v>
      </c>
      <c r="E554">
        <v>0.128205128205123</v>
      </c>
      <c r="L554" s="3">
        <v>240</v>
      </c>
      <c r="M554" s="3">
        <v>5</v>
      </c>
      <c r="N554" s="3">
        <v>1</v>
      </c>
      <c r="O554">
        <v>-3.9999999999992042E-2</v>
      </c>
      <c r="P554">
        <v>-1.9999999999999188E-5</v>
      </c>
      <c r="W554" s="3">
        <v>240</v>
      </c>
      <c r="X554" s="3">
        <v>5</v>
      </c>
      <c r="Y554" s="3">
        <v>1</v>
      </c>
      <c r="Z554">
        <v>107.06</v>
      </c>
      <c r="AA554">
        <v>1.558E-2</v>
      </c>
    </row>
    <row r="555" spans="1:32" x14ac:dyDescent="0.25">
      <c r="A555" s="3">
        <v>240</v>
      </c>
      <c r="B555" s="3">
        <v>5</v>
      </c>
      <c r="C555" s="3">
        <v>2</v>
      </c>
      <c r="L555" s="3">
        <v>240</v>
      </c>
      <c r="M555" s="3">
        <v>5</v>
      </c>
      <c r="N555" s="3">
        <v>2</v>
      </c>
      <c r="W555" s="3">
        <v>240</v>
      </c>
      <c r="X555" s="3">
        <v>5</v>
      </c>
      <c r="Y555" s="3">
        <v>2</v>
      </c>
      <c r="Z555">
        <v>106.64</v>
      </c>
      <c r="AA555">
        <v>1.558E-2</v>
      </c>
    </row>
    <row r="556" spans="1:32" x14ac:dyDescent="0.25">
      <c r="A556" s="3">
        <v>260</v>
      </c>
      <c r="B556" s="3">
        <v>1</v>
      </c>
      <c r="C556" s="3">
        <v>1</v>
      </c>
      <c r="D556">
        <v>1.1764705882358961E-2</v>
      </c>
      <c r="E556">
        <v>6.451612903225544E-2</v>
      </c>
      <c r="L556" s="3">
        <v>260</v>
      </c>
      <c r="M556" s="3">
        <v>1</v>
      </c>
      <c r="N556" s="3">
        <v>1</v>
      </c>
      <c r="O556">
        <v>1.0000000000005119E-2</v>
      </c>
      <c r="P556">
        <v>9.9999999999995925E-6</v>
      </c>
      <c r="W556" s="3">
        <v>260</v>
      </c>
      <c r="X556" s="3">
        <v>1</v>
      </c>
      <c r="Y556" s="3">
        <v>1</v>
      </c>
      <c r="Z556">
        <v>85.01</v>
      </c>
      <c r="AA556">
        <v>1.5509999999999999E-2</v>
      </c>
      <c r="AB556">
        <v>1</v>
      </c>
      <c r="AC556">
        <v>0</v>
      </c>
    </row>
    <row r="557" spans="1:32" x14ac:dyDescent="0.25">
      <c r="A557" s="3">
        <v>260</v>
      </c>
      <c r="B557" s="3">
        <v>1</v>
      </c>
      <c r="C557" s="3">
        <v>2</v>
      </c>
      <c r="L557" s="3">
        <v>260</v>
      </c>
      <c r="M557" s="3">
        <v>1</v>
      </c>
      <c r="N557" s="3">
        <v>2</v>
      </c>
      <c r="W557" s="3">
        <v>260</v>
      </c>
      <c r="X557" s="3">
        <v>1</v>
      </c>
      <c r="Y557" s="3">
        <v>2</v>
      </c>
      <c r="Z557">
        <v>85.03</v>
      </c>
      <c r="AA557">
        <v>1.5509999999999999E-2</v>
      </c>
      <c r="AB557">
        <v>1</v>
      </c>
      <c r="AC557">
        <v>0</v>
      </c>
    </row>
    <row r="558" spans="1:32" x14ac:dyDescent="0.25">
      <c r="A558" s="3">
        <v>260</v>
      </c>
      <c r="B558" s="3">
        <v>1</v>
      </c>
      <c r="C558" s="3">
        <v>3</v>
      </c>
      <c r="L558" s="3">
        <v>260</v>
      </c>
      <c r="M558" s="3">
        <v>1</v>
      </c>
      <c r="N558" s="3">
        <v>3</v>
      </c>
      <c r="W558" s="3">
        <v>260</v>
      </c>
      <c r="X558" s="3">
        <v>1</v>
      </c>
      <c r="Y558" s="3">
        <v>3</v>
      </c>
      <c r="Z558">
        <v>85.03</v>
      </c>
      <c r="AA558">
        <v>1.5509999999999999E-2</v>
      </c>
      <c r="AB558">
        <v>1</v>
      </c>
      <c r="AC558">
        <v>0</v>
      </c>
    </row>
    <row r="559" spans="1:32" x14ac:dyDescent="0.25">
      <c r="A559" s="3">
        <v>260</v>
      </c>
      <c r="B559" s="3">
        <v>1</v>
      </c>
      <c r="C559" s="3">
        <v>4</v>
      </c>
      <c r="L559" s="3">
        <v>260</v>
      </c>
      <c r="M559" s="3">
        <v>1</v>
      </c>
      <c r="N559" s="3">
        <v>4</v>
      </c>
      <c r="W559" s="3">
        <v>260</v>
      </c>
      <c r="X559" s="3">
        <v>1</v>
      </c>
      <c r="Y559" s="3">
        <v>4</v>
      </c>
      <c r="Z559">
        <v>85.04</v>
      </c>
      <c r="AA559">
        <v>1.5509999999999999E-2</v>
      </c>
      <c r="AB559">
        <v>1</v>
      </c>
      <c r="AC559">
        <v>0</v>
      </c>
    </row>
    <row r="560" spans="1:32" x14ac:dyDescent="0.25">
      <c r="A560" s="3">
        <v>260</v>
      </c>
      <c r="B560" s="3">
        <v>1</v>
      </c>
      <c r="C560" s="3">
        <v>5</v>
      </c>
      <c r="L560" s="3">
        <v>260</v>
      </c>
      <c r="M560" s="3">
        <v>1</v>
      </c>
      <c r="N560" s="3">
        <v>5</v>
      </c>
      <c r="W560" s="3">
        <v>260</v>
      </c>
      <c r="X560" s="3">
        <v>1</v>
      </c>
      <c r="Y560" s="3">
        <v>5</v>
      </c>
      <c r="Z560">
        <v>85.05</v>
      </c>
      <c r="AA560">
        <v>1.5509999999999999E-2</v>
      </c>
      <c r="AB560">
        <v>1</v>
      </c>
      <c r="AC560">
        <v>0</v>
      </c>
    </row>
    <row r="561" spans="1:32" x14ac:dyDescent="0.25">
      <c r="A561" s="3">
        <v>260</v>
      </c>
      <c r="B561" s="3">
        <v>1</v>
      </c>
      <c r="C561" s="3">
        <v>6</v>
      </c>
      <c r="L561" s="3">
        <v>260</v>
      </c>
      <c r="M561" s="3">
        <v>1</v>
      </c>
      <c r="N561" s="3">
        <v>6</v>
      </c>
      <c r="W561" s="3">
        <v>260</v>
      </c>
      <c r="X561" s="3">
        <v>1</v>
      </c>
      <c r="Y561" s="3">
        <v>6</v>
      </c>
      <c r="Z561">
        <v>85.06</v>
      </c>
      <c r="AA561">
        <v>1.5509999999999999E-2</v>
      </c>
      <c r="AB561">
        <v>1</v>
      </c>
      <c r="AC561">
        <v>0</v>
      </c>
    </row>
    <row r="562" spans="1:32" x14ac:dyDescent="0.25">
      <c r="A562" s="3">
        <v>260</v>
      </c>
      <c r="B562" s="3">
        <v>1</v>
      </c>
      <c r="C562" s="3">
        <v>7</v>
      </c>
      <c r="L562" s="3">
        <v>260</v>
      </c>
      <c r="M562" s="3">
        <v>1</v>
      </c>
      <c r="N562" s="3">
        <v>7</v>
      </c>
      <c r="W562" s="3">
        <v>260</v>
      </c>
      <c r="X562" s="3">
        <v>1</v>
      </c>
      <c r="Y562" s="3">
        <v>7</v>
      </c>
      <c r="Z562">
        <v>85.06</v>
      </c>
      <c r="AA562">
        <v>1.5509999999999999E-2</v>
      </c>
      <c r="AB562">
        <v>1</v>
      </c>
      <c r="AC562">
        <v>0</v>
      </c>
    </row>
    <row r="563" spans="1:32" x14ac:dyDescent="0.25">
      <c r="A563" s="3">
        <v>260</v>
      </c>
      <c r="B563" s="3">
        <v>1</v>
      </c>
      <c r="C563" s="3">
        <v>8</v>
      </c>
      <c r="L563" s="3">
        <v>260</v>
      </c>
      <c r="M563" s="3">
        <v>1</v>
      </c>
      <c r="N563" s="3">
        <v>8</v>
      </c>
      <c r="W563" s="3">
        <v>260</v>
      </c>
      <c r="X563" s="3">
        <v>1</v>
      </c>
      <c r="Y563" s="3">
        <v>8</v>
      </c>
      <c r="Z563">
        <v>85.07</v>
      </c>
      <c r="AA563">
        <v>1.5509999999999999E-2</v>
      </c>
      <c r="AB563">
        <v>1</v>
      </c>
      <c r="AC563">
        <v>0</v>
      </c>
    </row>
    <row r="564" spans="1:32" x14ac:dyDescent="0.25">
      <c r="A564" s="3">
        <v>260</v>
      </c>
      <c r="B564" s="3">
        <v>1</v>
      </c>
      <c r="C564" s="3">
        <v>9</v>
      </c>
      <c r="L564" s="3">
        <v>260</v>
      </c>
      <c r="M564" s="3">
        <v>1</v>
      </c>
      <c r="N564" s="3">
        <v>9</v>
      </c>
      <c r="W564" s="3">
        <v>260</v>
      </c>
      <c r="X564" s="3">
        <v>1</v>
      </c>
      <c r="Y564" s="3">
        <v>9</v>
      </c>
      <c r="Z564">
        <v>85.07</v>
      </c>
      <c r="AA564">
        <v>1.5509999999999999E-2</v>
      </c>
      <c r="AB564">
        <v>1</v>
      </c>
      <c r="AC564">
        <v>0</v>
      </c>
    </row>
    <row r="565" spans="1:32" x14ac:dyDescent="0.25">
      <c r="A565" s="3">
        <v>260</v>
      </c>
      <c r="B565" s="3">
        <v>1</v>
      </c>
      <c r="C565" s="3">
        <v>10</v>
      </c>
      <c r="L565" s="3">
        <v>260</v>
      </c>
      <c r="M565" s="3">
        <v>1</v>
      </c>
      <c r="N565" s="3">
        <v>10</v>
      </c>
      <c r="W565" s="3">
        <v>260</v>
      </c>
      <c r="X565" s="3">
        <v>1</v>
      </c>
      <c r="Y565" s="3">
        <v>10</v>
      </c>
      <c r="Z565">
        <v>85.07</v>
      </c>
      <c r="AA565">
        <v>1.5509999999999999E-2</v>
      </c>
      <c r="AB565">
        <v>1</v>
      </c>
      <c r="AC565">
        <v>0</v>
      </c>
    </row>
    <row r="566" spans="1:32" x14ac:dyDescent="0.25">
      <c r="A566" s="3">
        <v>260</v>
      </c>
      <c r="B566" s="3">
        <v>2</v>
      </c>
      <c r="C566" s="3">
        <v>1</v>
      </c>
      <c r="D566">
        <v>2.2087244616229729E-2</v>
      </c>
      <c r="E566">
        <v>6.3291139240503738E-2</v>
      </c>
      <c r="H566">
        <v>0</v>
      </c>
      <c r="I566">
        <v>3.072469414335098E-5</v>
      </c>
      <c r="J566">
        <v>0</v>
      </c>
      <c r="L566" s="3">
        <v>260</v>
      </c>
      <c r="M566" s="3">
        <v>2</v>
      </c>
      <c r="N566" s="3">
        <v>1</v>
      </c>
      <c r="O566">
        <v>-3.9999999999992042E-2</v>
      </c>
      <c r="P566">
        <v>9.9999999999995925E-6</v>
      </c>
      <c r="S566">
        <v>0</v>
      </c>
      <c r="T566">
        <v>0.5</v>
      </c>
      <c r="U566">
        <v>0</v>
      </c>
      <c r="W566" s="3">
        <v>260</v>
      </c>
      <c r="X566" s="3">
        <v>2</v>
      </c>
      <c r="Y566" s="3">
        <v>1</v>
      </c>
      <c r="Z566">
        <v>181.06</v>
      </c>
      <c r="AA566">
        <v>1.5810000000000001E-2</v>
      </c>
      <c r="AB566">
        <v>0.1</v>
      </c>
      <c r="AC566">
        <v>0</v>
      </c>
      <c r="AD566">
        <v>92.8</v>
      </c>
      <c r="AE566">
        <v>1627356</v>
      </c>
      <c r="AF566">
        <v>344040.3</v>
      </c>
    </row>
    <row r="567" spans="1:32" x14ac:dyDescent="0.25">
      <c r="A567" s="3">
        <v>260</v>
      </c>
      <c r="B567" s="3">
        <v>2</v>
      </c>
      <c r="C567" s="3">
        <v>2</v>
      </c>
      <c r="H567">
        <v>0</v>
      </c>
      <c r="I567">
        <v>3.2557022004838368E-5</v>
      </c>
      <c r="J567">
        <v>0</v>
      </c>
      <c r="L567" s="3">
        <v>260</v>
      </c>
      <c r="M567" s="3">
        <v>2</v>
      </c>
      <c r="N567" s="3">
        <v>2</v>
      </c>
      <c r="S567">
        <v>0</v>
      </c>
      <c r="T567">
        <v>0.70000000018626451</v>
      </c>
      <c r="U567">
        <v>0</v>
      </c>
      <c r="W567" s="3">
        <v>260</v>
      </c>
      <c r="X567" s="3">
        <v>2</v>
      </c>
      <c r="Y567" s="3">
        <v>2</v>
      </c>
      <c r="Z567">
        <v>212.51</v>
      </c>
      <c r="AA567">
        <v>1.583E-2</v>
      </c>
      <c r="AB567">
        <v>0.1</v>
      </c>
      <c r="AC567">
        <v>0</v>
      </c>
      <c r="AD567">
        <v>96.4</v>
      </c>
      <c r="AE567">
        <v>2150074.5</v>
      </c>
      <c r="AF567">
        <v>495495</v>
      </c>
    </row>
    <row r="568" spans="1:32" x14ac:dyDescent="0.25">
      <c r="A568" s="3">
        <v>260</v>
      </c>
      <c r="B568" s="3">
        <v>3</v>
      </c>
      <c r="C568" s="3">
        <v>1</v>
      </c>
      <c r="D568">
        <v>0</v>
      </c>
      <c r="E568">
        <v>0.25316455696201501</v>
      </c>
      <c r="H568">
        <v>0</v>
      </c>
      <c r="I568">
        <v>3.5125601532383732E-5</v>
      </c>
      <c r="J568">
        <v>4.8553659308060323E-5</v>
      </c>
      <c r="L568" s="3">
        <v>260</v>
      </c>
      <c r="M568" s="3">
        <v>3</v>
      </c>
      <c r="N568" s="3">
        <v>1</v>
      </c>
      <c r="O568">
        <v>0</v>
      </c>
      <c r="P568">
        <v>3.999999999999837E-5</v>
      </c>
      <c r="S568">
        <v>0</v>
      </c>
      <c r="T568">
        <v>0.29999999993015081</v>
      </c>
      <c r="U568">
        <v>9.9999999976716936E-2</v>
      </c>
      <c r="W568" s="3">
        <v>260</v>
      </c>
      <c r="X568" s="3">
        <v>3</v>
      </c>
      <c r="Y568" s="3">
        <v>1</v>
      </c>
      <c r="Z568">
        <v>252.7</v>
      </c>
      <c r="AA568">
        <v>1.584E-2</v>
      </c>
      <c r="AB568">
        <v>0</v>
      </c>
      <c r="AC568">
        <v>0</v>
      </c>
      <c r="AD568">
        <v>102.2</v>
      </c>
      <c r="AE568">
        <v>854078.2</v>
      </c>
      <c r="AF568">
        <v>205957.8</v>
      </c>
    </row>
    <row r="569" spans="1:32" x14ac:dyDescent="0.25">
      <c r="A569" s="3">
        <v>260</v>
      </c>
      <c r="B569" s="3">
        <v>3</v>
      </c>
      <c r="C569" s="3">
        <v>2</v>
      </c>
      <c r="H569">
        <v>0</v>
      </c>
      <c r="I569">
        <v>2.1420750567017888E-5</v>
      </c>
      <c r="J569">
        <v>0</v>
      </c>
      <c r="L569" s="3">
        <v>260</v>
      </c>
      <c r="M569" s="3">
        <v>3</v>
      </c>
      <c r="N569" s="3">
        <v>2</v>
      </c>
      <c r="S569">
        <v>0</v>
      </c>
      <c r="T569">
        <v>0.20000000006984919</v>
      </c>
      <c r="U569">
        <v>0</v>
      </c>
      <c r="W569" s="3">
        <v>260</v>
      </c>
      <c r="X569" s="3">
        <v>3</v>
      </c>
      <c r="Y569" s="3">
        <v>2</v>
      </c>
      <c r="Z569">
        <v>268.33</v>
      </c>
      <c r="AA569">
        <v>1.584E-2</v>
      </c>
      <c r="AB569">
        <v>0</v>
      </c>
      <c r="AC569">
        <v>0</v>
      </c>
      <c r="AD569">
        <v>104.3</v>
      </c>
      <c r="AE569">
        <v>933674.3</v>
      </c>
      <c r="AF569">
        <v>234421</v>
      </c>
    </row>
    <row r="570" spans="1:32" x14ac:dyDescent="0.25">
      <c r="A570" s="3">
        <v>260</v>
      </c>
      <c r="B570" s="3">
        <v>3</v>
      </c>
      <c r="C570" s="3">
        <v>3</v>
      </c>
      <c r="H570">
        <v>0</v>
      </c>
      <c r="I570">
        <v>5.8730924560491231E-5</v>
      </c>
      <c r="J570">
        <v>0</v>
      </c>
      <c r="L570" s="3">
        <v>260</v>
      </c>
      <c r="M570" s="3">
        <v>3</v>
      </c>
      <c r="N570" s="3">
        <v>3</v>
      </c>
      <c r="S570">
        <v>0</v>
      </c>
      <c r="T570">
        <v>0.59999999997671694</v>
      </c>
      <c r="U570">
        <v>0</v>
      </c>
      <c r="W570" s="3">
        <v>260</v>
      </c>
      <c r="X570" s="3">
        <v>3</v>
      </c>
      <c r="Y570" s="3">
        <v>3</v>
      </c>
      <c r="Z570">
        <v>285.45999999999998</v>
      </c>
      <c r="AA570">
        <v>1.584E-2</v>
      </c>
      <c r="AB570">
        <v>0</v>
      </c>
      <c r="AC570">
        <v>0</v>
      </c>
      <c r="AD570">
        <v>106.8</v>
      </c>
      <c r="AE570">
        <v>1021608.9</v>
      </c>
      <c r="AF570">
        <v>267839.2</v>
      </c>
    </row>
    <row r="571" spans="1:32" x14ac:dyDescent="0.25">
      <c r="A571" s="3">
        <v>260</v>
      </c>
      <c r="B571" s="3">
        <v>3</v>
      </c>
      <c r="C571" s="3">
        <v>4</v>
      </c>
      <c r="H571">
        <v>0</v>
      </c>
      <c r="I571">
        <v>3.5760333521152648E-5</v>
      </c>
      <c r="J571">
        <v>3.2534756892138372E-5</v>
      </c>
      <c r="L571" s="3">
        <v>260</v>
      </c>
      <c r="M571" s="3">
        <v>3</v>
      </c>
      <c r="N571" s="3">
        <v>4</v>
      </c>
      <c r="S571">
        <v>0</v>
      </c>
      <c r="T571">
        <v>0.39999999990686769</v>
      </c>
      <c r="U571">
        <v>0.1000000000349246</v>
      </c>
      <c r="W571" s="3">
        <v>260</v>
      </c>
      <c r="X571" s="3">
        <v>3</v>
      </c>
      <c r="Y571" s="3">
        <v>4</v>
      </c>
      <c r="Z571">
        <v>304.27999999999997</v>
      </c>
      <c r="AA571">
        <v>1.585E-2</v>
      </c>
      <c r="AB571">
        <v>0</v>
      </c>
      <c r="AC571">
        <v>0</v>
      </c>
      <c r="AD571">
        <v>109.5</v>
      </c>
      <c r="AE571">
        <v>1118558.2</v>
      </c>
      <c r="AF571">
        <v>307363.7</v>
      </c>
    </row>
    <row r="572" spans="1:32" x14ac:dyDescent="0.25">
      <c r="A572" s="3">
        <v>260</v>
      </c>
      <c r="B572" s="3">
        <v>3</v>
      </c>
      <c r="C572" s="3">
        <v>5</v>
      </c>
      <c r="H572">
        <v>0</v>
      </c>
      <c r="I572">
        <v>6.5349738735548401E-5</v>
      </c>
      <c r="J572">
        <v>5.6419351502332113E-5</v>
      </c>
      <c r="L572" s="3">
        <v>260</v>
      </c>
      <c r="M572" s="3">
        <v>3</v>
      </c>
      <c r="N572" s="3">
        <v>5</v>
      </c>
      <c r="S572">
        <v>0</v>
      </c>
      <c r="T572">
        <v>0.80000000004656613</v>
      </c>
      <c r="U572">
        <v>0.2000000000116415</v>
      </c>
      <c r="W572" s="3">
        <v>260</v>
      </c>
      <c r="X572" s="3">
        <v>3</v>
      </c>
      <c r="Y572" s="3">
        <v>5</v>
      </c>
      <c r="Z572">
        <v>324.98</v>
      </c>
      <c r="AA572">
        <v>1.585E-2</v>
      </c>
      <c r="AB572">
        <v>0</v>
      </c>
      <c r="AC572">
        <v>0</v>
      </c>
      <c r="AD572">
        <v>112.7</v>
      </c>
      <c r="AE572">
        <v>1224183.2</v>
      </c>
      <c r="AF572">
        <v>354488.5</v>
      </c>
    </row>
    <row r="573" spans="1:32" x14ac:dyDescent="0.25">
      <c r="A573" s="3">
        <v>260</v>
      </c>
      <c r="B573" s="3">
        <v>3</v>
      </c>
      <c r="C573" s="3">
        <v>6</v>
      </c>
      <c r="H573">
        <v>0</v>
      </c>
      <c r="I573">
        <v>7.451637019817051E-6</v>
      </c>
      <c r="J573">
        <v>0</v>
      </c>
      <c r="L573" s="3">
        <v>260</v>
      </c>
      <c r="M573" s="3">
        <v>3</v>
      </c>
      <c r="N573" s="3">
        <v>6</v>
      </c>
      <c r="S573">
        <v>0</v>
      </c>
      <c r="T573">
        <v>0.1000000000931323</v>
      </c>
      <c r="U573">
        <v>0</v>
      </c>
      <c r="W573" s="3">
        <v>260</v>
      </c>
      <c r="X573" s="3">
        <v>3</v>
      </c>
      <c r="Y573" s="3">
        <v>6</v>
      </c>
      <c r="Z573">
        <v>347.8</v>
      </c>
      <c r="AA573">
        <v>1.585E-2</v>
      </c>
      <c r="AB573">
        <v>0</v>
      </c>
      <c r="AC573">
        <v>0</v>
      </c>
      <c r="AD573">
        <v>116.2</v>
      </c>
      <c r="AE573">
        <v>1341987.1000000001</v>
      </c>
      <c r="AF573">
        <v>411055.2</v>
      </c>
    </row>
    <row r="574" spans="1:32" x14ac:dyDescent="0.25">
      <c r="A574" s="3">
        <v>260</v>
      </c>
      <c r="B574" s="3">
        <v>3</v>
      </c>
      <c r="C574" s="3">
        <v>7</v>
      </c>
      <c r="H574">
        <v>0</v>
      </c>
      <c r="I574">
        <v>2.0351962776976889E-5</v>
      </c>
      <c r="J574">
        <v>4.1701765655185099E-5</v>
      </c>
      <c r="L574" s="3">
        <v>260</v>
      </c>
      <c r="M574" s="3">
        <v>3</v>
      </c>
      <c r="N574" s="3">
        <v>7</v>
      </c>
      <c r="S574">
        <v>0</v>
      </c>
      <c r="T574">
        <v>-0.30000000004656607</v>
      </c>
      <c r="U574">
        <v>-0.2000000000116415</v>
      </c>
      <c r="W574" s="3">
        <v>260</v>
      </c>
      <c r="X574" s="3">
        <v>3</v>
      </c>
      <c r="Y574" s="3">
        <v>7</v>
      </c>
      <c r="Z574">
        <v>373.05</v>
      </c>
      <c r="AA574">
        <v>1.585E-2</v>
      </c>
      <c r="AB574">
        <v>0</v>
      </c>
      <c r="AC574">
        <v>0</v>
      </c>
      <c r="AD574">
        <v>120.3</v>
      </c>
      <c r="AE574">
        <v>1474059</v>
      </c>
      <c r="AF574">
        <v>479595.8</v>
      </c>
    </row>
    <row r="575" spans="1:32" x14ac:dyDescent="0.25">
      <c r="A575" s="3">
        <v>260</v>
      </c>
      <c r="B575" s="3">
        <v>3</v>
      </c>
      <c r="C575" s="3">
        <v>8</v>
      </c>
      <c r="H575">
        <v>0</v>
      </c>
      <c r="I575">
        <v>1.2324118662915979E-5</v>
      </c>
      <c r="J575">
        <v>5.3236409929965871E-5</v>
      </c>
      <c r="L575" s="3">
        <v>260</v>
      </c>
      <c r="M575" s="3">
        <v>3</v>
      </c>
      <c r="N575" s="3">
        <v>8</v>
      </c>
      <c r="S575">
        <v>0</v>
      </c>
      <c r="T575">
        <v>-0.20000000018626449</v>
      </c>
      <c r="U575">
        <v>-0.29999999993015081</v>
      </c>
      <c r="W575" s="3">
        <v>260</v>
      </c>
      <c r="X575" s="3">
        <v>3</v>
      </c>
      <c r="Y575" s="3">
        <v>8</v>
      </c>
      <c r="Z575">
        <v>401.08</v>
      </c>
      <c r="AA575">
        <v>1.585E-2</v>
      </c>
      <c r="AB575">
        <v>0</v>
      </c>
      <c r="AC575">
        <v>0</v>
      </c>
      <c r="AD575">
        <v>125.1</v>
      </c>
      <c r="AE575">
        <v>1622833.9</v>
      </c>
      <c r="AF575">
        <v>563523.80000000005</v>
      </c>
    </row>
    <row r="576" spans="1:32" x14ac:dyDescent="0.25">
      <c r="A576" s="3">
        <v>260</v>
      </c>
      <c r="B576" s="3">
        <v>3</v>
      </c>
      <c r="C576" s="3">
        <v>9</v>
      </c>
      <c r="H576">
        <v>0</v>
      </c>
      <c r="I576">
        <v>5.8949320326126512E-5</v>
      </c>
      <c r="J576">
        <v>7.9126769630639398E-5</v>
      </c>
      <c r="L576" s="3">
        <v>260</v>
      </c>
      <c r="M576" s="3">
        <v>3</v>
      </c>
      <c r="N576" s="3">
        <v>9</v>
      </c>
      <c r="S576">
        <v>0</v>
      </c>
      <c r="T576">
        <v>2</v>
      </c>
      <c r="U576">
        <v>-0.5</v>
      </c>
      <c r="W576" s="3">
        <v>260</v>
      </c>
      <c r="X576" s="3">
        <v>3</v>
      </c>
      <c r="Y576" s="3">
        <v>9</v>
      </c>
      <c r="Z576">
        <v>432.35</v>
      </c>
      <c r="AA576">
        <v>1.585E-2</v>
      </c>
      <c r="AB576">
        <v>47.8</v>
      </c>
      <c r="AC576">
        <v>4.5</v>
      </c>
      <c r="AD576">
        <v>161.5</v>
      </c>
      <c r="AE576">
        <v>3392746.8</v>
      </c>
      <c r="AF576">
        <v>631896.9</v>
      </c>
    </row>
    <row r="577" spans="1:32" x14ac:dyDescent="0.25">
      <c r="A577" s="3">
        <v>260</v>
      </c>
      <c r="B577" s="3">
        <v>3</v>
      </c>
      <c r="C577" s="3">
        <v>10</v>
      </c>
      <c r="H577">
        <v>0</v>
      </c>
      <c r="I577">
        <v>1.204809028973802E-5</v>
      </c>
      <c r="J577">
        <v>6.0582613298877182E-5</v>
      </c>
      <c r="L577" s="3">
        <v>260</v>
      </c>
      <c r="M577" s="3">
        <v>3</v>
      </c>
      <c r="N577" s="3">
        <v>10</v>
      </c>
      <c r="S577">
        <v>0</v>
      </c>
      <c r="T577">
        <v>0.5</v>
      </c>
      <c r="U577">
        <v>-0.5</v>
      </c>
      <c r="W577" s="3">
        <v>260</v>
      </c>
      <c r="X577" s="3">
        <v>3</v>
      </c>
      <c r="Y577" s="3">
        <v>10</v>
      </c>
      <c r="Z577">
        <v>486.12</v>
      </c>
      <c r="AA577">
        <v>1.5800000000000002E-2</v>
      </c>
      <c r="AB577">
        <v>53.5</v>
      </c>
      <c r="AC577">
        <v>5.0999999999999996</v>
      </c>
      <c r="AD577">
        <v>180.2</v>
      </c>
      <c r="AE577">
        <v>4150035.8</v>
      </c>
      <c r="AF577">
        <v>825318.8</v>
      </c>
    </row>
    <row r="578" spans="1:32" x14ac:dyDescent="0.25">
      <c r="A578" s="3">
        <v>260</v>
      </c>
      <c r="B578" s="3">
        <v>3</v>
      </c>
      <c r="C578" s="3">
        <v>11</v>
      </c>
      <c r="H578">
        <v>0</v>
      </c>
      <c r="I578">
        <v>4.3583629030096463E-5</v>
      </c>
      <c r="J578">
        <v>0</v>
      </c>
      <c r="L578" s="3">
        <v>260</v>
      </c>
      <c r="M578" s="3">
        <v>3</v>
      </c>
      <c r="N578" s="3">
        <v>11</v>
      </c>
      <c r="S578">
        <v>0</v>
      </c>
      <c r="T578">
        <v>-1</v>
      </c>
      <c r="U578">
        <v>0</v>
      </c>
      <c r="W578" s="3">
        <v>260</v>
      </c>
      <c r="X578" s="3">
        <v>3</v>
      </c>
      <c r="Y578" s="3">
        <v>11</v>
      </c>
      <c r="Z578">
        <v>552.4</v>
      </c>
      <c r="AA578">
        <v>1.5740000000000001E-2</v>
      </c>
      <c r="AB578">
        <v>13386.8</v>
      </c>
      <c r="AC578">
        <v>5.0999999999999996</v>
      </c>
      <c r="AD578">
        <v>385.1</v>
      </c>
      <c r="AE578">
        <v>2294438.5</v>
      </c>
      <c r="AF578">
        <v>12562906</v>
      </c>
    </row>
    <row r="579" spans="1:32" x14ac:dyDescent="0.25">
      <c r="A579" s="3">
        <v>260</v>
      </c>
      <c r="B579" s="3">
        <v>3</v>
      </c>
      <c r="C579" s="3">
        <v>12</v>
      </c>
      <c r="H579">
        <v>0</v>
      </c>
      <c r="I579">
        <v>1.209428009656574E-3</v>
      </c>
      <c r="J579">
        <v>2.4501396579582752E-3</v>
      </c>
      <c r="L579" s="3">
        <v>260</v>
      </c>
      <c r="M579" s="3">
        <v>3</v>
      </c>
      <c r="N579" s="3">
        <v>12</v>
      </c>
      <c r="S579">
        <v>0</v>
      </c>
      <c r="T579">
        <v>-0.69999999999708962</v>
      </c>
      <c r="U579">
        <v>-9.9999999999909051E-2</v>
      </c>
      <c r="W579" s="3">
        <v>260</v>
      </c>
      <c r="X579" s="3">
        <v>3</v>
      </c>
      <c r="Y579" s="3">
        <v>12</v>
      </c>
      <c r="Z579">
        <v>91.41</v>
      </c>
      <c r="AA579">
        <v>1.5679999999999999E-2</v>
      </c>
      <c r="AB579">
        <v>53.4</v>
      </c>
      <c r="AC579">
        <v>5.0999999999999996</v>
      </c>
      <c r="AD579">
        <v>86.7</v>
      </c>
      <c r="AE579">
        <v>57877.9</v>
      </c>
      <c r="AF579">
        <v>4081.3</v>
      </c>
    </row>
    <row r="580" spans="1:32" x14ac:dyDescent="0.25">
      <c r="A580" s="3">
        <v>260</v>
      </c>
      <c r="B580" s="3">
        <v>3</v>
      </c>
      <c r="C580" s="3">
        <v>13</v>
      </c>
      <c r="H580">
        <v>0</v>
      </c>
      <c r="I580">
        <v>2.2504050729167629E-3</v>
      </c>
      <c r="J580">
        <v>0</v>
      </c>
      <c r="L580" s="3">
        <v>260</v>
      </c>
      <c r="M580" s="3">
        <v>3</v>
      </c>
      <c r="N580" s="3">
        <v>13</v>
      </c>
      <c r="S580">
        <v>0</v>
      </c>
      <c r="T580">
        <v>-0.90000000000145519</v>
      </c>
      <c r="U580">
        <v>0</v>
      </c>
      <c r="W580" s="3">
        <v>260</v>
      </c>
      <c r="X580" s="3">
        <v>3</v>
      </c>
      <c r="Y580" s="3">
        <v>13</v>
      </c>
      <c r="Z580">
        <v>89.56</v>
      </c>
      <c r="AA580">
        <v>1.5630000000000002E-2</v>
      </c>
      <c r="AB580">
        <v>53.4</v>
      </c>
      <c r="AC580">
        <v>5.0999999999999996</v>
      </c>
      <c r="AD580">
        <v>86.3</v>
      </c>
      <c r="AE580">
        <v>39991.9</v>
      </c>
      <c r="AF580">
        <v>2805.7</v>
      </c>
    </row>
    <row r="581" spans="1:32" x14ac:dyDescent="0.25">
      <c r="A581" s="3">
        <v>260</v>
      </c>
      <c r="B581" s="3">
        <v>3</v>
      </c>
      <c r="C581" s="3">
        <v>14</v>
      </c>
      <c r="H581">
        <v>0</v>
      </c>
      <c r="I581">
        <v>0</v>
      </c>
      <c r="J581">
        <v>0</v>
      </c>
      <c r="L581" s="3">
        <v>260</v>
      </c>
      <c r="M581" s="3">
        <v>3</v>
      </c>
      <c r="N581" s="3">
        <v>14</v>
      </c>
      <c r="S581">
        <v>0</v>
      </c>
      <c r="T581">
        <v>0</v>
      </c>
      <c r="U581">
        <v>0</v>
      </c>
      <c r="W581" s="3">
        <v>260</v>
      </c>
      <c r="X581" s="3">
        <v>3</v>
      </c>
      <c r="Y581" s="3">
        <v>14</v>
      </c>
      <c r="Z581">
        <v>87.46</v>
      </c>
      <c r="AA581">
        <v>1.5570000000000001E-2</v>
      </c>
      <c r="AB581">
        <v>52.7</v>
      </c>
      <c r="AC581">
        <v>5</v>
      </c>
      <c r="AD581">
        <v>86.4</v>
      </c>
      <c r="AE581">
        <v>74121.5</v>
      </c>
      <c r="AF581">
        <v>870</v>
      </c>
    </row>
    <row r="582" spans="1:32" x14ac:dyDescent="0.25">
      <c r="A582" s="3">
        <v>260</v>
      </c>
      <c r="B582" s="3">
        <v>4</v>
      </c>
      <c r="C582" s="3">
        <v>1</v>
      </c>
      <c r="D582">
        <v>0</v>
      </c>
      <c r="E582">
        <v>6.451612903225544E-2</v>
      </c>
      <c r="H582">
        <v>0</v>
      </c>
      <c r="L582" s="3">
        <v>260</v>
      </c>
      <c r="M582" s="3">
        <v>4</v>
      </c>
      <c r="N582" s="3">
        <v>1</v>
      </c>
      <c r="O582">
        <v>0</v>
      </c>
      <c r="P582">
        <v>9.9999999999995925E-6</v>
      </c>
      <c r="S582">
        <v>0</v>
      </c>
      <c r="T582">
        <v>0</v>
      </c>
      <c r="U582">
        <v>0</v>
      </c>
      <c r="W582" s="3">
        <v>260</v>
      </c>
      <c r="X582" s="3">
        <v>4</v>
      </c>
      <c r="Y582" s="3">
        <v>1</v>
      </c>
      <c r="Z582">
        <v>85</v>
      </c>
      <c r="AA582">
        <v>1.5509999999999999E-2</v>
      </c>
      <c r="AB582">
        <v>0</v>
      </c>
      <c r="AC582">
        <v>0</v>
      </c>
      <c r="AD582">
        <v>85</v>
      </c>
      <c r="AE582">
        <v>0</v>
      </c>
      <c r="AF582">
        <v>0</v>
      </c>
    </row>
    <row r="583" spans="1:32" x14ac:dyDescent="0.25">
      <c r="A583" s="3">
        <v>260</v>
      </c>
      <c r="B583" s="3">
        <v>4</v>
      </c>
      <c r="C583" s="3">
        <v>2</v>
      </c>
      <c r="H583">
        <v>0</v>
      </c>
      <c r="L583" s="3">
        <v>260</v>
      </c>
      <c r="M583" s="3">
        <v>4</v>
      </c>
      <c r="N583" s="3">
        <v>2</v>
      </c>
      <c r="S583">
        <v>0</v>
      </c>
      <c r="T583">
        <v>0</v>
      </c>
      <c r="U583">
        <v>0</v>
      </c>
      <c r="W583" s="3">
        <v>260</v>
      </c>
      <c r="X583" s="3">
        <v>4</v>
      </c>
      <c r="Y583" s="3">
        <v>2</v>
      </c>
      <c r="Z583">
        <v>85</v>
      </c>
      <c r="AA583">
        <v>1.5509999999999999E-2</v>
      </c>
      <c r="AB583">
        <v>0</v>
      </c>
      <c r="AC583">
        <v>0</v>
      </c>
      <c r="AD583">
        <v>85</v>
      </c>
      <c r="AE583">
        <v>0</v>
      </c>
      <c r="AF583">
        <v>0</v>
      </c>
    </row>
    <row r="584" spans="1:32" x14ac:dyDescent="0.25">
      <c r="A584" s="3">
        <v>260</v>
      </c>
      <c r="B584" s="3">
        <v>5</v>
      </c>
      <c r="C584" s="3">
        <v>1</v>
      </c>
      <c r="D584">
        <v>3.7174721189596888E-2</v>
      </c>
      <c r="E584">
        <v>0.128205128205123</v>
      </c>
      <c r="L584" s="3">
        <v>260</v>
      </c>
      <c r="M584" s="3">
        <v>5</v>
      </c>
      <c r="N584" s="3">
        <v>1</v>
      </c>
      <c r="O584">
        <v>4.0000000000006253E-2</v>
      </c>
      <c r="P584">
        <v>-1.9999999999999188E-5</v>
      </c>
      <c r="W584" s="3">
        <v>260</v>
      </c>
      <c r="X584" s="3">
        <v>5</v>
      </c>
      <c r="Y584" s="3">
        <v>1</v>
      </c>
      <c r="Z584">
        <v>107.64</v>
      </c>
      <c r="AA584">
        <v>1.558E-2</v>
      </c>
    </row>
    <row r="585" spans="1:32" x14ac:dyDescent="0.25">
      <c r="A585" s="3">
        <v>260</v>
      </c>
      <c r="B585" s="3">
        <v>5</v>
      </c>
      <c r="C585" s="3">
        <v>2</v>
      </c>
      <c r="L585" s="3">
        <v>260</v>
      </c>
      <c r="M585" s="3">
        <v>5</v>
      </c>
      <c r="N585" s="3">
        <v>2</v>
      </c>
      <c r="W585" s="3">
        <v>260</v>
      </c>
      <c r="X585" s="3">
        <v>5</v>
      </c>
      <c r="Y585" s="3">
        <v>2</v>
      </c>
      <c r="Z585">
        <v>107.22</v>
      </c>
      <c r="AA585">
        <v>1.558E-2</v>
      </c>
    </row>
    <row r="586" spans="1:32" x14ac:dyDescent="0.25">
      <c r="A586" s="3">
        <v>280</v>
      </c>
      <c r="B586" s="3">
        <v>1</v>
      </c>
      <c r="C586" s="3">
        <v>1</v>
      </c>
      <c r="D586">
        <v>1.1764705882358961E-2</v>
      </c>
      <c r="E586">
        <v>6.451612903225544E-2</v>
      </c>
      <c r="L586" s="3">
        <v>280</v>
      </c>
      <c r="M586" s="3">
        <v>1</v>
      </c>
      <c r="N586" s="3">
        <v>1</v>
      </c>
      <c r="O586">
        <v>1.0000000000005119E-2</v>
      </c>
      <c r="P586">
        <v>9.9999999999995925E-6</v>
      </c>
      <c r="W586" s="3">
        <v>280</v>
      </c>
      <c r="X586" s="3">
        <v>1</v>
      </c>
      <c r="Y586" s="3">
        <v>1</v>
      </c>
      <c r="Z586">
        <v>85.01</v>
      </c>
      <c r="AA586">
        <v>1.5509999999999999E-2</v>
      </c>
      <c r="AB586">
        <v>1</v>
      </c>
      <c r="AC586">
        <v>0</v>
      </c>
    </row>
    <row r="587" spans="1:32" x14ac:dyDescent="0.25">
      <c r="A587" s="3">
        <v>280</v>
      </c>
      <c r="B587" s="3">
        <v>1</v>
      </c>
      <c r="C587" s="3">
        <v>2</v>
      </c>
      <c r="L587" s="3">
        <v>280</v>
      </c>
      <c r="M587" s="3">
        <v>1</v>
      </c>
      <c r="N587" s="3">
        <v>2</v>
      </c>
      <c r="W587" s="3">
        <v>280</v>
      </c>
      <c r="X587" s="3">
        <v>1</v>
      </c>
      <c r="Y587" s="3">
        <v>2</v>
      </c>
      <c r="Z587">
        <v>85.03</v>
      </c>
      <c r="AA587">
        <v>1.5509999999999999E-2</v>
      </c>
      <c r="AB587">
        <v>1</v>
      </c>
      <c r="AC587">
        <v>0</v>
      </c>
    </row>
    <row r="588" spans="1:32" x14ac:dyDescent="0.25">
      <c r="A588" s="3">
        <v>280</v>
      </c>
      <c r="B588" s="3">
        <v>1</v>
      </c>
      <c r="C588" s="3">
        <v>3</v>
      </c>
      <c r="L588" s="3">
        <v>280</v>
      </c>
      <c r="M588" s="3">
        <v>1</v>
      </c>
      <c r="N588" s="3">
        <v>3</v>
      </c>
      <c r="W588" s="3">
        <v>280</v>
      </c>
      <c r="X588" s="3">
        <v>1</v>
      </c>
      <c r="Y588" s="3">
        <v>3</v>
      </c>
      <c r="Z588">
        <v>85.03</v>
      </c>
      <c r="AA588">
        <v>1.5509999999999999E-2</v>
      </c>
      <c r="AB588">
        <v>1</v>
      </c>
      <c r="AC588">
        <v>0</v>
      </c>
    </row>
    <row r="589" spans="1:32" x14ac:dyDescent="0.25">
      <c r="A589" s="3">
        <v>280</v>
      </c>
      <c r="B589" s="3">
        <v>1</v>
      </c>
      <c r="C589" s="3">
        <v>4</v>
      </c>
      <c r="L589" s="3">
        <v>280</v>
      </c>
      <c r="M589" s="3">
        <v>1</v>
      </c>
      <c r="N589" s="3">
        <v>4</v>
      </c>
      <c r="W589" s="3">
        <v>280</v>
      </c>
      <c r="X589" s="3">
        <v>1</v>
      </c>
      <c r="Y589" s="3">
        <v>4</v>
      </c>
      <c r="Z589">
        <v>85.04</v>
      </c>
      <c r="AA589">
        <v>1.5509999999999999E-2</v>
      </c>
      <c r="AB589">
        <v>1</v>
      </c>
      <c r="AC589">
        <v>0</v>
      </c>
    </row>
    <row r="590" spans="1:32" x14ac:dyDescent="0.25">
      <c r="A590" s="3">
        <v>280</v>
      </c>
      <c r="B590" s="3">
        <v>1</v>
      </c>
      <c r="C590" s="3">
        <v>5</v>
      </c>
      <c r="L590" s="3">
        <v>280</v>
      </c>
      <c r="M590" s="3">
        <v>1</v>
      </c>
      <c r="N590" s="3">
        <v>5</v>
      </c>
      <c r="W590" s="3">
        <v>280</v>
      </c>
      <c r="X590" s="3">
        <v>1</v>
      </c>
      <c r="Y590" s="3">
        <v>5</v>
      </c>
      <c r="Z590">
        <v>85.05</v>
      </c>
      <c r="AA590">
        <v>1.5509999999999999E-2</v>
      </c>
      <c r="AB590">
        <v>1</v>
      </c>
      <c r="AC590">
        <v>0</v>
      </c>
    </row>
    <row r="591" spans="1:32" x14ac:dyDescent="0.25">
      <c r="A591" s="3">
        <v>280</v>
      </c>
      <c r="B591" s="3">
        <v>1</v>
      </c>
      <c r="C591" s="3">
        <v>6</v>
      </c>
      <c r="L591" s="3">
        <v>280</v>
      </c>
      <c r="M591" s="3">
        <v>1</v>
      </c>
      <c r="N591" s="3">
        <v>6</v>
      </c>
      <c r="W591" s="3">
        <v>280</v>
      </c>
      <c r="X591" s="3">
        <v>1</v>
      </c>
      <c r="Y591" s="3">
        <v>6</v>
      </c>
      <c r="Z591">
        <v>85.06</v>
      </c>
      <c r="AA591">
        <v>1.5509999999999999E-2</v>
      </c>
      <c r="AB591">
        <v>1</v>
      </c>
      <c r="AC591">
        <v>0</v>
      </c>
    </row>
    <row r="592" spans="1:32" x14ac:dyDescent="0.25">
      <c r="A592" s="3">
        <v>280</v>
      </c>
      <c r="B592" s="3">
        <v>1</v>
      </c>
      <c r="C592" s="3">
        <v>7</v>
      </c>
      <c r="L592" s="3">
        <v>280</v>
      </c>
      <c r="M592" s="3">
        <v>1</v>
      </c>
      <c r="N592" s="3">
        <v>7</v>
      </c>
      <c r="W592" s="3">
        <v>280</v>
      </c>
      <c r="X592" s="3">
        <v>1</v>
      </c>
      <c r="Y592" s="3">
        <v>7</v>
      </c>
      <c r="Z592">
        <v>85.06</v>
      </c>
      <c r="AA592">
        <v>1.5509999999999999E-2</v>
      </c>
      <c r="AB592">
        <v>1</v>
      </c>
      <c r="AC592">
        <v>0</v>
      </c>
    </row>
    <row r="593" spans="1:32" x14ac:dyDescent="0.25">
      <c r="A593" s="3">
        <v>280</v>
      </c>
      <c r="B593" s="3">
        <v>1</v>
      </c>
      <c r="C593" s="3">
        <v>8</v>
      </c>
      <c r="L593" s="3">
        <v>280</v>
      </c>
      <c r="M593" s="3">
        <v>1</v>
      </c>
      <c r="N593" s="3">
        <v>8</v>
      </c>
      <c r="W593" s="3">
        <v>280</v>
      </c>
      <c r="X593" s="3">
        <v>1</v>
      </c>
      <c r="Y593" s="3">
        <v>8</v>
      </c>
      <c r="Z593">
        <v>85.07</v>
      </c>
      <c r="AA593">
        <v>1.5509999999999999E-2</v>
      </c>
      <c r="AB593">
        <v>1</v>
      </c>
      <c r="AC593">
        <v>0</v>
      </c>
    </row>
    <row r="594" spans="1:32" x14ac:dyDescent="0.25">
      <c r="A594" s="3">
        <v>280</v>
      </c>
      <c r="B594" s="3">
        <v>1</v>
      </c>
      <c r="C594" s="3">
        <v>9</v>
      </c>
      <c r="L594" s="3">
        <v>280</v>
      </c>
      <c r="M594" s="3">
        <v>1</v>
      </c>
      <c r="N594" s="3">
        <v>9</v>
      </c>
      <c r="W594" s="3">
        <v>280</v>
      </c>
      <c r="X594" s="3">
        <v>1</v>
      </c>
      <c r="Y594" s="3">
        <v>9</v>
      </c>
      <c r="Z594">
        <v>85.07</v>
      </c>
      <c r="AA594">
        <v>1.5509999999999999E-2</v>
      </c>
      <c r="AB594">
        <v>1</v>
      </c>
      <c r="AC594">
        <v>0</v>
      </c>
    </row>
    <row r="595" spans="1:32" x14ac:dyDescent="0.25">
      <c r="A595" s="3">
        <v>280</v>
      </c>
      <c r="B595" s="3">
        <v>1</v>
      </c>
      <c r="C595" s="3">
        <v>10</v>
      </c>
      <c r="L595" s="3">
        <v>280</v>
      </c>
      <c r="M595" s="3">
        <v>1</v>
      </c>
      <c r="N595" s="3">
        <v>10</v>
      </c>
      <c r="W595" s="3">
        <v>280</v>
      </c>
      <c r="X595" s="3">
        <v>1</v>
      </c>
      <c r="Y595" s="3">
        <v>10</v>
      </c>
      <c r="Z595">
        <v>85.07</v>
      </c>
      <c r="AA595">
        <v>1.5509999999999999E-2</v>
      </c>
      <c r="AB595">
        <v>1</v>
      </c>
      <c r="AC595">
        <v>0</v>
      </c>
    </row>
    <row r="596" spans="1:32" x14ac:dyDescent="0.25">
      <c r="A596" s="3">
        <v>280</v>
      </c>
      <c r="B596" s="3">
        <v>2</v>
      </c>
      <c r="C596" s="3">
        <v>1</v>
      </c>
      <c r="D596">
        <v>1.091703056769117E-2</v>
      </c>
      <c r="E596">
        <v>0.1265822784810075</v>
      </c>
      <c r="H596">
        <v>0</v>
      </c>
      <c r="I596">
        <v>3.5733474071577409E-4</v>
      </c>
      <c r="J596">
        <v>1.134586010904174E-4</v>
      </c>
      <c r="L596" s="3">
        <v>280</v>
      </c>
      <c r="M596" s="3">
        <v>2</v>
      </c>
      <c r="N596" s="3">
        <v>1</v>
      </c>
      <c r="O596">
        <v>2.0000000000010228E-2</v>
      </c>
      <c r="P596">
        <v>1.9999999999999188E-5</v>
      </c>
      <c r="S596">
        <v>0</v>
      </c>
      <c r="T596">
        <v>5.9000000001396984</v>
      </c>
      <c r="U596">
        <v>0.40000000002328312</v>
      </c>
      <c r="W596" s="3">
        <v>280</v>
      </c>
      <c r="X596" s="3">
        <v>2</v>
      </c>
      <c r="Y596" s="3">
        <v>1</v>
      </c>
      <c r="Z596">
        <v>183.22</v>
      </c>
      <c r="AA596">
        <v>1.5820000000000001E-2</v>
      </c>
      <c r="AB596">
        <v>0.1</v>
      </c>
      <c r="AC596">
        <v>0</v>
      </c>
      <c r="AD596">
        <v>93.4</v>
      </c>
      <c r="AE596">
        <v>1651118.8</v>
      </c>
      <c r="AF596">
        <v>352551.9</v>
      </c>
    </row>
    <row r="597" spans="1:32" x14ac:dyDescent="0.25">
      <c r="A597" s="3">
        <v>280</v>
      </c>
      <c r="B597" s="3">
        <v>2</v>
      </c>
      <c r="C597" s="3">
        <v>2</v>
      </c>
      <c r="H597">
        <v>0</v>
      </c>
      <c r="I597">
        <v>3.2318994011290412E-4</v>
      </c>
      <c r="J597">
        <v>1.9830402461333081E-5</v>
      </c>
      <c r="L597" s="3">
        <v>280</v>
      </c>
      <c r="M597" s="3">
        <v>2</v>
      </c>
      <c r="N597" s="3">
        <v>2</v>
      </c>
      <c r="S597">
        <v>0</v>
      </c>
      <c r="T597">
        <v>7</v>
      </c>
      <c r="U597">
        <v>9.9999999976716936E-2</v>
      </c>
      <c r="W597" s="3">
        <v>280</v>
      </c>
      <c r="X597" s="3">
        <v>2</v>
      </c>
      <c r="Y597" s="3">
        <v>2</v>
      </c>
      <c r="Z597">
        <v>214.51</v>
      </c>
      <c r="AA597">
        <v>1.584E-2</v>
      </c>
      <c r="AB597">
        <v>0.1</v>
      </c>
      <c r="AC597">
        <v>0</v>
      </c>
      <c r="AD597">
        <v>97.1</v>
      </c>
      <c r="AE597">
        <v>2165916</v>
      </c>
      <c r="AF597">
        <v>504276.3</v>
      </c>
    </row>
    <row r="598" spans="1:32" x14ac:dyDescent="0.25">
      <c r="A598" s="3">
        <v>280</v>
      </c>
      <c r="B598" s="3">
        <v>3</v>
      </c>
      <c r="C598" s="3">
        <v>1</v>
      </c>
      <c r="D598">
        <v>1.177856301531258E-2</v>
      </c>
      <c r="E598">
        <v>0.31645569620251868</v>
      </c>
      <c r="H598">
        <v>0</v>
      </c>
      <c r="I598">
        <v>3.1470974319841528E-4</v>
      </c>
      <c r="J598">
        <v>0</v>
      </c>
      <c r="L598" s="3">
        <v>280</v>
      </c>
      <c r="M598" s="3">
        <v>3</v>
      </c>
      <c r="N598" s="3">
        <v>1</v>
      </c>
      <c r="O598">
        <v>3.000000000000114E-2</v>
      </c>
      <c r="P598">
        <v>4.9999999999997963E-5</v>
      </c>
      <c r="S598">
        <v>0</v>
      </c>
      <c r="T598">
        <v>2.6999999999534339</v>
      </c>
      <c r="U598">
        <v>0</v>
      </c>
      <c r="W598" s="3">
        <v>280</v>
      </c>
      <c r="X598" s="3">
        <v>3</v>
      </c>
      <c r="Y598" s="3">
        <v>1</v>
      </c>
      <c r="Z598">
        <v>254.73</v>
      </c>
      <c r="AA598">
        <v>1.585E-2</v>
      </c>
      <c r="AB598">
        <v>0</v>
      </c>
      <c r="AC598">
        <v>0</v>
      </c>
      <c r="AD598">
        <v>103.1</v>
      </c>
      <c r="AE598">
        <v>857936.1</v>
      </c>
      <c r="AF598">
        <v>208894.6</v>
      </c>
    </row>
    <row r="599" spans="1:32" x14ac:dyDescent="0.25">
      <c r="A599" s="3">
        <v>280</v>
      </c>
      <c r="B599" s="3">
        <v>3</v>
      </c>
      <c r="C599" s="3">
        <v>2</v>
      </c>
      <c r="H599">
        <v>0</v>
      </c>
      <c r="I599">
        <v>3.4141632937434593E-4</v>
      </c>
      <c r="J599">
        <v>4.2081785953445242E-5</v>
      </c>
      <c r="L599" s="3">
        <v>280</v>
      </c>
      <c r="M599" s="3">
        <v>3</v>
      </c>
      <c r="N599" s="3">
        <v>2</v>
      </c>
      <c r="S599">
        <v>0</v>
      </c>
      <c r="T599">
        <v>3.2000000000698492</v>
      </c>
      <c r="U599">
        <v>0.10000000000582079</v>
      </c>
      <c r="W599" s="3">
        <v>280</v>
      </c>
      <c r="X599" s="3">
        <v>3</v>
      </c>
      <c r="Y599" s="3">
        <v>2</v>
      </c>
      <c r="Z599">
        <v>270.41000000000003</v>
      </c>
      <c r="AA599">
        <v>1.585E-2</v>
      </c>
      <c r="AB599">
        <v>0</v>
      </c>
      <c r="AC599">
        <v>0</v>
      </c>
      <c r="AD599">
        <v>105.4</v>
      </c>
      <c r="AE599">
        <v>937275.3</v>
      </c>
      <c r="AF599">
        <v>237632.6</v>
      </c>
    </row>
    <row r="600" spans="1:32" x14ac:dyDescent="0.25">
      <c r="A600" s="3">
        <v>280</v>
      </c>
      <c r="B600" s="3">
        <v>3</v>
      </c>
      <c r="C600" s="3">
        <v>3</v>
      </c>
      <c r="H600">
        <v>0</v>
      </c>
      <c r="I600">
        <v>2.34156758585873E-4</v>
      </c>
      <c r="J600">
        <v>7.3695361802456462E-5</v>
      </c>
      <c r="L600" s="3">
        <v>280</v>
      </c>
      <c r="M600" s="3">
        <v>3</v>
      </c>
      <c r="N600" s="3">
        <v>3</v>
      </c>
      <c r="S600">
        <v>0</v>
      </c>
      <c r="T600">
        <v>2.4000000000232831</v>
      </c>
      <c r="U600">
        <v>-0.2000000000116415</v>
      </c>
      <c r="W600" s="3">
        <v>280</v>
      </c>
      <c r="X600" s="3">
        <v>3</v>
      </c>
      <c r="Y600" s="3">
        <v>3</v>
      </c>
      <c r="Z600">
        <v>287.60000000000002</v>
      </c>
      <c r="AA600">
        <v>1.585E-2</v>
      </c>
      <c r="AB600">
        <v>0</v>
      </c>
      <c r="AC600">
        <v>0</v>
      </c>
      <c r="AD600">
        <v>107.9</v>
      </c>
      <c r="AE600">
        <v>1024956.8</v>
      </c>
      <c r="AF600">
        <v>271387.3</v>
      </c>
    </row>
    <row r="601" spans="1:32" x14ac:dyDescent="0.25">
      <c r="A601" s="3">
        <v>280</v>
      </c>
      <c r="B601" s="3">
        <v>3</v>
      </c>
      <c r="C601" s="3">
        <v>4</v>
      </c>
      <c r="H601">
        <v>0</v>
      </c>
      <c r="I601">
        <v>2.7645130692447221E-4</v>
      </c>
      <c r="J601">
        <v>3.2120227306794302E-5</v>
      </c>
      <c r="L601" s="3">
        <v>280</v>
      </c>
      <c r="M601" s="3">
        <v>3</v>
      </c>
      <c r="N601" s="3">
        <v>4</v>
      </c>
      <c r="S601">
        <v>0</v>
      </c>
      <c r="T601">
        <v>3.0999999998603021</v>
      </c>
      <c r="U601">
        <v>0.1000000000349246</v>
      </c>
      <c r="W601" s="3">
        <v>280</v>
      </c>
      <c r="X601" s="3">
        <v>3</v>
      </c>
      <c r="Y601" s="3">
        <v>4</v>
      </c>
      <c r="Z601">
        <v>306.48</v>
      </c>
      <c r="AA601">
        <v>1.585E-2</v>
      </c>
      <c r="AB601">
        <v>0</v>
      </c>
      <c r="AC601">
        <v>0</v>
      </c>
      <c r="AD601">
        <v>110.8</v>
      </c>
      <c r="AE601">
        <v>1121357.8999999999</v>
      </c>
      <c r="AF601">
        <v>311330.40000000002</v>
      </c>
    </row>
    <row r="602" spans="1:32" x14ac:dyDescent="0.25">
      <c r="A602" s="3">
        <v>280</v>
      </c>
      <c r="B602" s="3">
        <v>3</v>
      </c>
      <c r="C602" s="3">
        <v>5</v>
      </c>
      <c r="H602">
        <v>0</v>
      </c>
      <c r="I602">
        <v>2.6086098799089219E-4</v>
      </c>
      <c r="J602">
        <v>2.785799333161113E-5</v>
      </c>
      <c r="L602" s="3">
        <v>280</v>
      </c>
      <c r="M602" s="3">
        <v>3</v>
      </c>
      <c r="N602" s="3">
        <v>5</v>
      </c>
      <c r="S602">
        <v>0</v>
      </c>
      <c r="T602">
        <v>3.1999999999534339</v>
      </c>
      <c r="U602">
        <v>-0.1000000000349246</v>
      </c>
      <c r="W602" s="3">
        <v>280</v>
      </c>
      <c r="X602" s="3">
        <v>3</v>
      </c>
      <c r="Y602" s="3">
        <v>5</v>
      </c>
      <c r="Z602">
        <v>327.27</v>
      </c>
      <c r="AA602">
        <v>1.585E-2</v>
      </c>
      <c r="AB602">
        <v>0</v>
      </c>
      <c r="AC602">
        <v>0</v>
      </c>
      <c r="AD602">
        <v>114</v>
      </c>
      <c r="AE602">
        <v>1226710.2</v>
      </c>
      <c r="AF602">
        <v>358963.3</v>
      </c>
    </row>
    <row r="603" spans="1:32" x14ac:dyDescent="0.25">
      <c r="A603" s="3">
        <v>280</v>
      </c>
      <c r="B603" s="3">
        <v>3</v>
      </c>
      <c r="C603" s="3">
        <v>6</v>
      </c>
      <c r="H603">
        <v>0</v>
      </c>
      <c r="I603">
        <v>2.157360396581512E-4</v>
      </c>
      <c r="J603">
        <v>4.8057942502910892E-5</v>
      </c>
      <c r="L603" s="3">
        <v>280</v>
      </c>
      <c r="M603" s="3">
        <v>3</v>
      </c>
      <c r="N603" s="3">
        <v>6</v>
      </c>
      <c r="S603">
        <v>0</v>
      </c>
      <c r="T603">
        <v>2.8999999999068682</v>
      </c>
      <c r="U603">
        <v>-0.2000000000116415</v>
      </c>
      <c r="W603" s="3">
        <v>280</v>
      </c>
      <c r="X603" s="3">
        <v>3</v>
      </c>
      <c r="Y603" s="3">
        <v>6</v>
      </c>
      <c r="Z603">
        <v>350.18</v>
      </c>
      <c r="AA603">
        <v>1.585E-2</v>
      </c>
      <c r="AB603">
        <v>0</v>
      </c>
      <c r="AC603">
        <v>0</v>
      </c>
      <c r="AD603">
        <v>117.7</v>
      </c>
      <c r="AE603">
        <v>1344238.2</v>
      </c>
      <c r="AF603">
        <v>416164.1</v>
      </c>
    </row>
    <row r="604" spans="1:32" x14ac:dyDescent="0.25">
      <c r="A604" s="3">
        <v>280</v>
      </c>
      <c r="B604" s="3">
        <v>3</v>
      </c>
      <c r="C604" s="3">
        <v>7</v>
      </c>
      <c r="H604">
        <v>0</v>
      </c>
      <c r="I604">
        <v>2.0324920961463611E-4</v>
      </c>
      <c r="J604">
        <v>1.029861026433649E-4</v>
      </c>
      <c r="L604" s="3">
        <v>280</v>
      </c>
      <c r="M604" s="3">
        <v>3</v>
      </c>
      <c r="N604" s="3">
        <v>7</v>
      </c>
      <c r="S604">
        <v>0</v>
      </c>
      <c r="T604">
        <v>3</v>
      </c>
      <c r="U604">
        <v>-0.5</v>
      </c>
      <c r="W604" s="3">
        <v>280</v>
      </c>
      <c r="X604" s="3">
        <v>3</v>
      </c>
      <c r="Y604" s="3">
        <v>7</v>
      </c>
      <c r="Z604">
        <v>375.54</v>
      </c>
      <c r="AA604">
        <v>1.585E-2</v>
      </c>
      <c r="AB604">
        <v>0</v>
      </c>
      <c r="AC604">
        <v>0</v>
      </c>
      <c r="AD604">
        <v>122</v>
      </c>
      <c r="AE604">
        <v>1476023.5</v>
      </c>
      <c r="AF604">
        <v>485501.9</v>
      </c>
    </row>
    <row r="605" spans="1:32" x14ac:dyDescent="0.25">
      <c r="A605" s="3">
        <v>280</v>
      </c>
      <c r="B605" s="3">
        <v>3</v>
      </c>
      <c r="C605" s="3">
        <v>8</v>
      </c>
      <c r="H605">
        <v>0</v>
      </c>
      <c r="I605">
        <v>1.3546265854539911E-4</v>
      </c>
      <c r="J605">
        <v>1.5777103881593239E-4</v>
      </c>
      <c r="L605" s="3">
        <v>280</v>
      </c>
      <c r="M605" s="3">
        <v>3</v>
      </c>
      <c r="N605" s="3">
        <v>8</v>
      </c>
      <c r="S605">
        <v>0</v>
      </c>
      <c r="T605">
        <v>2.1999999999534339</v>
      </c>
      <c r="U605">
        <v>-0.90000000002328306</v>
      </c>
      <c r="W605" s="3">
        <v>280</v>
      </c>
      <c r="X605" s="3">
        <v>3</v>
      </c>
      <c r="Y605" s="3">
        <v>8</v>
      </c>
      <c r="Z605">
        <v>403.71</v>
      </c>
      <c r="AA605">
        <v>1.585E-2</v>
      </c>
      <c r="AB605">
        <v>0</v>
      </c>
      <c r="AC605">
        <v>0</v>
      </c>
      <c r="AD605">
        <v>126.9</v>
      </c>
      <c r="AE605">
        <v>1624066</v>
      </c>
      <c r="AF605">
        <v>570446</v>
      </c>
    </row>
    <row r="606" spans="1:32" x14ac:dyDescent="0.25">
      <c r="A606" s="3">
        <v>280</v>
      </c>
      <c r="B606" s="3">
        <v>3</v>
      </c>
      <c r="C606" s="3">
        <v>9</v>
      </c>
      <c r="H606">
        <v>0</v>
      </c>
      <c r="I606">
        <v>9.7453236837315727E-5</v>
      </c>
      <c r="J606">
        <v>2.8195373889926999E-4</v>
      </c>
      <c r="L606" s="3">
        <v>280</v>
      </c>
      <c r="M606" s="3">
        <v>3</v>
      </c>
      <c r="N606" s="3">
        <v>9</v>
      </c>
      <c r="S606">
        <v>0</v>
      </c>
      <c r="T606">
        <v>3.299999999813735</v>
      </c>
      <c r="U606">
        <v>-1.799999999930151</v>
      </c>
      <c r="W606" s="3">
        <v>280</v>
      </c>
      <c r="X606" s="3">
        <v>3</v>
      </c>
      <c r="Y606" s="3">
        <v>9</v>
      </c>
      <c r="Z606">
        <v>435.13</v>
      </c>
      <c r="AA606">
        <v>1.585E-2</v>
      </c>
      <c r="AB606">
        <v>46.5</v>
      </c>
      <c r="AC606">
        <v>4.5</v>
      </c>
      <c r="AD606">
        <v>164.5</v>
      </c>
      <c r="AE606">
        <v>3386242.8</v>
      </c>
      <c r="AF606">
        <v>638400.80000000005</v>
      </c>
    </row>
    <row r="607" spans="1:32" x14ac:dyDescent="0.25">
      <c r="A607" s="3">
        <v>280</v>
      </c>
      <c r="B607" s="3">
        <v>3</v>
      </c>
      <c r="C607" s="3">
        <v>10</v>
      </c>
      <c r="H607">
        <v>0</v>
      </c>
      <c r="I607">
        <v>8.932500306508523E-5</v>
      </c>
      <c r="J607">
        <v>4.4408315013741358E-4</v>
      </c>
      <c r="L607" s="3">
        <v>280</v>
      </c>
      <c r="M607" s="3">
        <v>3</v>
      </c>
      <c r="N607" s="3">
        <v>10</v>
      </c>
      <c r="S607">
        <v>0</v>
      </c>
      <c r="T607">
        <v>3.700000000186265</v>
      </c>
      <c r="U607">
        <v>-3.7000000000698492</v>
      </c>
      <c r="W607" s="3">
        <v>280</v>
      </c>
      <c r="X607" s="3">
        <v>3</v>
      </c>
      <c r="Y607" s="3">
        <v>10</v>
      </c>
      <c r="Z607">
        <v>489.05</v>
      </c>
      <c r="AA607">
        <v>1.5800000000000002E-2</v>
      </c>
      <c r="AB607">
        <v>52</v>
      </c>
      <c r="AC607">
        <v>5.0999999999999996</v>
      </c>
      <c r="AD607">
        <v>184</v>
      </c>
      <c r="AE607">
        <v>4142181</v>
      </c>
      <c r="AF607">
        <v>833173.6</v>
      </c>
    </row>
    <row r="608" spans="1:32" x14ac:dyDescent="0.25">
      <c r="A608" s="3">
        <v>280</v>
      </c>
      <c r="B608" s="3">
        <v>3</v>
      </c>
      <c r="C608" s="3">
        <v>11</v>
      </c>
      <c r="H608">
        <v>0</v>
      </c>
      <c r="I608">
        <v>3.8635028971726432E-4</v>
      </c>
      <c r="J608">
        <v>4.7842857264742517E-5</v>
      </c>
      <c r="L608" s="3">
        <v>280</v>
      </c>
      <c r="M608" s="3">
        <v>3</v>
      </c>
      <c r="N608" s="3">
        <v>11</v>
      </c>
      <c r="S608">
        <v>0</v>
      </c>
      <c r="T608">
        <v>-8.5</v>
      </c>
      <c r="U608">
        <v>-6</v>
      </c>
      <c r="W608" s="3">
        <v>280</v>
      </c>
      <c r="X608" s="3">
        <v>3</v>
      </c>
      <c r="Y608" s="3">
        <v>11</v>
      </c>
      <c r="Z608">
        <v>555.42999999999995</v>
      </c>
      <c r="AA608">
        <v>1.5740000000000001E-2</v>
      </c>
      <c r="AB608">
        <v>13385.3</v>
      </c>
      <c r="AC608">
        <v>5.0999999999999996</v>
      </c>
      <c r="AD608">
        <v>394.7</v>
      </c>
      <c r="AE608">
        <v>2200067.5</v>
      </c>
      <c r="AF608">
        <v>12541051</v>
      </c>
    </row>
    <row r="609" spans="1:32" x14ac:dyDescent="0.25">
      <c r="A609" s="3">
        <v>280</v>
      </c>
      <c r="B609" s="3">
        <v>3</v>
      </c>
      <c r="C609" s="3">
        <v>12</v>
      </c>
      <c r="H609">
        <v>0</v>
      </c>
      <c r="I609">
        <v>1.608912661072636E-3</v>
      </c>
      <c r="J609">
        <v>0</v>
      </c>
      <c r="L609" s="3">
        <v>280</v>
      </c>
      <c r="M609" s="3">
        <v>3</v>
      </c>
      <c r="N609" s="3">
        <v>12</v>
      </c>
      <c r="S609">
        <v>0</v>
      </c>
      <c r="T609">
        <v>-0.90000000000145519</v>
      </c>
      <c r="U609">
        <v>0</v>
      </c>
      <c r="W609" s="3">
        <v>280</v>
      </c>
      <c r="X609" s="3">
        <v>3</v>
      </c>
      <c r="Y609" s="3">
        <v>12</v>
      </c>
      <c r="Z609">
        <v>91.27</v>
      </c>
      <c r="AA609">
        <v>1.5679999999999999E-2</v>
      </c>
      <c r="AB609">
        <v>52</v>
      </c>
      <c r="AC609">
        <v>5.0999999999999996</v>
      </c>
      <c r="AD609">
        <v>86.7</v>
      </c>
      <c r="AE609">
        <v>55937.5</v>
      </c>
      <c r="AF609">
        <v>3954.4</v>
      </c>
    </row>
    <row r="610" spans="1:32" x14ac:dyDescent="0.25">
      <c r="A610" s="3">
        <v>280</v>
      </c>
      <c r="B610" s="3">
        <v>3</v>
      </c>
      <c r="C610" s="3">
        <v>13</v>
      </c>
      <c r="H610">
        <v>0</v>
      </c>
      <c r="I610">
        <v>2.8404836052601128E-3</v>
      </c>
      <c r="J610">
        <v>3.6713415082004468E-3</v>
      </c>
      <c r="L610" s="3">
        <v>280</v>
      </c>
      <c r="M610" s="3">
        <v>3</v>
      </c>
      <c r="N610" s="3">
        <v>13</v>
      </c>
      <c r="S610">
        <v>0</v>
      </c>
      <c r="T610">
        <v>-1.100000000005821</v>
      </c>
      <c r="U610">
        <v>-0.1000000000003638</v>
      </c>
      <c r="W610" s="3">
        <v>280</v>
      </c>
      <c r="X610" s="3">
        <v>3</v>
      </c>
      <c r="Y610" s="3">
        <v>13</v>
      </c>
      <c r="Z610">
        <v>89.46</v>
      </c>
      <c r="AA610">
        <v>1.5630000000000002E-2</v>
      </c>
      <c r="AB610">
        <v>52</v>
      </c>
      <c r="AC610">
        <v>5.0999999999999996</v>
      </c>
      <c r="AD610">
        <v>86.3</v>
      </c>
      <c r="AE610">
        <v>38724.699999999997</v>
      </c>
      <c r="AF610">
        <v>2723.7</v>
      </c>
    </row>
    <row r="611" spans="1:32" x14ac:dyDescent="0.25">
      <c r="A611" s="3">
        <v>280</v>
      </c>
      <c r="B611" s="3">
        <v>3</v>
      </c>
      <c r="C611" s="3">
        <v>14</v>
      </c>
      <c r="H611">
        <v>0</v>
      </c>
      <c r="I611">
        <v>1.347539998238345E-4</v>
      </c>
      <c r="J611">
        <v>1.2784454103812669E-2</v>
      </c>
      <c r="L611" s="3">
        <v>280</v>
      </c>
      <c r="M611" s="3">
        <v>3</v>
      </c>
      <c r="N611" s="3">
        <v>14</v>
      </c>
      <c r="S611">
        <v>0</v>
      </c>
      <c r="T611">
        <v>9.9999999991268851E-2</v>
      </c>
      <c r="U611">
        <v>-0.1000000000000227</v>
      </c>
      <c r="W611" s="3">
        <v>280</v>
      </c>
      <c r="X611" s="3">
        <v>3</v>
      </c>
      <c r="Y611" s="3">
        <v>14</v>
      </c>
      <c r="Z611">
        <v>87.41</v>
      </c>
      <c r="AA611">
        <v>1.5570000000000001E-2</v>
      </c>
      <c r="AB611">
        <v>51.2</v>
      </c>
      <c r="AC611">
        <v>5</v>
      </c>
      <c r="AD611">
        <v>86.5</v>
      </c>
      <c r="AE611">
        <v>74209.399999999994</v>
      </c>
      <c r="AF611">
        <v>782.1</v>
      </c>
    </row>
    <row r="612" spans="1:32" x14ac:dyDescent="0.25">
      <c r="A612" s="3">
        <v>280</v>
      </c>
      <c r="B612" s="3">
        <v>4</v>
      </c>
      <c r="C612" s="3">
        <v>1</v>
      </c>
      <c r="D612">
        <v>0</v>
      </c>
      <c r="E612">
        <v>6.451612903225544E-2</v>
      </c>
      <c r="H612">
        <v>0</v>
      </c>
      <c r="L612" s="3">
        <v>280</v>
      </c>
      <c r="M612" s="3">
        <v>4</v>
      </c>
      <c r="N612" s="3">
        <v>1</v>
      </c>
      <c r="O612">
        <v>0</v>
      </c>
      <c r="P612">
        <v>9.9999999999995925E-6</v>
      </c>
      <c r="S612">
        <v>0</v>
      </c>
      <c r="T612">
        <v>0</v>
      </c>
      <c r="U612">
        <v>0</v>
      </c>
      <c r="W612" s="3">
        <v>280</v>
      </c>
      <c r="X612" s="3">
        <v>4</v>
      </c>
      <c r="Y612" s="3">
        <v>1</v>
      </c>
      <c r="Z612">
        <v>85</v>
      </c>
      <c r="AA612">
        <v>1.5509999999999999E-2</v>
      </c>
      <c r="AB612">
        <v>0</v>
      </c>
      <c r="AC612">
        <v>0</v>
      </c>
      <c r="AD612">
        <v>85</v>
      </c>
      <c r="AE612">
        <v>0</v>
      </c>
      <c r="AF612">
        <v>0</v>
      </c>
    </row>
    <row r="613" spans="1:32" x14ac:dyDescent="0.25">
      <c r="A613" s="3">
        <v>280</v>
      </c>
      <c r="B613" s="3">
        <v>4</v>
      </c>
      <c r="C613" s="3">
        <v>2</v>
      </c>
      <c r="H613">
        <v>0</v>
      </c>
      <c r="L613" s="3">
        <v>280</v>
      </c>
      <c r="M613" s="3">
        <v>4</v>
      </c>
      <c r="N613" s="3">
        <v>2</v>
      </c>
      <c r="S613">
        <v>0</v>
      </c>
      <c r="T613">
        <v>0</v>
      </c>
      <c r="U613">
        <v>0</v>
      </c>
      <c r="W613" s="3">
        <v>280</v>
      </c>
      <c r="X613" s="3">
        <v>4</v>
      </c>
      <c r="Y613" s="3">
        <v>2</v>
      </c>
      <c r="Z613">
        <v>85</v>
      </c>
      <c r="AA613">
        <v>1.5509999999999999E-2</v>
      </c>
      <c r="AB613">
        <v>0</v>
      </c>
      <c r="AC613">
        <v>0</v>
      </c>
      <c r="AD613">
        <v>85</v>
      </c>
      <c r="AE613">
        <v>0</v>
      </c>
      <c r="AF613">
        <v>0</v>
      </c>
    </row>
    <row r="614" spans="1:32" x14ac:dyDescent="0.25">
      <c r="A614" s="3">
        <v>280</v>
      </c>
      <c r="B614" s="3">
        <v>5</v>
      </c>
      <c r="C614" s="3">
        <v>1</v>
      </c>
      <c r="D614">
        <v>9.250693802026741E-3</v>
      </c>
      <c r="E614">
        <v>0.128205128205123</v>
      </c>
      <c r="L614" s="3">
        <v>280</v>
      </c>
      <c r="M614" s="3">
        <v>5</v>
      </c>
      <c r="N614" s="3">
        <v>1</v>
      </c>
      <c r="O614">
        <v>-9.9999999999909051E-3</v>
      </c>
      <c r="P614">
        <v>-1.9999999999999188E-5</v>
      </c>
      <c r="W614" s="3">
        <v>280</v>
      </c>
      <c r="X614" s="3">
        <v>5</v>
      </c>
      <c r="Y614" s="3">
        <v>1</v>
      </c>
      <c r="Z614">
        <v>108.09</v>
      </c>
      <c r="AA614">
        <v>1.558E-2</v>
      </c>
    </row>
    <row r="615" spans="1:32" x14ac:dyDescent="0.25">
      <c r="A615" s="3">
        <v>280</v>
      </c>
      <c r="B615" s="3">
        <v>5</v>
      </c>
      <c r="C615" s="3">
        <v>2</v>
      </c>
      <c r="L615" s="3">
        <v>280</v>
      </c>
      <c r="M615" s="3">
        <v>5</v>
      </c>
      <c r="N615" s="3">
        <v>2</v>
      </c>
      <c r="W615" s="3">
        <v>280</v>
      </c>
      <c r="X615" s="3">
        <v>5</v>
      </c>
      <c r="Y615" s="3">
        <v>2</v>
      </c>
      <c r="Z615">
        <v>107.68</v>
      </c>
      <c r="AA615">
        <v>1.558E-2</v>
      </c>
    </row>
    <row r="616" spans="1:32" x14ac:dyDescent="0.25">
      <c r="A616" s="3">
        <v>300</v>
      </c>
      <c r="B616" s="3">
        <v>1</v>
      </c>
      <c r="C616" s="3">
        <v>1</v>
      </c>
      <c r="D616">
        <v>1.1764705882358961E-2</v>
      </c>
      <c r="E616">
        <v>6.451612903225544E-2</v>
      </c>
      <c r="L616" s="3">
        <v>300</v>
      </c>
      <c r="M616" s="3">
        <v>1</v>
      </c>
      <c r="N616" s="3">
        <v>1</v>
      </c>
      <c r="O616">
        <v>1.0000000000005119E-2</v>
      </c>
      <c r="P616">
        <v>9.9999999999995925E-6</v>
      </c>
      <c r="W616" s="3">
        <v>300</v>
      </c>
      <c r="X616" s="3">
        <v>1</v>
      </c>
      <c r="Y616" s="3">
        <v>1</v>
      </c>
      <c r="Z616">
        <v>85.01</v>
      </c>
      <c r="AA616">
        <v>1.5509999999999999E-2</v>
      </c>
      <c r="AB616">
        <v>1</v>
      </c>
      <c r="AC616">
        <v>0</v>
      </c>
    </row>
    <row r="617" spans="1:32" x14ac:dyDescent="0.25">
      <c r="A617" s="3">
        <v>300</v>
      </c>
      <c r="B617" s="3">
        <v>1</v>
      </c>
      <c r="C617" s="3">
        <v>2</v>
      </c>
      <c r="L617" s="3">
        <v>300</v>
      </c>
      <c r="M617" s="3">
        <v>1</v>
      </c>
      <c r="N617" s="3">
        <v>2</v>
      </c>
      <c r="W617" s="3">
        <v>300</v>
      </c>
      <c r="X617" s="3">
        <v>1</v>
      </c>
      <c r="Y617" s="3">
        <v>2</v>
      </c>
      <c r="Z617">
        <v>85.03</v>
      </c>
      <c r="AA617">
        <v>1.5509999999999999E-2</v>
      </c>
      <c r="AB617">
        <v>1</v>
      </c>
      <c r="AC617">
        <v>0</v>
      </c>
    </row>
    <row r="618" spans="1:32" x14ac:dyDescent="0.25">
      <c r="A618" s="3">
        <v>300</v>
      </c>
      <c r="B618" s="3">
        <v>1</v>
      </c>
      <c r="C618" s="3">
        <v>3</v>
      </c>
      <c r="L618" s="3">
        <v>300</v>
      </c>
      <c r="M618" s="3">
        <v>1</v>
      </c>
      <c r="N618" s="3">
        <v>3</v>
      </c>
      <c r="W618" s="3">
        <v>300</v>
      </c>
      <c r="X618" s="3">
        <v>1</v>
      </c>
      <c r="Y618" s="3">
        <v>3</v>
      </c>
      <c r="Z618">
        <v>85.03</v>
      </c>
      <c r="AA618">
        <v>1.5509999999999999E-2</v>
      </c>
      <c r="AB618">
        <v>1</v>
      </c>
      <c r="AC618">
        <v>0</v>
      </c>
    </row>
    <row r="619" spans="1:32" x14ac:dyDescent="0.25">
      <c r="A619" s="3">
        <v>300</v>
      </c>
      <c r="B619" s="3">
        <v>1</v>
      </c>
      <c r="C619" s="3">
        <v>4</v>
      </c>
      <c r="L619" s="3">
        <v>300</v>
      </c>
      <c r="M619" s="3">
        <v>1</v>
      </c>
      <c r="N619" s="3">
        <v>4</v>
      </c>
      <c r="W619" s="3">
        <v>300</v>
      </c>
      <c r="X619" s="3">
        <v>1</v>
      </c>
      <c r="Y619" s="3">
        <v>4</v>
      </c>
      <c r="Z619">
        <v>85.04</v>
      </c>
      <c r="AA619">
        <v>1.5509999999999999E-2</v>
      </c>
      <c r="AB619">
        <v>1</v>
      </c>
      <c r="AC619">
        <v>0</v>
      </c>
    </row>
    <row r="620" spans="1:32" x14ac:dyDescent="0.25">
      <c r="A620" s="3">
        <v>300</v>
      </c>
      <c r="B620" s="3">
        <v>1</v>
      </c>
      <c r="C620" s="3">
        <v>5</v>
      </c>
      <c r="L620" s="3">
        <v>300</v>
      </c>
      <c r="M620" s="3">
        <v>1</v>
      </c>
      <c r="N620" s="3">
        <v>5</v>
      </c>
      <c r="W620" s="3">
        <v>300</v>
      </c>
      <c r="X620" s="3">
        <v>1</v>
      </c>
      <c r="Y620" s="3">
        <v>5</v>
      </c>
      <c r="Z620">
        <v>85.05</v>
      </c>
      <c r="AA620">
        <v>1.5509999999999999E-2</v>
      </c>
      <c r="AB620">
        <v>1</v>
      </c>
      <c r="AC620">
        <v>0</v>
      </c>
    </row>
    <row r="621" spans="1:32" x14ac:dyDescent="0.25">
      <c r="A621" s="3">
        <v>300</v>
      </c>
      <c r="B621" s="3">
        <v>1</v>
      </c>
      <c r="C621" s="3">
        <v>6</v>
      </c>
      <c r="L621" s="3">
        <v>300</v>
      </c>
      <c r="M621" s="3">
        <v>1</v>
      </c>
      <c r="N621" s="3">
        <v>6</v>
      </c>
      <c r="W621" s="3">
        <v>300</v>
      </c>
      <c r="X621" s="3">
        <v>1</v>
      </c>
      <c r="Y621" s="3">
        <v>6</v>
      </c>
      <c r="Z621">
        <v>85.06</v>
      </c>
      <c r="AA621">
        <v>1.5509999999999999E-2</v>
      </c>
      <c r="AB621">
        <v>1</v>
      </c>
      <c r="AC621">
        <v>0</v>
      </c>
    </row>
    <row r="622" spans="1:32" x14ac:dyDescent="0.25">
      <c r="A622" s="3">
        <v>300</v>
      </c>
      <c r="B622" s="3">
        <v>1</v>
      </c>
      <c r="C622" s="3">
        <v>7</v>
      </c>
      <c r="L622" s="3">
        <v>300</v>
      </c>
      <c r="M622" s="3">
        <v>1</v>
      </c>
      <c r="N622" s="3">
        <v>7</v>
      </c>
      <c r="W622" s="3">
        <v>300</v>
      </c>
      <c r="X622" s="3">
        <v>1</v>
      </c>
      <c r="Y622" s="3">
        <v>7</v>
      </c>
      <c r="Z622">
        <v>85.06</v>
      </c>
      <c r="AA622">
        <v>1.5509999999999999E-2</v>
      </c>
      <c r="AB622">
        <v>1</v>
      </c>
      <c r="AC622">
        <v>0</v>
      </c>
    </row>
    <row r="623" spans="1:32" x14ac:dyDescent="0.25">
      <c r="A623" s="3">
        <v>300</v>
      </c>
      <c r="B623" s="3">
        <v>1</v>
      </c>
      <c r="C623" s="3">
        <v>8</v>
      </c>
      <c r="L623" s="3">
        <v>300</v>
      </c>
      <c r="M623" s="3">
        <v>1</v>
      </c>
      <c r="N623" s="3">
        <v>8</v>
      </c>
      <c r="W623" s="3">
        <v>300</v>
      </c>
      <c r="X623" s="3">
        <v>1</v>
      </c>
      <c r="Y623" s="3">
        <v>8</v>
      </c>
      <c r="Z623">
        <v>85.07</v>
      </c>
      <c r="AA623">
        <v>1.5509999999999999E-2</v>
      </c>
      <c r="AB623">
        <v>1</v>
      </c>
      <c r="AC623">
        <v>0</v>
      </c>
    </row>
    <row r="624" spans="1:32" x14ac:dyDescent="0.25">
      <c r="A624" s="3">
        <v>300</v>
      </c>
      <c r="B624" s="3">
        <v>1</v>
      </c>
      <c r="C624" s="3">
        <v>9</v>
      </c>
      <c r="L624" s="3">
        <v>300</v>
      </c>
      <c r="M624" s="3">
        <v>1</v>
      </c>
      <c r="N624" s="3">
        <v>9</v>
      </c>
      <c r="W624" s="3">
        <v>300</v>
      </c>
      <c r="X624" s="3">
        <v>1</v>
      </c>
      <c r="Y624" s="3">
        <v>9</v>
      </c>
      <c r="Z624">
        <v>85.07</v>
      </c>
      <c r="AA624">
        <v>1.5509999999999999E-2</v>
      </c>
      <c r="AB624">
        <v>1</v>
      </c>
      <c r="AC624">
        <v>0</v>
      </c>
    </row>
    <row r="625" spans="1:32" x14ac:dyDescent="0.25">
      <c r="A625" s="3">
        <v>300</v>
      </c>
      <c r="B625" s="3">
        <v>1</v>
      </c>
      <c r="C625" s="3">
        <v>10</v>
      </c>
      <c r="L625" s="3">
        <v>300</v>
      </c>
      <c r="M625" s="3">
        <v>1</v>
      </c>
      <c r="N625" s="3">
        <v>10</v>
      </c>
      <c r="W625" s="3">
        <v>300</v>
      </c>
      <c r="X625" s="3">
        <v>1</v>
      </c>
      <c r="Y625" s="3">
        <v>10</v>
      </c>
      <c r="Z625">
        <v>85.07</v>
      </c>
      <c r="AA625">
        <v>1.5509999999999999E-2</v>
      </c>
      <c r="AB625">
        <v>1</v>
      </c>
      <c r="AC625">
        <v>0</v>
      </c>
    </row>
    <row r="626" spans="1:32" x14ac:dyDescent="0.25">
      <c r="A626" s="3">
        <v>300</v>
      </c>
      <c r="B626" s="3">
        <v>2</v>
      </c>
      <c r="C626" s="3">
        <v>1</v>
      </c>
      <c r="D626">
        <v>2.1621621621617321E-2</v>
      </c>
      <c r="E626">
        <v>0.1898734177215112</v>
      </c>
      <c r="H626">
        <v>0</v>
      </c>
      <c r="I626">
        <v>1.5571374207673389E-4</v>
      </c>
      <c r="J626">
        <v>2.780835924193215E-5</v>
      </c>
      <c r="L626" s="3">
        <v>300</v>
      </c>
      <c r="M626" s="3">
        <v>2</v>
      </c>
      <c r="N626" s="3">
        <v>1</v>
      </c>
      <c r="O626">
        <v>3.9999999999992042E-2</v>
      </c>
      <c r="P626">
        <v>2.9999999999998781E-5</v>
      </c>
      <c r="S626">
        <v>0</v>
      </c>
      <c r="T626">
        <v>2.5999999998603021</v>
      </c>
      <c r="U626">
        <v>-9.9999999976716936E-2</v>
      </c>
      <c r="W626" s="3">
        <v>300</v>
      </c>
      <c r="X626" s="3">
        <v>2</v>
      </c>
      <c r="Y626" s="3">
        <v>1</v>
      </c>
      <c r="Z626">
        <v>185.04</v>
      </c>
      <c r="AA626">
        <v>1.583E-2</v>
      </c>
      <c r="AB626">
        <v>0.1</v>
      </c>
      <c r="AC626">
        <v>0</v>
      </c>
      <c r="AD626">
        <v>94</v>
      </c>
      <c r="AE626">
        <v>1669733.2</v>
      </c>
      <c r="AF626">
        <v>359604</v>
      </c>
    </row>
    <row r="627" spans="1:32" x14ac:dyDescent="0.25">
      <c r="A627" s="3">
        <v>300</v>
      </c>
      <c r="B627" s="3">
        <v>2</v>
      </c>
      <c r="C627" s="3">
        <v>2</v>
      </c>
      <c r="H627">
        <v>0</v>
      </c>
      <c r="I627">
        <v>1.973377304377495E-4</v>
      </c>
      <c r="J627">
        <v>5.8599266569305643E-5</v>
      </c>
      <c r="L627" s="3">
        <v>300</v>
      </c>
      <c r="M627" s="3">
        <v>2</v>
      </c>
      <c r="N627" s="3">
        <v>2</v>
      </c>
      <c r="S627">
        <v>0</v>
      </c>
      <c r="T627">
        <v>4.2999999998137346</v>
      </c>
      <c r="U627">
        <v>0.29999999998835852</v>
      </c>
      <c r="W627" s="3">
        <v>300</v>
      </c>
      <c r="X627" s="3">
        <v>2</v>
      </c>
      <c r="Y627" s="3">
        <v>2</v>
      </c>
      <c r="Z627">
        <v>216.28</v>
      </c>
      <c r="AA627">
        <v>1.584E-2</v>
      </c>
      <c r="AB627">
        <v>0.1</v>
      </c>
      <c r="AC627">
        <v>0</v>
      </c>
      <c r="AD627">
        <v>97.9</v>
      </c>
      <c r="AE627">
        <v>2179009.7999999998</v>
      </c>
      <c r="AF627">
        <v>511952.1</v>
      </c>
    </row>
    <row r="628" spans="1:32" x14ac:dyDescent="0.25">
      <c r="A628" s="3">
        <v>300</v>
      </c>
      <c r="B628" s="3">
        <v>3</v>
      </c>
      <c r="C628" s="3">
        <v>1</v>
      </c>
      <c r="D628">
        <v>1.16913484021939E-2</v>
      </c>
      <c r="E628">
        <v>0.31645569620251868</v>
      </c>
      <c r="H628">
        <v>0</v>
      </c>
      <c r="I628">
        <v>1.8578037044335519E-4</v>
      </c>
      <c r="J628">
        <v>1.4182110590602579E-4</v>
      </c>
      <c r="L628" s="3">
        <v>300</v>
      </c>
      <c r="M628" s="3">
        <v>3</v>
      </c>
      <c r="N628" s="3">
        <v>1</v>
      </c>
      <c r="O628">
        <v>-3.0000000000029559E-2</v>
      </c>
      <c r="P628">
        <v>4.9999999999997963E-5</v>
      </c>
      <c r="S628">
        <v>0</v>
      </c>
      <c r="T628">
        <v>1.5999999999767169</v>
      </c>
      <c r="U628">
        <v>0.29999999998835852</v>
      </c>
      <c r="W628" s="3">
        <v>300</v>
      </c>
      <c r="X628" s="3">
        <v>3</v>
      </c>
      <c r="Y628" s="3">
        <v>1</v>
      </c>
      <c r="Z628">
        <v>256.57</v>
      </c>
      <c r="AA628">
        <v>1.585E-2</v>
      </c>
      <c r="AB628">
        <v>0</v>
      </c>
      <c r="AC628">
        <v>0</v>
      </c>
      <c r="AD628">
        <v>104.1</v>
      </c>
      <c r="AE628">
        <v>861233.6</v>
      </c>
      <c r="AF628">
        <v>211534.4</v>
      </c>
    </row>
    <row r="629" spans="1:32" x14ac:dyDescent="0.25">
      <c r="A629" s="3">
        <v>300</v>
      </c>
      <c r="B629" s="3">
        <v>3</v>
      </c>
      <c r="C629" s="3">
        <v>2</v>
      </c>
      <c r="H629">
        <v>0</v>
      </c>
      <c r="I629">
        <v>1.5950962911778099E-4</v>
      </c>
      <c r="J629">
        <v>4.1573109849800829E-5</v>
      </c>
      <c r="L629" s="3">
        <v>300</v>
      </c>
      <c r="M629" s="3">
        <v>3</v>
      </c>
      <c r="N629" s="3">
        <v>2</v>
      </c>
      <c r="S629">
        <v>0</v>
      </c>
      <c r="T629">
        <v>1.5</v>
      </c>
      <c r="U629">
        <v>0.10000000000582079</v>
      </c>
      <c r="W629" s="3">
        <v>300</v>
      </c>
      <c r="X629" s="3">
        <v>3</v>
      </c>
      <c r="Y629" s="3">
        <v>2</v>
      </c>
      <c r="Z629">
        <v>272.31</v>
      </c>
      <c r="AA629">
        <v>1.585E-2</v>
      </c>
      <c r="AB629">
        <v>0</v>
      </c>
      <c r="AC629">
        <v>0</v>
      </c>
      <c r="AD629">
        <v>106.4</v>
      </c>
      <c r="AE629">
        <v>940383.6</v>
      </c>
      <c r="AF629">
        <v>240540.2</v>
      </c>
    </row>
    <row r="630" spans="1:32" x14ac:dyDescent="0.25">
      <c r="A630" s="3">
        <v>300</v>
      </c>
      <c r="B630" s="3">
        <v>3</v>
      </c>
      <c r="C630" s="3">
        <v>3</v>
      </c>
      <c r="H630">
        <v>0</v>
      </c>
      <c r="I630">
        <v>1.264739320619153E-4</v>
      </c>
      <c r="J630">
        <v>7.2827112081523234E-5</v>
      </c>
      <c r="L630" s="3">
        <v>300</v>
      </c>
      <c r="M630" s="3">
        <v>3</v>
      </c>
      <c r="N630" s="3">
        <v>3</v>
      </c>
      <c r="S630">
        <v>0</v>
      </c>
      <c r="T630">
        <v>1.299999999930151</v>
      </c>
      <c r="U630">
        <v>0.2000000000116415</v>
      </c>
      <c r="W630" s="3">
        <v>300</v>
      </c>
      <c r="X630" s="3">
        <v>3</v>
      </c>
      <c r="Y630" s="3">
        <v>3</v>
      </c>
      <c r="Z630">
        <v>289.56</v>
      </c>
      <c r="AA630">
        <v>1.585E-2</v>
      </c>
      <c r="AB630">
        <v>0</v>
      </c>
      <c r="AC630">
        <v>0</v>
      </c>
      <c r="AD630">
        <v>109</v>
      </c>
      <c r="AE630">
        <v>1027881.1</v>
      </c>
      <c r="AF630">
        <v>274623.2</v>
      </c>
    </row>
    <row r="631" spans="1:32" x14ac:dyDescent="0.25">
      <c r="A631" s="3">
        <v>300</v>
      </c>
      <c r="B631" s="3">
        <v>3</v>
      </c>
      <c r="C631" s="3">
        <v>4</v>
      </c>
      <c r="H631">
        <v>0</v>
      </c>
      <c r="I631">
        <v>8.0083550269900933E-5</v>
      </c>
      <c r="J631">
        <v>0</v>
      </c>
      <c r="L631" s="3">
        <v>300</v>
      </c>
      <c r="M631" s="3">
        <v>3</v>
      </c>
      <c r="N631" s="3">
        <v>4</v>
      </c>
      <c r="S631">
        <v>0</v>
      </c>
      <c r="T631">
        <v>0.89999999990686774</v>
      </c>
      <c r="U631">
        <v>0</v>
      </c>
      <c r="W631" s="3">
        <v>300</v>
      </c>
      <c r="X631" s="3">
        <v>3</v>
      </c>
      <c r="Y631" s="3">
        <v>4</v>
      </c>
      <c r="Z631">
        <v>308.52</v>
      </c>
      <c r="AA631">
        <v>1.585E-2</v>
      </c>
      <c r="AB631">
        <v>0</v>
      </c>
      <c r="AC631">
        <v>0</v>
      </c>
      <c r="AD631">
        <v>112</v>
      </c>
      <c r="AE631">
        <v>1123827.2</v>
      </c>
      <c r="AF631">
        <v>314972.90000000002</v>
      </c>
    </row>
    <row r="632" spans="1:32" x14ac:dyDescent="0.25">
      <c r="A632" s="3">
        <v>300</v>
      </c>
      <c r="B632" s="3">
        <v>3</v>
      </c>
      <c r="C632" s="3">
        <v>5</v>
      </c>
      <c r="H632">
        <v>0</v>
      </c>
      <c r="I632">
        <v>4.0684472307340907E-5</v>
      </c>
      <c r="J632">
        <v>1.101631571342695E-4</v>
      </c>
      <c r="L632" s="3">
        <v>300</v>
      </c>
      <c r="M632" s="3">
        <v>3</v>
      </c>
      <c r="N632" s="3">
        <v>5</v>
      </c>
      <c r="S632">
        <v>0</v>
      </c>
      <c r="T632">
        <v>0.5</v>
      </c>
      <c r="U632">
        <v>-0.3999999999650754</v>
      </c>
      <c r="W632" s="3">
        <v>300</v>
      </c>
      <c r="X632" s="3">
        <v>3</v>
      </c>
      <c r="Y632" s="3">
        <v>5</v>
      </c>
      <c r="Z632">
        <v>329.38</v>
      </c>
      <c r="AA632">
        <v>1.585E-2</v>
      </c>
      <c r="AB632">
        <v>0</v>
      </c>
      <c r="AC632">
        <v>0</v>
      </c>
      <c r="AD632">
        <v>115.3</v>
      </c>
      <c r="AE632">
        <v>1228970.6000000001</v>
      </c>
      <c r="AF632">
        <v>363097.4</v>
      </c>
    </row>
    <row r="633" spans="1:32" x14ac:dyDescent="0.25">
      <c r="A633" s="3">
        <v>300</v>
      </c>
      <c r="B633" s="3">
        <v>3</v>
      </c>
      <c r="C633" s="3">
        <v>6</v>
      </c>
      <c r="H633">
        <v>0</v>
      </c>
      <c r="I633">
        <v>1.485577715816296E-5</v>
      </c>
      <c r="J633">
        <v>1.9006555837378149E-4</v>
      </c>
      <c r="L633" s="3">
        <v>300</v>
      </c>
      <c r="M633" s="3">
        <v>3</v>
      </c>
      <c r="N633" s="3">
        <v>6</v>
      </c>
      <c r="S633">
        <v>0</v>
      </c>
      <c r="T633">
        <v>-0.20000000018626449</v>
      </c>
      <c r="U633">
        <v>-0.80000000004656613</v>
      </c>
      <c r="W633" s="3">
        <v>300</v>
      </c>
      <c r="X633" s="3">
        <v>3</v>
      </c>
      <c r="Y633" s="3">
        <v>6</v>
      </c>
      <c r="Z633">
        <v>352.4</v>
      </c>
      <c r="AA633">
        <v>1.585E-2</v>
      </c>
      <c r="AB633">
        <v>0</v>
      </c>
      <c r="AC633">
        <v>0</v>
      </c>
      <c r="AD633">
        <v>119.2</v>
      </c>
      <c r="AE633">
        <v>1346277.4</v>
      </c>
      <c r="AF633">
        <v>420906.6</v>
      </c>
    </row>
    <row r="634" spans="1:32" x14ac:dyDescent="0.25">
      <c r="A634" s="3">
        <v>300</v>
      </c>
      <c r="B634" s="3">
        <v>3</v>
      </c>
      <c r="C634" s="3">
        <v>7</v>
      </c>
      <c r="H634">
        <v>0</v>
      </c>
      <c r="I634">
        <v>6.0900433198779538E-5</v>
      </c>
      <c r="J634">
        <v>2.647627644141653E-4</v>
      </c>
      <c r="L634" s="3">
        <v>300</v>
      </c>
      <c r="M634" s="3">
        <v>3</v>
      </c>
      <c r="N634" s="3">
        <v>7</v>
      </c>
      <c r="S634">
        <v>0</v>
      </c>
      <c r="T634">
        <v>-0.89999999990686774</v>
      </c>
      <c r="U634">
        <v>-1.299999999988358</v>
      </c>
      <c r="W634" s="3">
        <v>300</v>
      </c>
      <c r="X634" s="3">
        <v>3</v>
      </c>
      <c r="Y634" s="3">
        <v>7</v>
      </c>
      <c r="Z634">
        <v>377.87</v>
      </c>
      <c r="AA634">
        <v>1.585E-2</v>
      </c>
      <c r="AB634">
        <v>0</v>
      </c>
      <c r="AC634">
        <v>0</v>
      </c>
      <c r="AD634">
        <v>123.5</v>
      </c>
      <c r="AE634">
        <v>1477821.1</v>
      </c>
      <c r="AF634">
        <v>491004.3</v>
      </c>
    </row>
    <row r="635" spans="1:32" x14ac:dyDescent="0.25">
      <c r="A635" s="3">
        <v>300</v>
      </c>
      <c r="B635" s="3">
        <v>3</v>
      </c>
      <c r="C635" s="3">
        <v>8</v>
      </c>
      <c r="H635">
        <v>0</v>
      </c>
      <c r="I635">
        <v>6.7683856573250124E-5</v>
      </c>
      <c r="J635">
        <v>3.4667224115630442E-4</v>
      </c>
      <c r="L635" s="3">
        <v>300</v>
      </c>
      <c r="M635" s="3">
        <v>3</v>
      </c>
      <c r="N635" s="3">
        <v>8</v>
      </c>
      <c r="S635">
        <v>0</v>
      </c>
      <c r="T635">
        <v>-1.0999999998603021</v>
      </c>
      <c r="U635">
        <v>-2</v>
      </c>
      <c r="W635" s="3">
        <v>300</v>
      </c>
      <c r="X635" s="3">
        <v>3</v>
      </c>
      <c r="Y635" s="3">
        <v>8</v>
      </c>
      <c r="Z635">
        <v>406.16</v>
      </c>
      <c r="AA635">
        <v>1.585E-2</v>
      </c>
      <c r="AB635">
        <v>0</v>
      </c>
      <c r="AC635">
        <v>0</v>
      </c>
      <c r="AD635">
        <v>128.6</v>
      </c>
      <c r="AE635">
        <v>1625201.8</v>
      </c>
      <c r="AF635">
        <v>576911.80000000005</v>
      </c>
    </row>
    <row r="636" spans="1:32" x14ac:dyDescent="0.25">
      <c r="A636" s="3">
        <v>300</v>
      </c>
      <c r="B636" s="3">
        <v>3</v>
      </c>
      <c r="C636" s="3">
        <v>9</v>
      </c>
      <c r="H636">
        <v>0</v>
      </c>
      <c r="I636">
        <v>1.183354299413133E-4</v>
      </c>
      <c r="J636">
        <v>3.8794550886346872E-4</v>
      </c>
      <c r="L636" s="3">
        <v>300</v>
      </c>
      <c r="M636" s="3">
        <v>3</v>
      </c>
      <c r="N636" s="3">
        <v>9</v>
      </c>
      <c r="S636">
        <v>0</v>
      </c>
      <c r="T636">
        <v>4</v>
      </c>
      <c r="U636">
        <v>-2.5</v>
      </c>
      <c r="W636" s="3">
        <v>300</v>
      </c>
      <c r="X636" s="3">
        <v>3</v>
      </c>
      <c r="Y636" s="3">
        <v>9</v>
      </c>
      <c r="Z636">
        <v>437.72</v>
      </c>
      <c r="AA636">
        <v>1.585E-2</v>
      </c>
      <c r="AB636">
        <v>45.3</v>
      </c>
      <c r="AC636">
        <v>4.5</v>
      </c>
      <c r="AD636">
        <v>167.5</v>
      </c>
      <c r="AE636">
        <v>3380225.8</v>
      </c>
      <c r="AF636">
        <v>644417.9</v>
      </c>
    </row>
    <row r="637" spans="1:32" x14ac:dyDescent="0.25">
      <c r="A637" s="3">
        <v>300</v>
      </c>
      <c r="B637" s="3">
        <v>3</v>
      </c>
      <c r="C637" s="3">
        <v>10</v>
      </c>
      <c r="H637">
        <v>0</v>
      </c>
      <c r="I637">
        <v>8.4643524401579353E-5</v>
      </c>
      <c r="J637">
        <v>4.045856691737828E-4</v>
      </c>
      <c r="L637" s="3">
        <v>300</v>
      </c>
      <c r="M637" s="3">
        <v>3</v>
      </c>
      <c r="N637" s="3">
        <v>10</v>
      </c>
      <c r="S637">
        <v>0</v>
      </c>
      <c r="T637">
        <v>3.5</v>
      </c>
      <c r="U637">
        <v>-3.4000000000232831</v>
      </c>
      <c r="W637" s="3">
        <v>300</v>
      </c>
      <c r="X637" s="3">
        <v>3</v>
      </c>
      <c r="Y637" s="3">
        <v>10</v>
      </c>
      <c r="Z637">
        <v>491.78</v>
      </c>
      <c r="AA637">
        <v>1.5800000000000002E-2</v>
      </c>
      <c r="AB637">
        <v>50.7</v>
      </c>
      <c r="AC637">
        <v>5.0999999999999996</v>
      </c>
      <c r="AD637">
        <v>187.6</v>
      </c>
      <c r="AE637">
        <v>4134992</v>
      </c>
      <c r="AF637">
        <v>840362.5</v>
      </c>
    </row>
    <row r="638" spans="1:32" x14ac:dyDescent="0.25">
      <c r="A638" s="3">
        <v>300</v>
      </c>
      <c r="B638" s="3">
        <v>3</v>
      </c>
      <c r="C638" s="3">
        <v>11</v>
      </c>
      <c r="H638">
        <v>0</v>
      </c>
      <c r="I638">
        <v>4.1699564305010592E-4</v>
      </c>
      <c r="J638">
        <v>3.9939818681211153E-5</v>
      </c>
      <c r="L638" s="3">
        <v>300</v>
      </c>
      <c r="M638" s="3">
        <v>3</v>
      </c>
      <c r="N638" s="3">
        <v>11</v>
      </c>
      <c r="S638">
        <v>0</v>
      </c>
      <c r="T638">
        <v>-8.7999999998137355</v>
      </c>
      <c r="U638">
        <v>-5</v>
      </c>
      <c r="W638" s="3">
        <v>300</v>
      </c>
      <c r="X638" s="3">
        <v>3</v>
      </c>
      <c r="Y638" s="3">
        <v>11</v>
      </c>
      <c r="Z638">
        <v>558.25</v>
      </c>
      <c r="AA638">
        <v>1.5740000000000001E-2</v>
      </c>
      <c r="AB638">
        <v>13384</v>
      </c>
      <c r="AC638">
        <v>5.0999999999999996</v>
      </c>
      <c r="AD638">
        <v>403.8</v>
      </c>
      <c r="AE638">
        <v>2110325</v>
      </c>
      <c r="AF638">
        <v>12518830</v>
      </c>
    </row>
    <row r="639" spans="1:32" x14ac:dyDescent="0.25">
      <c r="A639" s="3">
        <v>300</v>
      </c>
      <c r="B639" s="3">
        <v>3</v>
      </c>
      <c r="C639" s="3">
        <v>12</v>
      </c>
      <c r="H639">
        <v>0</v>
      </c>
      <c r="I639">
        <v>1.8454883346682371E-3</v>
      </c>
      <c r="J639">
        <v>2.6049807231521261E-3</v>
      </c>
      <c r="L639" s="3">
        <v>300</v>
      </c>
      <c r="M639" s="3">
        <v>3</v>
      </c>
      <c r="N639" s="3">
        <v>12</v>
      </c>
      <c r="S639">
        <v>0</v>
      </c>
      <c r="T639">
        <v>-1</v>
      </c>
      <c r="U639">
        <v>-0.1000000000003638</v>
      </c>
      <c r="W639" s="3">
        <v>300</v>
      </c>
      <c r="X639" s="3">
        <v>3</v>
      </c>
      <c r="Y639" s="3">
        <v>12</v>
      </c>
      <c r="Z639">
        <v>91.14</v>
      </c>
      <c r="AA639">
        <v>1.5679999999999999E-2</v>
      </c>
      <c r="AB639">
        <v>50.6</v>
      </c>
      <c r="AC639">
        <v>5.0999999999999996</v>
      </c>
      <c r="AD639">
        <v>86.7</v>
      </c>
      <c r="AE639">
        <v>54185.2</v>
      </c>
      <c r="AF639">
        <v>3838.7</v>
      </c>
    </row>
    <row r="640" spans="1:32" x14ac:dyDescent="0.25">
      <c r="A640" s="3">
        <v>300</v>
      </c>
      <c r="B640" s="3">
        <v>3</v>
      </c>
      <c r="C640" s="3">
        <v>13</v>
      </c>
      <c r="H640">
        <v>0</v>
      </c>
      <c r="I640">
        <v>2.9272991939437391E-3</v>
      </c>
      <c r="J640">
        <v>3.775151949862548E-3</v>
      </c>
      <c r="L640" s="3">
        <v>300</v>
      </c>
      <c r="M640" s="3">
        <v>3</v>
      </c>
      <c r="N640" s="3">
        <v>13</v>
      </c>
      <c r="S640">
        <v>0</v>
      </c>
      <c r="T640">
        <v>-1.100000000005821</v>
      </c>
      <c r="U640">
        <v>-9.9999999999909051E-2</v>
      </c>
      <c r="W640" s="3">
        <v>300</v>
      </c>
      <c r="X640" s="3">
        <v>3</v>
      </c>
      <c r="Y640" s="3">
        <v>13</v>
      </c>
      <c r="Z640">
        <v>89.38</v>
      </c>
      <c r="AA640">
        <v>1.5630000000000002E-2</v>
      </c>
      <c r="AB640">
        <v>50.6</v>
      </c>
      <c r="AC640">
        <v>5.0999999999999996</v>
      </c>
      <c r="AD640">
        <v>86.3</v>
      </c>
      <c r="AE640">
        <v>37576.199999999997</v>
      </c>
      <c r="AF640">
        <v>2648.8</v>
      </c>
    </row>
    <row r="641" spans="1:32" x14ac:dyDescent="0.25">
      <c r="A641" s="3">
        <v>300</v>
      </c>
      <c r="B641" s="3">
        <v>3</v>
      </c>
      <c r="C641" s="3">
        <v>14</v>
      </c>
      <c r="H641">
        <v>0</v>
      </c>
      <c r="I641">
        <v>1.3460490097227921E-4</v>
      </c>
      <c r="J641">
        <v>1.4285714285717529E-2</v>
      </c>
      <c r="L641" s="3">
        <v>300</v>
      </c>
      <c r="M641" s="3">
        <v>3</v>
      </c>
      <c r="N641" s="3">
        <v>14</v>
      </c>
      <c r="S641">
        <v>0</v>
      </c>
      <c r="T641">
        <v>0.10000000000582079</v>
      </c>
      <c r="U641">
        <v>-0.1000000000000227</v>
      </c>
      <c r="W641" s="3">
        <v>300</v>
      </c>
      <c r="X641" s="3">
        <v>3</v>
      </c>
      <c r="Y641" s="3">
        <v>14</v>
      </c>
      <c r="Z641">
        <v>87.37</v>
      </c>
      <c r="AA641">
        <v>1.5570000000000001E-2</v>
      </c>
      <c r="AB641">
        <v>49.9</v>
      </c>
      <c r="AC641">
        <v>5</v>
      </c>
      <c r="AD641">
        <v>86.6</v>
      </c>
      <c r="AE641">
        <v>74291.600000000006</v>
      </c>
      <c r="AF641">
        <v>699.9</v>
      </c>
    </row>
    <row r="642" spans="1:32" x14ac:dyDescent="0.25">
      <c r="A642" s="3">
        <v>300</v>
      </c>
      <c r="B642" s="3">
        <v>4</v>
      </c>
      <c r="C642" s="3">
        <v>1</v>
      </c>
      <c r="D642">
        <v>0</v>
      </c>
      <c r="E642">
        <v>6.451612903225544E-2</v>
      </c>
      <c r="H642">
        <v>0</v>
      </c>
      <c r="L642" s="3">
        <v>300</v>
      </c>
      <c r="M642" s="3">
        <v>4</v>
      </c>
      <c r="N642" s="3">
        <v>1</v>
      </c>
      <c r="O642">
        <v>0</v>
      </c>
      <c r="P642">
        <v>9.9999999999995925E-6</v>
      </c>
      <c r="S642">
        <v>0</v>
      </c>
      <c r="T642">
        <v>0</v>
      </c>
      <c r="U642">
        <v>0</v>
      </c>
      <c r="W642" s="3">
        <v>300</v>
      </c>
      <c r="X642" s="3">
        <v>4</v>
      </c>
      <c r="Y642" s="3">
        <v>1</v>
      </c>
      <c r="Z642">
        <v>85</v>
      </c>
      <c r="AA642">
        <v>1.5509999999999999E-2</v>
      </c>
      <c r="AB642">
        <v>0</v>
      </c>
      <c r="AC642">
        <v>0</v>
      </c>
      <c r="AD642">
        <v>85</v>
      </c>
      <c r="AE642">
        <v>0</v>
      </c>
      <c r="AF642">
        <v>0</v>
      </c>
    </row>
    <row r="643" spans="1:32" x14ac:dyDescent="0.25">
      <c r="A643" s="3">
        <v>300</v>
      </c>
      <c r="B643" s="3">
        <v>4</v>
      </c>
      <c r="C643" s="3">
        <v>2</v>
      </c>
      <c r="H643">
        <v>0</v>
      </c>
      <c r="L643" s="3">
        <v>300</v>
      </c>
      <c r="M643" s="3">
        <v>4</v>
      </c>
      <c r="N643" s="3">
        <v>2</v>
      </c>
      <c r="S643">
        <v>0</v>
      </c>
      <c r="T643">
        <v>0</v>
      </c>
      <c r="U643">
        <v>0</v>
      </c>
      <c r="W643" s="3">
        <v>300</v>
      </c>
      <c r="X643" s="3">
        <v>4</v>
      </c>
      <c r="Y643" s="3">
        <v>2</v>
      </c>
      <c r="Z643">
        <v>85</v>
      </c>
      <c r="AA643">
        <v>1.5509999999999999E-2</v>
      </c>
      <c r="AB643">
        <v>0</v>
      </c>
      <c r="AC643">
        <v>0</v>
      </c>
      <c r="AD643">
        <v>85</v>
      </c>
      <c r="AE643">
        <v>0</v>
      </c>
      <c r="AF643">
        <v>0</v>
      </c>
    </row>
    <row r="644" spans="1:32" x14ac:dyDescent="0.25">
      <c r="A644" s="3">
        <v>300</v>
      </c>
      <c r="B644" s="3">
        <v>5</v>
      </c>
      <c r="C644" s="3">
        <v>1</v>
      </c>
      <c r="D644">
        <v>2.7649769585254499E-2</v>
      </c>
      <c r="E644">
        <v>6.4102564102561488E-2</v>
      </c>
      <c r="L644" s="3">
        <v>300</v>
      </c>
      <c r="M644" s="3">
        <v>5</v>
      </c>
      <c r="N644" s="3">
        <v>1</v>
      </c>
      <c r="O644">
        <v>-3.000000000000114E-2</v>
      </c>
      <c r="P644">
        <v>-9.9999999999995925E-6</v>
      </c>
      <c r="W644" s="3">
        <v>300</v>
      </c>
      <c r="X644" s="3">
        <v>5</v>
      </c>
      <c r="Y644" s="3">
        <v>1</v>
      </c>
      <c r="Z644">
        <v>108.47</v>
      </c>
      <c r="AA644">
        <v>1.559E-2</v>
      </c>
    </row>
    <row r="645" spans="1:32" x14ac:dyDescent="0.25">
      <c r="A645" s="3">
        <v>300</v>
      </c>
      <c r="B645" s="3">
        <v>5</v>
      </c>
      <c r="C645" s="3">
        <v>2</v>
      </c>
      <c r="L645" s="3">
        <v>300</v>
      </c>
      <c r="M645" s="3">
        <v>5</v>
      </c>
      <c r="N645" s="3">
        <v>2</v>
      </c>
      <c r="W645" s="3">
        <v>300</v>
      </c>
      <c r="X645" s="3">
        <v>5</v>
      </c>
      <c r="Y645" s="3">
        <v>2</v>
      </c>
      <c r="Z645">
        <v>108.06</v>
      </c>
      <c r="AA645">
        <v>1.559E-2</v>
      </c>
    </row>
    <row r="646" spans="1:32" x14ac:dyDescent="0.25">
      <c r="A646" s="3">
        <v>350</v>
      </c>
      <c r="B646" s="3">
        <v>1</v>
      </c>
      <c r="C646" s="3">
        <v>1</v>
      </c>
      <c r="D646">
        <v>1.1764705882358961E-2</v>
      </c>
      <c r="E646">
        <v>6.451612903225544E-2</v>
      </c>
      <c r="L646" s="3">
        <v>350</v>
      </c>
      <c r="M646" s="3">
        <v>1</v>
      </c>
      <c r="N646" s="3">
        <v>1</v>
      </c>
      <c r="O646">
        <v>1.0000000000005119E-2</v>
      </c>
      <c r="P646">
        <v>9.9999999999995925E-6</v>
      </c>
      <c r="W646" s="3">
        <v>350</v>
      </c>
      <c r="X646" s="3">
        <v>1</v>
      </c>
      <c r="Y646" s="3">
        <v>1</v>
      </c>
      <c r="Z646">
        <v>85.01</v>
      </c>
      <c r="AA646">
        <v>1.5509999999999999E-2</v>
      </c>
      <c r="AB646">
        <v>1</v>
      </c>
      <c r="AC646">
        <v>0</v>
      </c>
    </row>
    <row r="647" spans="1:32" x14ac:dyDescent="0.25">
      <c r="A647" s="3">
        <v>350</v>
      </c>
      <c r="B647" s="3">
        <v>1</v>
      </c>
      <c r="C647" s="3">
        <v>2</v>
      </c>
      <c r="L647" s="3">
        <v>350</v>
      </c>
      <c r="M647" s="3">
        <v>1</v>
      </c>
      <c r="N647" s="3">
        <v>2</v>
      </c>
      <c r="W647" s="3">
        <v>350</v>
      </c>
      <c r="X647" s="3">
        <v>1</v>
      </c>
      <c r="Y647" s="3">
        <v>2</v>
      </c>
      <c r="Z647">
        <v>85.03</v>
      </c>
      <c r="AA647">
        <v>1.5509999999999999E-2</v>
      </c>
      <c r="AB647">
        <v>1</v>
      </c>
      <c r="AC647">
        <v>0</v>
      </c>
    </row>
    <row r="648" spans="1:32" x14ac:dyDescent="0.25">
      <c r="A648" s="3">
        <v>350</v>
      </c>
      <c r="B648" s="3">
        <v>1</v>
      </c>
      <c r="C648" s="3">
        <v>3</v>
      </c>
      <c r="L648" s="3">
        <v>350</v>
      </c>
      <c r="M648" s="3">
        <v>1</v>
      </c>
      <c r="N648" s="3">
        <v>3</v>
      </c>
      <c r="W648" s="3">
        <v>350</v>
      </c>
      <c r="X648" s="3">
        <v>1</v>
      </c>
      <c r="Y648" s="3">
        <v>3</v>
      </c>
      <c r="Z648">
        <v>85.04</v>
      </c>
      <c r="AA648">
        <v>1.5509999999999999E-2</v>
      </c>
      <c r="AB648">
        <v>1</v>
      </c>
      <c r="AC648">
        <v>0</v>
      </c>
    </row>
    <row r="649" spans="1:32" x14ac:dyDescent="0.25">
      <c r="A649" s="3">
        <v>350</v>
      </c>
      <c r="B649" s="3">
        <v>1</v>
      </c>
      <c r="C649" s="3">
        <v>4</v>
      </c>
      <c r="L649" s="3">
        <v>350</v>
      </c>
      <c r="M649" s="3">
        <v>1</v>
      </c>
      <c r="N649" s="3">
        <v>4</v>
      </c>
      <c r="W649" s="3">
        <v>350</v>
      </c>
      <c r="X649" s="3">
        <v>1</v>
      </c>
      <c r="Y649" s="3">
        <v>4</v>
      </c>
      <c r="Z649">
        <v>85.04</v>
      </c>
      <c r="AA649">
        <v>1.5509999999999999E-2</v>
      </c>
      <c r="AB649">
        <v>1</v>
      </c>
      <c r="AC649">
        <v>0</v>
      </c>
    </row>
    <row r="650" spans="1:32" x14ac:dyDescent="0.25">
      <c r="A650" s="3">
        <v>350</v>
      </c>
      <c r="B650" s="3">
        <v>1</v>
      </c>
      <c r="C650" s="3">
        <v>5</v>
      </c>
      <c r="L650" s="3">
        <v>350</v>
      </c>
      <c r="M650" s="3">
        <v>1</v>
      </c>
      <c r="N650" s="3">
        <v>5</v>
      </c>
      <c r="W650" s="3">
        <v>350</v>
      </c>
      <c r="X650" s="3">
        <v>1</v>
      </c>
      <c r="Y650" s="3">
        <v>5</v>
      </c>
      <c r="Z650">
        <v>85.05</v>
      </c>
      <c r="AA650">
        <v>1.5509999999999999E-2</v>
      </c>
      <c r="AB650">
        <v>1</v>
      </c>
      <c r="AC650">
        <v>0</v>
      </c>
    </row>
    <row r="651" spans="1:32" x14ac:dyDescent="0.25">
      <c r="A651" s="3">
        <v>350</v>
      </c>
      <c r="B651" s="3">
        <v>1</v>
      </c>
      <c r="C651" s="3">
        <v>6</v>
      </c>
      <c r="L651" s="3">
        <v>350</v>
      </c>
      <c r="M651" s="3">
        <v>1</v>
      </c>
      <c r="N651" s="3">
        <v>6</v>
      </c>
      <c r="W651" s="3">
        <v>350</v>
      </c>
      <c r="X651" s="3">
        <v>1</v>
      </c>
      <c r="Y651" s="3">
        <v>6</v>
      </c>
      <c r="Z651">
        <v>85.06</v>
      </c>
      <c r="AA651">
        <v>1.5509999999999999E-2</v>
      </c>
      <c r="AB651">
        <v>1</v>
      </c>
      <c r="AC651">
        <v>0</v>
      </c>
    </row>
    <row r="652" spans="1:32" x14ac:dyDescent="0.25">
      <c r="A652" s="3">
        <v>350</v>
      </c>
      <c r="B652" s="3">
        <v>1</v>
      </c>
      <c r="C652" s="3">
        <v>7</v>
      </c>
      <c r="L652" s="3">
        <v>350</v>
      </c>
      <c r="M652" s="3">
        <v>1</v>
      </c>
      <c r="N652" s="3">
        <v>7</v>
      </c>
      <c r="W652" s="3">
        <v>350</v>
      </c>
      <c r="X652" s="3">
        <v>1</v>
      </c>
      <c r="Y652" s="3">
        <v>7</v>
      </c>
      <c r="Z652">
        <v>85.06</v>
      </c>
      <c r="AA652">
        <v>1.5509999999999999E-2</v>
      </c>
      <c r="AB652">
        <v>1</v>
      </c>
      <c r="AC652">
        <v>0</v>
      </c>
    </row>
    <row r="653" spans="1:32" x14ac:dyDescent="0.25">
      <c r="A653" s="3">
        <v>350</v>
      </c>
      <c r="B653" s="3">
        <v>1</v>
      </c>
      <c r="C653" s="3">
        <v>8</v>
      </c>
      <c r="L653" s="3">
        <v>350</v>
      </c>
      <c r="M653" s="3">
        <v>1</v>
      </c>
      <c r="N653" s="3">
        <v>8</v>
      </c>
      <c r="W653" s="3">
        <v>350</v>
      </c>
      <c r="X653" s="3">
        <v>1</v>
      </c>
      <c r="Y653" s="3">
        <v>8</v>
      </c>
      <c r="Z653">
        <v>85.07</v>
      </c>
      <c r="AA653">
        <v>1.5509999999999999E-2</v>
      </c>
      <c r="AB653">
        <v>1</v>
      </c>
      <c r="AC653">
        <v>0</v>
      </c>
    </row>
    <row r="654" spans="1:32" x14ac:dyDescent="0.25">
      <c r="A654" s="3">
        <v>350</v>
      </c>
      <c r="B654" s="3">
        <v>1</v>
      </c>
      <c r="C654" s="3">
        <v>9</v>
      </c>
      <c r="L654" s="3">
        <v>350</v>
      </c>
      <c r="M654" s="3">
        <v>1</v>
      </c>
      <c r="N654" s="3">
        <v>9</v>
      </c>
      <c r="W654" s="3">
        <v>350</v>
      </c>
      <c r="X654" s="3">
        <v>1</v>
      </c>
      <c r="Y654" s="3">
        <v>9</v>
      </c>
      <c r="Z654">
        <v>85.07</v>
      </c>
      <c r="AA654">
        <v>1.5509999999999999E-2</v>
      </c>
      <c r="AB654">
        <v>1</v>
      </c>
      <c r="AC654">
        <v>0</v>
      </c>
    </row>
    <row r="655" spans="1:32" x14ac:dyDescent="0.25">
      <c r="A655" s="3">
        <v>350</v>
      </c>
      <c r="B655" s="3">
        <v>1</v>
      </c>
      <c r="C655" s="3">
        <v>10</v>
      </c>
      <c r="L655" s="3">
        <v>350</v>
      </c>
      <c r="M655" s="3">
        <v>1</v>
      </c>
      <c r="N655" s="3">
        <v>10</v>
      </c>
      <c r="W655" s="3">
        <v>350</v>
      </c>
      <c r="X655" s="3">
        <v>1</v>
      </c>
      <c r="Y655" s="3">
        <v>10</v>
      </c>
      <c r="Z655">
        <v>85.07</v>
      </c>
      <c r="AA655">
        <v>1.5509999999999999E-2</v>
      </c>
      <c r="AB655">
        <v>1</v>
      </c>
      <c r="AC655">
        <v>0</v>
      </c>
    </row>
    <row r="656" spans="1:32" x14ac:dyDescent="0.25">
      <c r="A656" s="3">
        <v>350</v>
      </c>
      <c r="B656" s="3">
        <v>2</v>
      </c>
      <c r="C656" s="3">
        <v>1</v>
      </c>
      <c r="D656">
        <v>5.2994170641181256E-3</v>
      </c>
      <c r="E656">
        <v>0.25316455696201501</v>
      </c>
      <c r="H656">
        <v>0</v>
      </c>
      <c r="I656">
        <v>1.1158892707421051E-4</v>
      </c>
      <c r="J656">
        <v>0</v>
      </c>
      <c r="L656" s="3">
        <v>350</v>
      </c>
      <c r="M656" s="3">
        <v>2</v>
      </c>
      <c r="N656" s="3">
        <v>1</v>
      </c>
      <c r="O656">
        <v>-9.9999999999909051E-3</v>
      </c>
      <c r="P656">
        <v>3.999999999999837E-5</v>
      </c>
      <c r="S656">
        <v>0</v>
      </c>
      <c r="T656">
        <v>1.9000000001396979</v>
      </c>
      <c r="U656">
        <v>0</v>
      </c>
      <c r="W656" s="3">
        <v>350</v>
      </c>
      <c r="X656" s="3">
        <v>2</v>
      </c>
      <c r="Y656" s="3">
        <v>1</v>
      </c>
      <c r="Z656">
        <v>188.69</v>
      </c>
      <c r="AA656">
        <v>1.584E-2</v>
      </c>
      <c r="AB656">
        <v>0.1</v>
      </c>
      <c r="AC656">
        <v>0</v>
      </c>
      <c r="AD656">
        <v>95.4</v>
      </c>
      <c r="AE656">
        <v>1702679.8</v>
      </c>
      <c r="AF656">
        <v>373318</v>
      </c>
    </row>
    <row r="657" spans="1:32" x14ac:dyDescent="0.25">
      <c r="A657" s="3">
        <v>350</v>
      </c>
      <c r="B657" s="3">
        <v>2</v>
      </c>
      <c r="C657" s="3">
        <v>2</v>
      </c>
      <c r="H657">
        <v>0</v>
      </c>
      <c r="I657">
        <v>6.3526266857717186E-5</v>
      </c>
      <c r="J657">
        <v>5.6820065067794131E-5</v>
      </c>
      <c r="L657" s="3">
        <v>350</v>
      </c>
      <c r="M657" s="3">
        <v>2</v>
      </c>
      <c r="N657" s="3">
        <v>2</v>
      </c>
      <c r="S657">
        <v>0</v>
      </c>
      <c r="T657">
        <v>1.400000000372529</v>
      </c>
      <c r="U657">
        <v>-0.30000000004656607</v>
      </c>
      <c r="W657" s="3">
        <v>350</v>
      </c>
      <c r="X657" s="3">
        <v>2</v>
      </c>
      <c r="Y657" s="3">
        <v>2</v>
      </c>
      <c r="Z657">
        <v>220.04</v>
      </c>
      <c r="AA657">
        <v>1.585E-2</v>
      </c>
      <c r="AB657">
        <v>0.1</v>
      </c>
      <c r="AC657">
        <v>0</v>
      </c>
      <c r="AD657">
        <v>99.6</v>
      </c>
      <c r="AE657">
        <v>2203814.2000000002</v>
      </c>
      <c r="AF657">
        <v>527982.19999999995</v>
      </c>
    </row>
    <row r="658" spans="1:32" x14ac:dyDescent="0.25">
      <c r="A658" s="3">
        <v>350</v>
      </c>
      <c r="B658" s="3">
        <v>3</v>
      </c>
      <c r="C658" s="3">
        <v>1</v>
      </c>
      <c r="D658">
        <v>7.6745970836461256E-3</v>
      </c>
      <c r="E658">
        <v>0.31446540880504043</v>
      </c>
      <c r="H658">
        <v>0</v>
      </c>
      <c r="I658">
        <v>4.6090038044247942E-5</v>
      </c>
      <c r="J658">
        <v>1.3806065280063331E-4</v>
      </c>
      <c r="L658" s="3">
        <v>350</v>
      </c>
      <c r="M658" s="3">
        <v>3</v>
      </c>
      <c r="N658" s="3">
        <v>1</v>
      </c>
      <c r="O658">
        <v>1.999999999998181E-2</v>
      </c>
      <c r="P658">
        <v>-5.0000000000001432E-5</v>
      </c>
      <c r="S658">
        <v>0</v>
      </c>
      <c r="T658">
        <v>-0.40000000002328312</v>
      </c>
      <c r="U658">
        <v>-0.29999999998835852</v>
      </c>
      <c r="W658" s="3">
        <v>350</v>
      </c>
      <c r="X658" s="3">
        <v>3</v>
      </c>
      <c r="Y658" s="3">
        <v>1</v>
      </c>
      <c r="Z658">
        <v>260.62</v>
      </c>
      <c r="AA658">
        <v>1.585E-2</v>
      </c>
      <c r="AB658">
        <v>0</v>
      </c>
      <c r="AC658">
        <v>0</v>
      </c>
      <c r="AD658">
        <v>106.3</v>
      </c>
      <c r="AE658">
        <v>867866.1</v>
      </c>
      <c r="AF658">
        <v>217295.5</v>
      </c>
    </row>
    <row r="659" spans="1:32" x14ac:dyDescent="0.25">
      <c r="A659" s="3">
        <v>350</v>
      </c>
      <c r="B659" s="3">
        <v>3</v>
      </c>
      <c r="C659" s="3">
        <v>2</v>
      </c>
      <c r="H659">
        <v>0</v>
      </c>
      <c r="I659">
        <v>7.3939199592304447E-5</v>
      </c>
      <c r="J659">
        <v>1.6197499350005811E-4</v>
      </c>
      <c r="L659" s="3">
        <v>350</v>
      </c>
      <c r="M659" s="3">
        <v>3</v>
      </c>
      <c r="N659" s="3">
        <v>2</v>
      </c>
      <c r="S659">
        <v>0</v>
      </c>
      <c r="T659">
        <v>-0.70000000006984919</v>
      </c>
      <c r="U659">
        <v>-0.40000000002328312</v>
      </c>
      <c r="W659" s="3">
        <v>350</v>
      </c>
      <c r="X659" s="3">
        <v>3</v>
      </c>
      <c r="Y659" s="3">
        <v>2</v>
      </c>
      <c r="Z659">
        <v>276.52</v>
      </c>
      <c r="AA659">
        <v>1.585E-2</v>
      </c>
      <c r="AB659">
        <v>0</v>
      </c>
      <c r="AC659">
        <v>0</v>
      </c>
      <c r="AD659">
        <v>108.8</v>
      </c>
      <c r="AE659">
        <v>946723.1</v>
      </c>
      <c r="AF659">
        <v>246951.3</v>
      </c>
    </row>
    <row r="660" spans="1:32" x14ac:dyDescent="0.25">
      <c r="A660" s="3">
        <v>350</v>
      </c>
      <c r="B660" s="3">
        <v>3</v>
      </c>
      <c r="C660" s="3">
        <v>3</v>
      </c>
      <c r="H660">
        <v>0</v>
      </c>
      <c r="I660">
        <v>1.9343852656118841E-5</v>
      </c>
      <c r="J660">
        <v>1.4193391342850079E-4</v>
      </c>
      <c r="L660" s="3">
        <v>350</v>
      </c>
      <c r="M660" s="3">
        <v>3</v>
      </c>
      <c r="N660" s="3">
        <v>3</v>
      </c>
      <c r="S660">
        <v>0</v>
      </c>
      <c r="T660">
        <v>0.20000000006984919</v>
      </c>
      <c r="U660">
        <v>-0.3999999999650754</v>
      </c>
      <c r="W660" s="3">
        <v>350</v>
      </c>
      <c r="X660" s="3">
        <v>3</v>
      </c>
      <c r="Y660" s="3">
        <v>3</v>
      </c>
      <c r="Z660">
        <v>293.94</v>
      </c>
      <c r="AA660">
        <v>1.585E-2</v>
      </c>
      <c r="AB660">
        <v>0</v>
      </c>
      <c r="AC660">
        <v>0</v>
      </c>
      <c r="AD660">
        <v>111.6</v>
      </c>
      <c r="AE660">
        <v>1033920.4</v>
      </c>
      <c r="AF660">
        <v>281820.90000000002</v>
      </c>
    </row>
    <row r="661" spans="1:32" x14ac:dyDescent="0.25">
      <c r="A661" s="3">
        <v>350</v>
      </c>
      <c r="B661" s="3">
        <v>3</v>
      </c>
      <c r="C661" s="3">
        <v>4</v>
      </c>
      <c r="H661">
        <v>0</v>
      </c>
      <c r="I661">
        <v>4.4288995973775953E-5</v>
      </c>
      <c r="J661">
        <v>3.0946597615538949E-5</v>
      </c>
      <c r="L661" s="3">
        <v>350</v>
      </c>
      <c r="M661" s="3">
        <v>3</v>
      </c>
      <c r="N661" s="3">
        <v>4</v>
      </c>
      <c r="S661">
        <v>0</v>
      </c>
      <c r="T661">
        <v>0.5</v>
      </c>
      <c r="U661">
        <v>-9.9999999976716936E-2</v>
      </c>
      <c r="W661" s="3">
        <v>350</v>
      </c>
      <c r="X661" s="3">
        <v>3</v>
      </c>
      <c r="Y661" s="3">
        <v>4</v>
      </c>
      <c r="Z661">
        <v>313.08999999999997</v>
      </c>
      <c r="AA661">
        <v>1.585E-2</v>
      </c>
      <c r="AB661">
        <v>0</v>
      </c>
      <c r="AC661">
        <v>0</v>
      </c>
      <c r="AD661">
        <v>114.8</v>
      </c>
      <c r="AE661">
        <v>1128949.1000000001</v>
      </c>
      <c r="AF661">
        <v>323137.2</v>
      </c>
    </row>
    <row r="662" spans="1:32" x14ac:dyDescent="0.25">
      <c r="A662" s="3">
        <v>350</v>
      </c>
      <c r="B662" s="3">
        <v>3</v>
      </c>
      <c r="C662" s="3">
        <v>5</v>
      </c>
      <c r="H662">
        <v>0</v>
      </c>
      <c r="I662">
        <v>4.8634627424558362E-5</v>
      </c>
      <c r="J662">
        <v>5.3703111480850278E-5</v>
      </c>
      <c r="L662" s="3">
        <v>350</v>
      </c>
      <c r="M662" s="3">
        <v>3</v>
      </c>
      <c r="N662" s="3">
        <v>5</v>
      </c>
      <c r="S662">
        <v>0</v>
      </c>
      <c r="T662">
        <v>0.60000000009313226</v>
      </c>
      <c r="U662">
        <v>-0.2000000000116415</v>
      </c>
      <c r="W662" s="3">
        <v>350</v>
      </c>
      <c r="X662" s="3">
        <v>3</v>
      </c>
      <c r="Y662" s="3">
        <v>5</v>
      </c>
      <c r="Z662">
        <v>334.17</v>
      </c>
      <c r="AA662">
        <v>1.585E-2</v>
      </c>
      <c r="AB662">
        <v>0</v>
      </c>
      <c r="AC662">
        <v>0</v>
      </c>
      <c r="AD662">
        <v>118.4</v>
      </c>
      <c r="AE662">
        <v>1233689.5</v>
      </c>
      <c r="AF662">
        <v>372417.7</v>
      </c>
    </row>
    <row r="663" spans="1:32" x14ac:dyDescent="0.25">
      <c r="A663" s="3">
        <v>350</v>
      </c>
      <c r="B663" s="3">
        <v>3</v>
      </c>
      <c r="C663" s="3">
        <v>6</v>
      </c>
      <c r="H663">
        <v>0</v>
      </c>
      <c r="I663">
        <v>9.6258014131014568E-5</v>
      </c>
      <c r="J663">
        <v>2.3167110865496529E-5</v>
      </c>
      <c r="L663" s="3">
        <v>350</v>
      </c>
      <c r="M663" s="3">
        <v>3</v>
      </c>
      <c r="N663" s="3">
        <v>6</v>
      </c>
      <c r="S663">
        <v>0</v>
      </c>
      <c r="T663">
        <v>1.3000000000465659</v>
      </c>
      <c r="U663">
        <v>-0.1000000000349246</v>
      </c>
      <c r="W663" s="3">
        <v>350</v>
      </c>
      <c r="X663" s="3">
        <v>3</v>
      </c>
      <c r="Y663" s="3">
        <v>6</v>
      </c>
      <c r="Z663">
        <v>357.42</v>
      </c>
      <c r="AA663">
        <v>1.585E-2</v>
      </c>
      <c r="AB663">
        <v>0</v>
      </c>
      <c r="AC663">
        <v>0</v>
      </c>
      <c r="AD663">
        <v>122.5</v>
      </c>
      <c r="AE663">
        <v>1350538.2</v>
      </c>
      <c r="AF663">
        <v>431646.3</v>
      </c>
    </row>
    <row r="664" spans="1:32" x14ac:dyDescent="0.25">
      <c r="A664" s="3">
        <v>350</v>
      </c>
      <c r="B664" s="3">
        <v>3</v>
      </c>
      <c r="C664" s="3">
        <v>7</v>
      </c>
      <c r="H664">
        <v>0</v>
      </c>
      <c r="I664">
        <v>3.3748689707122119E-5</v>
      </c>
      <c r="J664">
        <v>3.9721938476960357E-5</v>
      </c>
      <c r="L664" s="3">
        <v>350</v>
      </c>
      <c r="M664" s="3">
        <v>3</v>
      </c>
      <c r="N664" s="3">
        <v>7</v>
      </c>
      <c r="S664">
        <v>0</v>
      </c>
      <c r="T664">
        <v>0.5</v>
      </c>
      <c r="U664">
        <v>-0.1999999999534339</v>
      </c>
      <c r="W664" s="3">
        <v>350</v>
      </c>
      <c r="X664" s="3">
        <v>3</v>
      </c>
      <c r="Y664" s="3">
        <v>7</v>
      </c>
      <c r="Z664">
        <v>383.15</v>
      </c>
      <c r="AA664">
        <v>1.585E-2</v>
      </c>
      <c r="AB664">
        <v>0</v>
      </c>
      <c r="AC664">
        <v>0</v>
      </c>
      <c r="AD664">
        <v>127.3</v>
      </c>
      <c r="AE664">
        <v>1481539.5</v>
      </c>
      <c r="AF664">
        <v>503499.9</v>
      </c>
    </row>
    <row r="665" spans="1:32" x14ac:dyDescent="0.25">
      <c r="A665" s="3">
        <v>350</v>
      </c>
      <c r="B665" s="3">
        <v>3</v>
      </c>
      <c r="C665" s="3">
        <v>8</v>
      </c>
      <c r="H665">
        <v>0</v>
      </c>
      <c r="I665">
        <v>3.0723786035621402E-5</v>
      </c>
      <c r="J665">
        <v>1.3522223011716011E-4</v>
      </c>
      <c r="L665" s="3">
        <v>350</v>
      </c>
      <c r="M665" s="3">
        <v>3</v>
      </c>
      <c r="N665" s="3">
        <v>8</v>
      </c>
      <c r="S665">
        <v>0</v>
      </c>
      <c r="T665">
        <v>0.5</v>
      </c>
      <c r="U665">
        <v>-0.79999999993015081</v>
      </c>
      <c r="W665" s="3">
        <v>350</v>
      </c>
      <c r="X665" s="3">
        <v>3</v>
      </c>
      <c r="Y665" s="3">
        <v>8</v>
      </c>
      <c r="Z665">
        <v>411.74</v>
      </c>
      <c r="AA665">
        <v>1.585E-2</v>
      </c>
      <c r="AB665">
        <v>0</v>
      </c>
      <c r="AC665">
        <v>0</v>
      </c>
      <c r="AD665">
        <v>132.69999999999999</v>
      </c>
      <c r="AE665">
        <v>1627404.1</v>
      </c>
      <c r="AF665">
        <v>591617.9</v>
      </c>
    </row>
    <row r="666" spans="1:32" x14ac:dyDescent="0.25">
      <c r="A666" s="3">
        <v>350</v>
      </c>
      <c r="B666" s="3">
        <v>3</v>
      </c>
      <c r="C666" s="3">
        <v>9</v>
      </c>
      <c r="H666">
        <v>0</v>
      </c>
      <c r="I666">
        <v>7.4255250284301083E-5</v>
      </c>
      <c r="J666">
        <v>1.8240491762950119E-4</v>
      </c>
      <c r="L666" s="3">
        <v>350</v>
      </c>
      <c r="M666" s="3">
        <v>3</v>
      </c>
      <c r="N666" s="3">
        <v>9</v>
      </c>
      <c r="S666">
        <v>0</v>
      </c>
      <c r="T666">
        <v>2.5</v>
      </c>
      <c r="U666">
        <v>-1.1999999999534341</v>
      </c>
      <c r="W666" s="3">
        <v>350</v>
      </c>
      <c r="X666" s="3">
        <v>3</v>
      </c>
      <c r="Y666" s="3">
        <v>9</v>
      </c>
      <c r="Z666">
        <v>443.62</v>
      </c>
      <c r="AA666">
        <v>1.585E-2</v>
      </c>
      <c r="AB666">
        <v>42.8</v>
      </c>
      <c r="AC666">
        <v>4.5</v>
      </c>
      <c r="AD666">
        <v>174.4</v>
      </c>
      <c r="AE666">
        <v>3366767.8</v>
      </c>
      <c r="AF666">
        <v>657875.80000000005</v>
      </c>
    </row>
    <row r="667" spans="1:32" x14ac:dyDescent="0.25">
      <c r="A667" s="3">
        <v>350</v>
      </c>
      <c r="B667" s="3">
        <v>3</v>
      </c>
      <c r="C667" s="3">
        <v>10</v>
      </c>
      <c r="H667">
        <v>0</v>
      </c>
      <c r="I667">
        <v>8.1623944483393419E-5</v>
      </c>
      <c r="J667">
        <v>2.1012771212673481E-4</v>
      </c>
      <c r="L667" s="3">
        <v>350</v>
      </c>
      <c r="M667" s="3">
        <v>3</v>
      </c>
      <c r="N667" s="3">
        <v>10</v>
      </c>
      <c r="S667">
        <v>0</v>
      </c>
      <c r="T667">
        <v>-3.299999999813735</v>
      </c>
      <c r="U667">
        <v>-1.8000000000465659</v>
      </c>
      <c r="W667" s="3">
        <v>350</v>
      </c>
      <c r="X667" s="3">
        <v>3</v>
      </c>
      <c r="Y667" s="3">
        <v>10</v>
      </c>
      <c r="Z667">
        <v>497.93</v>
      </c>
      <c r="AA667">
        <v>1.5800000000000002E-2</v>
      </c>
      <c r="AB667">
        <v>47.8</v>
      </c>
      <c r="AC667">
        <v>5.0999999999999996</v>
      </c>
      <c r="AD667">
        <v>195.7</v>
      </c>
      <c r="AE667">
        <v>4042928</v>
      </c>
      <c r="AF667">
        <v>856620.1</v>
      </c>
    </row>
    <row r="668" spans="1:32" x14ac:dyDescent="0.25">
      <c r="A668" s="3">
        <v>350</v>
      </c>
      <c r="B668" s="3">
        <v>3</v>
      </c>
      <c r="C668" s="3">
        <v>11</v>
      </c>
      <c r="H668">
        <v>2.354048964218991E-2</v>
      </c>
      <c r="I668">
        <v>2.6270039508563221E-5</v>
      </c>
      <c r="J668">
        <v>2.407219153953941E-5</v>
      </c>
      <c r="L668" s="3">
        <v>350</v>
      </c>
      <c r="M668" s="3">
        <v>3</v>
      </c>
      <c r="N668" s="3">
        <v>11</v>
      </c>
      <c r="S668">
        <v>-0.1000000000000227</v>
      </c>
      <c r="T668">
        <v>-0.5</v>
      </c>
      <c r="U668">
        <v>-3</v>
      </c>
      <c r="W668" s="3">
        <v>350</v>
      </c>
      <c r="X668" s="3">
        <v>3</v>
      </c>
      <c r="Y668" s="3">
        <v>11</v>
      </c>
      <c r="Z668">
        <v>564.57000000000005</v>
      </c>
      <c r="AA668">
        <v>1.5740000000000001E-2</v>
      </c>
      <c r="AB668">
        <v>13381.2</v>
      </c>
      <c r="AC668">
        <v>5.0999999999999996</v>
      </c>
      <c r="AD668">
        <v>424.7</v>
      </c>
      <c r="AE668">
        <v>1903308.4</v>
      </c>
      <c r="AF668">
        <v>12462510</v>
      </c>
    </row>
    <row r="669" spans="1:32" x14ac:dyDescent="0.25">
      <c r="A669" s="3">
        <v>350</v>
      </c>
      <c r="B669" s="3">
        <v>3</v>
      </c>
      <c r="C669" s="3">
        <v>12</v>
      </c>
      <c r="H669">
        <v>0</v>
      </c>
      <c r="I669">
        <v>1.9812847839309881E-3</v>
      </c>
      <c r="J669">
        <v>2.7838868628353619E-3</v>
      </c>
      <c r="L669" s="3">
        <v>350</v>
      </c>
      <c r="M669" s="3">
        <v>3</v>
      </c>
      <c r="N669" s="3">
        <v>12</v>
      </c>
      <c r="S669">
        <v>0</v>
      </c>
      <c r="T669">
        <v>-1</v>
      </c>
      <c r="U669">
        <v>-9.9999999999909051E-2</v>
      </c>
      <c r="W669" s="3">
        <v>350</v>
      </c>
      <c r="X669" s="3">
        <v>3</v>
      </c>
      <c r="Y669" s="3">
        <v>12</v>
      </c>
      <c r="Z669">
        <v>90.87</v>
      </c>
      <c r="AA669">
        <v>1.5689999999999999E-2</v>
      </c>
      <c r="AB669">
        <v>47.8</v>
      </c>
      <c r="AC669">
        <v>5.0999999999999996</v>
      </c>
      <c r="AD669">
        <v>86.7</v>
      </c>
      <c r="AE669">
        <v>50471.3</v>
      </c>
      <c r="AF669">
        <v>3592</v>
      </c>
    </row>
    <row r="670" spans="1:32" x14ac:dyDescent="0.25">
      <c r="A670" s="3">
        <v>350</v>
      </c>
      <c r="B670" s="3">
        <v>3</v>
      </c>
      <c r="C670" s="3">
        <v>13</v>
      </c>
      <c r="H670">
        <v>0</v>
      </c>
      <c r="I670">
        <v>3.7001511369301682E-3</v>
      </c>
      <c r="J670">
        <v>8.0372930397151921E-3</v>
      </c>
      <c r="L670" s="3">
        <v>350</v>
      </c>
      <c r="M670" s="3">
        <v>3</v>
      </c>
      <c r="N670" s="3">
        <v>13</v>
      </c>
      <c r="S670">
        <v>0</v>
      </c>
      <c r="T670">
        <v>-1.299999999995634</v>
      </c>
      <c r="U670">
        <v>-0.20000000000027279</v>
      </c>
      <c r="W670" s="3">
        <v>350</v>
      </c>
      <c r="X670" s="3">
        <v>3</v>
      </c>
      <c r="Y670" s="3">
        <v>13</v>
      </c>
      <c r="Z670">
        <v>89.19</v>
      </c>
      <c r="AA670">
        <v>1.5630000000000002E-2</v>
      </c>
      <c r="AB670">
        <v>47.8</v>
      </c>
      <c r="AC670">
        <v>5.0999999999999996</v>
      </c>
      <c r="AD670">
        <v>86.3</v>
      </c>
      <c r="AE670">
        <v>35132.400000000001</v>
      </c>
      <c r="AF670">
        <v>2488.1999999999998</v>
      </c>
    </row>
    <row r="671" spans="1:32" x14ac:dyDescent="0.25">
      <c r="A671" s="3">
        <v>350</v>
      </c>
      <c r="B671" s="3">
        <v>3</v>
      </c>
      <c r="C671" s="3">
        <v>14</v>
      </c>
      <c r="H671">
        <v>0</v>
      </c>
      <c r="I671">
        <v>1.3427126284978519E-4</v>
      </c>
      <c r="J671">
        <v>1.940240589833581E-2</v>
      </c>
      <c r="L671" s="3">
        <v>350</v>
      </c>
      <c r="M671" s="3">
        <v>3</v>
      </c>
      <c r="N671" s="3">
        <v>14</v>
      </c>
      <c r="S671">
        <v>0</v>
      </c>
      <c r="T671">
        <v>9.9999999991268851E-2</v>
      </c>
      <c r="U671">
        <v>-0.1000000000000227</v>
      </c>
      <c r="W671" s="3">
        <v>350</v>
      </c>
      <c r="X671" s="3">
        <v>3</v>
      </c>
      <c r="Y671" s="3">
        <v>14</v>
      </c>
      <c r="Z671">
        <v>87.28</v>
      </c>
      <c r="AA671">
        <v>1.5570000000000001E-2</v>
      </c>
      <c r="AB671">
        <v>47.1</v>
      </c>
      <c r="AC671">
        <v>5</v>
      </c>
      <c r="AD671">
        <v>86.7</v>
      </c>
      <c r="AE671">
        <v>74476.2</v>
      </c>
      <c r="AF671">
        <v>515.29999999999995</v>
      </c>
    </row>
    <row r="672" spans="1:32" x14ac:dyDescent="0.25">
      <c r="A672" s="3">
        <v>350</v>
      </c>
      <c r="B672" s="3">
        <v>4</v>
      </c>
      <c r="C672" s="3">
        <v>1</v>
      </c>
      <c r="D672">
        <v>0</v>
      </c>
      <c r="E672">
        <v>6.451612903225544E-2</v>
      </c>
      <c r="H672">
        <v>0</v>
      </c>
      <c r="L672" s="3">
        <v>350</v>
      </c>
      <c r="M672" s="3">
        <v>4</v>
      </c>
      <c r="N672" s="3">
        <v>1</v>
      </c>
      <c r="O672">
        <v>0</v>
      </c>
      <c r="P672">
        <v>9.9999999999995925E-6</v>
      </c>
      <c r="S672">
        <v>0</v>
      </c>
      <c r="T672">
        <v>0</v>
      </c>
      <c r="U672">
        <v>0</v>
      </c>
      <c r="W672" s="3">
        <v>350</v>
      </c>
      <c r="X672" s="3">
        <v>4</v>
      </c>
      <c r="Y672" s="3">
        <v>1</v>
      </c>
      <c r="Z672">
        <v>85</v>
      </c>
      <c r="AA672">
        <v>1.5509999999999999E-2</v>
      </c>
      <c r="AB672">
        <v>0</v>
      </c>
      <c r="AC672">
        <v>0</v>
      </c>
      <c r="AD672">
        <v>85</v>
      </c>
      <c r="AE672">
        <v>0</v>
      </c>
      <c r="AF672">
        <v>0</v>
      </c>
    </row>
    <row r="673" spans="1:32" x14ac:dyDescent="0.25">
      <c r="A673" s="3">
        <v>350</v>
      </c>
      <c r="B673" s="3">
        <v>4</v>
      </c>
      <c r="C673" s="3">
        <v>2</v>
      </c>
      <c r="H673">
        <v>0</v>
      </c>
      <c r="L673" s="3">
        <v>350</v>
      </c>
      <c r="M673" s="3">
        <v>4</v>
      </c>
      <c r="N673" s="3">
        <v>2</v>
      </c>
      <c r="S673">
        <v>0</v>
      </c>
      <c r="T673">
        <v>0</v>
      </c>
      <c r="U673">
        <v>0</v>
      </c>
      <c r="W673" s="3">
        <v>350</v>
      </c>
      <c r="X673" s="3">
        <v>4</v>
      </c>
      <c r="Y673" s="3">
        <v>2</v>
      </c>
      <c r="Z673">
        <v>85</v>
      </c>
      <c r="AA673">
        <v>1.5509999999999999E-2</v>
      </c>
      <c r="AB673">
        <v>0</v>
      </c>
      <c r="AC673">
        <v>0</v>
      </c>
      <c r="AD673">
        <v>85</v>
      </c>
      <c r="AE673">
        <v>0</v>
      </c>
      <c r="AF673">
        <v>0</v>
      </c>
    </row>
    <row r="674" spans="1:32" x14ac:dyDescent="0.25">
      <c r="A674" s="3">
        <v>350</v>
      </c>
      <c r="B674" s="3">
        <v>5</v>
      </c>
      <c r="C674" s="3">
        <v>1</v>
      </c>
      <c r="D674">
        <v>9.1575091575008278E-3</v>
      </c>
      <c r="E674">
        <v>6.4102564102561488E-2</v>
      </c>
      <c r="L674" s="3">
        <v>350</v>
      </c>
      <c r="M674" s="3">
        <v>5</v>
      </c>
      <c r="N674" s="3">
        <v>1</v>
      </c>
      <c r="O674">
        <v>9.9999999999909051E-3</v>
      </c>
      <c r="P674">
        <v>-9.9999999999995925E-6</v>
      </c>
      <c r="W674" s="3">
        <v>350</v>
      </c>
      <c r="X674" s="3">
        <v>5</v>
      </c>
      <c r="Y674" s="3">
        <v>1</v>
      </c>
      <c r="Z674">
        <v>109.21</v>
      </c>
      <c r="AA674">
        <v>1.559E-2</v>
      </c>
    </row>
    <row r="675" spans="1:32" x14ac:dyDescent="0.25">
      <c r="A675" s="3">
        <v>350</v>
      </c>
      <c r="B675" s="3">
        <v>5</v>
      </c>
      <c r="C675" s="3">
        <v>2</v>
      </c>
      <c r="L675" s="3">
        <v>350</v>
      </c>
      <c r="M675" s="3">
        <v>5</v>
      </c>
      <c r="N675" s="3">
        <v>2</v>
      </c>
      <c r="W675" s="3">
        <v>350</v>
      </c>
      <c r="X675" s="3">
        <v>5</v>
      </c>
      <c r="Y675" s="3">
        <v>2</v>
      </c>
      <c r="Z675">
        <v>108.8</v>
      </c>
      <c r="AA675">
        <v>1.559E-2</v>
      </c>
    </row>
    <row r="676" spans="1:32" x14ac:dyDescent="0.25">
      <c r="A676" s="3">
        <v>400</v>
      </c>
      <c r="B676" s="3">
        <v>1</v>
      </c>
      <c r="C676" s="3">
        <v>1</v>
      </c>
      <c r="D676">
        <v>1.1764705882358961E-2</v>
      </c>
      <c r="E676">
        <v>6.451612903225544E-2</v>
      </c>
      <c r="L676" s="3">
        <v>400</v>
      </c>
      <c r="M676" s="3">
        <v>1</v>
      </c>
      <c r="N676" s="3">
        <v>1</v>
      </c>
      <c r="O676">
        <v>1.0000000000005119E-2</v>
      </c>
      <c r="P676">
        <v>9.9999999999995925E-6</v>
      </c>
      <c r="W676" s="3">
        <v>400</v>
      </c>
      <c r="X676" s="3">
        <v>1</v>
      </c>
      <c r="Y676" s="3">
        <v>1</v>
      </c>
      <c r="Z676">
        <v>85.01</v>
      </c>
      <c r="AA676">
        <v>1.5509999999999999E-2</v>
      </c>
      <c r="AB676">
        <v>1</v>
      </c>
      <c r="AC676">
        <v>0</v>
      </c>
    </row>
    <row r="677" spans="1:32" x14ac:dyDescent="0.25">
      <c r="A677" s="3">
        <v>400</v>
      </c>
      <c r="B677" s="3">
        <v>1</v>
      </c>
      <c r="C677" s="3">
        <v>2</v>
      </c>
      <c r="L677" s="3">
        <v>400</v>
      </c>
      <c r="M677" s="3">
        <v>1</v>
      </c>
      <c r="N677" s="3">
        <v>2</v>
      </c>
      <c r="W677" s="3">
        <v>400</v>
      </c>
      <c r="X677" s="3">
        <v>1</v>
      </c>
      <c r="Y677" s="3">
        <v>2</v>
      </c>
      <c r="Z677">
        <v>85.03</v>
      </c>
      <c r="AA677">
        <v>1.5509999999999999E-2</v>
      </c>
      <c r="AB677">
        <v>1</v>
      </c>
      <c r="AC677">
        <v>0</v>
      </c>
    </row>
    <row r="678" spans="1:32" x14ac:dyDescent="0.25">
      <c r="A678" s="3">
        <v>400</v>
      </c>
      <c r="B678" s="3">
        <v>1</v>
      </c>
      <c r="C678" s="3">
        <v>3</v>
      </c>
      <c r="L678" s="3">
        <v>400</v>
      </c>
      <c r="M678" s="3">
        <v>1</v>
      </c>
      <c r="N678" s="3">
        <v>3</v>
      </c>
      <c r="W678" s="3">
        <v>400</v>
      </c>
      <c r="X678" s="3">
        <v>1</v>
      </c>
      <c r="Y678" s="3">
        <v>3</v>
      </c>
      <c r="Z678">
        <v>85.04</v>
      </c>
      <c r="AA678">
        <v>1.5509999999999999E-2</v>
      </c>
      <c r="AB678">
        <v>1</v>
      </c>
      <c r="AC678">
        <v>0</v>
      </c>
    </row>
    <row r="679" spans="1:32" x14ac:dyDescent="0.25">
      <c r="A679" s="3">
        <v>400</v>
      </c>
      <c r="B679" s="3">
        <v>1</v>
      </c>
      <c r="C679" s="3">
        <v>4</v>
      </c>
      <c r="L679" s="3">
        <v>400</v>
      </c>
      <c r="M679" s="3">
        <v>1</v>
      </c>
      <c r="N679" s="3">
        <v>4</v>
      </c>
      <c r="W679" s="3">
        <v>400</v>
      </c>
      <c r="X679" s="3">
        <v>1</v>
      </c>
      <c r="Y679" s="3">
        <v>4</v>
      </c>
      <c r="Z679">
        <v>85.04</v>
      </c>
      <c r="AA679">
        <v>1.5509999999999999E-2</v>
      </c>
      <c r="AB679">
        <v>1</v>
      </c>
      <c r="AC679">
        <v>0</v>
      </c>
    </row>
    <row r="680" spans="1:32" x14ac:dyDescent="0.25">
      <c r="A680" s="3">
        <v>400</v>
      </c>
      <c r="B680" s="3">
        <v>1</v>
      </c>
      <c r="C680" s="3">
        <v>5</v>
      </c>
      <c r="L680" s="3">
        <v>400</v>
      </c>
      <c r="M680" s="3">
        <v>1</v>
      </c>
      <c r="N680" s="3">
        <v>5</v>
      </c>
      <c r="W680" s="3">
        <v>400</v>
      </c>
      <c r="X680" s="3">
        <v>1</v>
      </c>
      <c r="Y680" s="3">
        <v>5</v>
      </c>
      <c r="Z680">
        <v>85.05</v>
      </c>
      <c r="AA680">
        <v>1.5509999999999999E-2</v>
      </c>
      <c r="AB680">
        <v>1</v>
      </c>
      <c r="AC680">
        <v>0</v>
      </c>
    </row>
    <row r="681" spans="1:32" x14ac:dyDescent="0.25">
      <c r="A681" s="3">
        <v>400</v>
      </c>
      <c r="B681" s="3">
        <v>1</v>
      </c>
      <c r="C681" s="3">
        <v>6</v>
      </c>
      <c r="L681" s="3">
        <v>400</v>
      </c>
      <c r="M681" s="3">
        <v>1</v>
      </c>
      <c r="N681" s="3">
        <v>6</v>
      </c>
      <c r="W681" s="3">
        <v>400</v>
      </c>
      <c r="X681" s="3">
        <v>1</v>
      </c>
      <c r="Y681" s="3">
        <v>6</v>
      </c>
      <c r="Z681">
        <v>85.06</v>
      </c>
      <c r="AA681">
        <v>1.5509999999999999E-2</v>
      </c>
      <c r="AB681">
        <v>1</v>
      </c>
      <c r="AC681">
        <v>0</v>
      </c>
    </row>
    <row r="682" spans="1:32" x14ac:dyDescent="0.25">
      <c r="A682" s="3">
        <v>400</v>
      </c>
      <c r="B682" s="3">
        <v>1</v>
      </c>
      <c r="C682" s="3">
        <v>7</v>
      </c>
      <c r="L682" s="3">
        <v>400</v>
      </c>
      <c r="M682" s="3">
        <v>1</v>
      </c>
      <c r="N682" s="3">
        <v>7</v>
      </c>
      <c r="W682" s="3">
        <v>400</v>
      </c>
      <c r="X682" s="3">
        <v>1</v>
      </c>
      <c r="Y682" s="3">
        <v>7</v>
      </c>
      <c r="Z682">
        <v>85.06</v>
      </c>
      <c r="AA682">
        <v>1.5509999999999999E-2</v>
      </c>
      <c r="AB682">
        <v>1</v>
      </c>
      <c r="AC682">
        <v>0</v>
      </c>
    </row>
    <row r="683" spans="1:32" x14ac:dyDescent="0.25">
      <c r="A683" s="3">
        <v>400</v>
      </c>
      <c r="B683" s="3">
        <v>1</v>
      </c>
      <c r="C683" s="3">
        <v>8</v>
      </c>
      <c r="L683" s="3">
        <v>400</v>
      </c>
      <c r="M683" s="3">
        <v>1</v>
      </c>
      <c r="N683" s="3">
        <v>8</v>
      </c>
      <c r="W683" s="3">
        <v>400</v>
      </c>
      <c r="X683" s="3">
        <v>1</v>
      </c>
      <c r="Y683" s="3">
        <v>8</v>
      </c>
      <c r="Z683">
        <v>85.07</v>
      </c>
      <c r="AA683">
        <v>1.5509999999999999E-2</v>
      </c>
      <c r="AB683">
        <v>1</v>
      </c>
      <c r="AC683">
        <v>0</v>
      </c>
    </row>
    <row r="684" spans="1:32" x14ac:dyDescent="0.25">
      <c r="A684" s="3">
        <v>400</v>
      </c>
      <c r="B684" s="3">
        <v>1</v>
      </c>
      <c r="C684" s="3">
        <v>9</v>
      </c>
      <c r="L684" s="3">
        <v>400</v>
      </c>
      <c r="M684" s="3">
        <v>1</v>
      </c>
      <c r="N684" s="3">
        <v>9</v>
      </c>
      <c r="W684" s="3">
        <v>400</v>
      </c>
      <c r="X684" s="3">
        <v>1</v>
      </c>
      <c r="Y684" s="3">
        <v>9</v>
      </c>
      <c r="Z684">
        <v>85.07</v>
      </c>
      <c r="AA684">
        <v>1.5509999999999999E-2</v>
      </c>
      <c r="AB684">
        <v>1</v>
      </c>
      <c r="AC684">
        <v>0</v>
      </c>
    </row>
    <row r="685" spans="1:32" x14ac:dyDescent="0.25">
      <c r="A685" s="3">
        <v>400</v>
      </c>
      <c r="B685" s="3">
        <v>1</v>
      </c>
      <c r="C685" s="3">
        <v>10</v>
      </c>
      <c r="L685" s="3">
        <v>400</v>
      </c>
      <c r="M685" s="3">
        <v>1</v>
      </c>
      <c r="N685" s="3">
        <v>10</v>
      </c>
      <c r="W685" s="3">
        <v>400</v>
      </c>
      <c r="X685" s="3">
        <v>1</v>
      </c>
      <c r="Y685" s="3">
        <v>10</v>
      </c>
      <c r="Z685">
        <v>85.07</v>
      </c>
      <c r="AA685">
        <v>1.5509999999999999E-2</v>
      </c>
      <c r="AB685">
        <v>1</v>
      </c>
      <c r="AC685">
        <v>0</v>
      </c>
    </row>
    <row r="686" spans="1:32" x14ac:dyDescent="0.25">
      <c r="A686" s="3">
        <v>400</v>
      </c>
      <c r="B686" s="3">
        <v>2</v>
      </c>
      <c r="C686" s="3">
        <v>1</v>
      </c>
      <c r="D686">
        <v>5.2192066805946376E-3</v>
      </c>
      <c r="E686">
        <v>0.31645569620251868</v>
      </c>
      <c r="H686">
        <v>0</v>
      </c>
      <c r="I686">
        <v>0</v>
      </c>
      <c r="J686">
        <v>5.2088162343082201E-5</v>
      </c>
      <c r="L686" s="3">
        <v>400</v>
      </c>
      <c r="M686" s="3">
        <v>2</v>
      </c>
      <c r="N686" s="3">
        <v>1</v>
      </c>
      <c r="O686">
        <v>1.000000000001933E-2</v>
      </c>
      <c r="P686">
        <v>4.9999999999997963E-5</v>
      </c>
      <c r="S686">
        <v>0</v>
      </c>
      <c r="T686">
        <v>0</v>
      </c>
      <c r="U686">
        <v>-0.2000000000116415</v>
      </c>
      <c r="W686" s="3">
        <v>400</v>
      </c>
      <c r="X686" s="3">
        <v>2</v>
      </c>
      <c r="Y686" s="3">
        <v>1</v>
      </c>
      <c r="Z686">
        <v>191.61</v>
      </c>
      <c r="AA686">
        <v>1.585E-2</v>
      </c>
      <c r="AB686">
        <v>0.1</v>
      </c>
      <c r="AC686">
        <v>0</v>
      </c>
      <c r="AD686">
        <v>96.7</v>
      </c>
      <c r="AE686">
        <v>1725476.1</v>
      </c>
      <c r="AF686">
        <v>383964.2</v>
      </c>
    </row>
    <row r="687" spans="1:32" x14ac:dyDescent="0.25">
      <c r="A687" s="3">
        <v>400</v>
      </c>
      <c r="B687" s="3">
        <v>2</v>
      </c>
      <c r="C687" s="3">
        <v>2</v>
      </c>
      <c r="H687">
        <v>0</v>
      </c>
      <c r="I687">
        <v>1.3499008151994131E-5</v>
      </c>
      <c r="J687">
        <v>1.847164502617381E-5</v>
      </c>
      <c r="L687" s="3">
        <v>400</v>
      </c>
      <c r="M687" s="3">
        <v>2</v>
      </c>
      <c r="N687" s="3">
        <v>2</v>
      </c>
      <c r="S687">
        <v>0</v>
      </c>
      <c r="T687">
        <v>0.29999999981373549</v>
      </c>
      <c r="U687">
        <v>-0.1000000000931323</v>
      </c>
      <c r="W687" s="3">
        <v>400</v>
      </c>
      <c r="X687" s="3">
        <v>2</v>
      </c>
      <c r="Y687" s="3">
        <v>2</v>
      </c>
      <c r="Z687">
        <v>223.22</v>
      </c>
      <c r="AA687">
        <v>1.585E-2</v>
      </c>
      <c r="AB687">
        <v>0.1</v>
      </c>
      <c r="AC687">
        <v>0</v>
      </c>
      <c r="AD687">
        <v>101.1</v>
      </c>
      <c r="AE687">
        <v>2222385.7999999998</v>
      </c>
      <c r="AF687">
        <v>541370.19999999995</v>
      </c>
    </row>
    <row r="688" spans="1:32" x14ac:dyDescent="0.25">
      <c r="A688" s="3">
        <v>400</v>
      </c>
      <c r="B688" s="3">
        <v>3</v>
      </c>
      <c r="C688" s="3">
        <v>1</v>
      </c>
      <c r="D688">
        <v>1.1355034065091869E-2</v>
      </c>
      <c r="E688">
        <v>0.31446540880504043</v>
      </c>
      <c r="H688">
        <v>0</v>
      </c>
      <c r="I688">
        <v>3.4358227808352882E-5</v>
      </c>
      <c r="J688">
        <v>0</v>
      </c>
      <c r="L688" s="3">
        <v>400</v>
      </c>
      <c r="M688" s="3">
        <v>3</v>
      </c>
      <c r="N688" s="3">
        <v>1</v>
      </c>
      <c r="O688">
        <v>-2.9999999999972719E-2</v>
      </c>
      <c r="P688">
        <v>-5.0000000000001432E-5</v>
      </c>
      <c r="S688">
        <v>0</v>
      </c>
      <c r="T688">
        <v>0.29999999993015081</v>
      </c>
      <c r="U688">
        <v>0</v>
      </c>
      <c r="W688" s="3">
        <v>400</v>
      </c>
      <c r="X688" s="3">
        <v>3</v>
      </c>
      <c r="Y688" s="3">
        <v>1</v>
      </c>
      <c r="Z688">
        <v>264.17</v>
      </c>
      <c r="AA688">
        <v>1.585E-2</v>
      </c>
      <c r="AB688">
        <v>0</v>
      </c>
      <c r="AC688">
        <v>0</v>
      </c>
      <c r="AD688">
        <v>108.4</v>
      </c>
      <c r="AE688">
        <v>873153.6</v>
      </c>
      <c r="AF688">
        <v>222311.4</v>
      </c>
    </row>
    <row r="689" spans="1:32" x14ac:dyDescent="0.25">
      <c r="A689" s="3">
        <v>400</v>
      </c>
      <c r="B689" s="3">
        <v>3</v>
      </c>
      <c r="C689" s="3">
        <v>2</v>
      </c>
      <c r="H689">
        <v>0</v>
      </c>
      <c r="I689">
        <v>3.1519100882991943E-5</v>
      </c>
      <c r="J689">
        <v>3.9592905745453563E-5</v>
      </c>
      <c r="L689" s="3">
        <v>400</v>
      </c>
      <c r="M689" s="3">
        <v>3</v>
      </c>
      <c r="N689" s="3">
        <v>2</v>
      </c>
      <c r="S689">
        <v>0</v>
      </c>
      <c r="T689">
        <v>0.29999999993015081</v>
      </c>
      <c r="U689">
        <v>-0.10000000000582079</v>
      </c>
      <c r="W689" s="3">
        <v>400</v>
      </c>
      <c r="X689" s="3">
        <v>3</v>
      </c>
      <c r="Y689" s="3">
        <v>2</v>
      </c>
      <c r="Z689">
        <v>280.20999999999998</v>
      </c>
      <c r="AA689">
        <v>1.585E-2</v>
      </c>
      <c r="AB689">
        <v>0</v>
      </c>
      <c r="AC689">
        <v>0</v>
      </c>
      <c r="AD689">
        <v>111.1</v>
      </c>
      <c r="AE689">
        <v>951804.1</v>
      </c>
      <c r="AF689">
        <v>252570.4</v>
      </c>
    </row>
    <row r="690" spans="1:32" x14ac:dyDescent="0.25">
      <c r="A690" s="3">
        <v>400</v>
      </c>
      <c r="B690" s="3">
        <v>3</v>
      </c>
      <c r="C690" s="3">
        <v>3</v>
      </c>
      <c r="H690">
        <v>0</v>
      </c>
      <c r="I690">
        <v>9.6268090436474641E-6</v>
      </c>
      <c r="J690">
        <v>6.9405283481244626E-5</v>
      </c>
      <c r="L690" s="3">
        <v>400</v>
      </c>
      <c r="M690" s="3">
        <v>3</v>
      </c>
      <c r="N690" s="3">
        <v>3</v>
      </c>
      <c r="S690">
        <v>0</v>
      </c>
      <c r="T690">
        <v>9.9999999976716936E-2</v>
      </c>
      <c r="U690">
        <v>-0.2000000000116415</v>
      </c>
      <c r="W690" s="3">
        <v>400</v>
      </c>
      <c r="X690" s="3">
        <v>3</v>
      </c>
      <c r="Y690" s="3">
        <v>3</v>
      </c>
      <c r="Z690">
        <v>297.8</v>
      </c>
      <c r="AA690">
        <v>1.585E-2</v>
      </c>
      <c r="AB690">
        <v>0</v>
      </c>
      <c r="AC690">
        <v>0</v>
      </c>
      <c r="AD690">
        <v>114.1</v>
      </c>
      <c r="AE690">
        <v>1038765.9</v>
      </c>
      <c r="AF690">
        <v>288162.3</v>
      </c>
    </row>
    <row r="691" spans="1:32" x14ac:dyDescent="0.25">
      <c r="A691" s="3">
        <v>400</v>
      </c>
      <c r="B691" s="3">
        <v>3</v>
      </c>
      <c r="C691" s="3">
        <v>4</v>
      </c>
      <c r="H691">
        <v>0</v>
      </c>
      <c r="I691">
        <v>7.0608236119463675E-5</v>
      </c>
      <c r="J691">
        <v>1.2107937417857489E-4</v>
      </c>
      <c r="L691" s="3">
        <v>400</v>
      </c>
      <c r="M691" s="3">
        <v>3</v>
      </c>
      <c r="N691" s="3">
        <v>4</v>
      </c>
      <c r="S691">
        <v>0</v>
      </c>
      <c r="T691">
        <v>-0.80000000004656613</v>
      </c>
      <c r="U691">
        <v>-0.3999999999650754</v>
      </c>
      <c r="W691" s="3">
        <v>400</v>
      </c>
      <c r="X691" s="3">
        <v>3</v>
      </c>
      <c r="Y691" s="3">
        <v>4</v>
      </c>
      <c r="Z691">
        <v>317.14</v>
      </c>
      <c r="AA691">
        <v>1.5859999999999999E-2</v>
      </c>
      <c r="AB691">
        <v>0</v>
      </c>
      <c r="AC691">
        <v>0</v>
      </c>
      <c r="AD691">
        <v>117.4</v>
      </c>
      <c r="AE691">
        <v>1133011.5</v>
      </c>
      <c r="AF691">
        <v>330361.40000000002</v>
      </c>
    </row>
    <row r="692" spans="1:32" x14ac:dyDescent="0.25">
      <c r="A692" s="3">
        <v>400</v>
      </c>
      <c r="B692" s="3">
        <v>3</v>
      </c>
      <c r="C692" s="3">
        <v>5</v>
      </c>
      <c r="H692">
        <v>0</v>
      </c>
      <c r="I692">
        <v>3.2325781807669662E-5</v>
      </c>
      <c r="J692">
        <v>1.050707125956887E-4</v>
      </c>
      <c r="L692" s="3">
        <v>400</v>
      </c>
      <c r="M692" s="3">
        <v>3</v>
      </c>
      <c r="N692" s="3">
        <v>5</v>
      </c>
      <c r="S692">
        <v>0</v>
      </c>
      <c r="T692">
        <v>-0.39999999990686769</v>
      </c>
      <c r="U692">
        <v>-0.40000000002328312</v>
      </c>
      <c r="W692" s="3">
        <v>400</v>
      </c>
      <c r="X692" s="3">
        <v>3</v>
      </c>
      <c r="Y692" s="3">
        <v>5</v>
      </c>
      <c r="Z692">
        <v>338.41</v>
      </c>
      <c r="AA692">
        <v>1.5859999999999999E-2</v>
      </c>
      <c r="AB692">
        <v>0</v>
      </c>
      <c r="AC692">
        <v>0</v>
      </c>
      <c r="AD692">
        <v>121.3</v>
      </c>
      <c r="AE692">
        <v>1237402</v>
      </c>
      <c r="AF692">
        <v>380695.6</v>
      </c>
    </row>
    <row r="693" spans="1:32" x14ac:dyDescent="0.25">
      <c r="A693" s="3">
        <v>400</v>
      </c>
      <c r="B693" s="3">
        <v>3</v>
      </c>
      <c r="C693" s="3">
        <v>6</v>
      </c>
      <c r="H693">
        <v>0</v>
      </c>
      <c r="I693">
        <v>2.9545283310228998E-5</v>
      </c>
      <c r="J693">
        <v>1.133212532877329E-4</v>
      </c>
      <c r="L693" s="3">
        <v>400</v>
      </c>
      <c r="M693" s="3">
        <v>3</v>
      </c>
      <c r="N693" s="3">
        <v>6</v>
      </c>
      <c r="S693">
        <v>0</v>
      </c>
      <c r="T693">
        <v>-0.39999999990686769</v>
      </c>
      <c r="U693">
        <v>-0.5</v>
      </c>
      <c r="W693" s="3">
        <v>400</v>
      </c>
      <c r="X693" s="3">
        <v>3</v>
      </c>
      <c r="Y693" s="3">
        <v>6</v>
      </c>
      <c r="Z693">
        <v>361.89</v>
      </c>
      <c r="AA693">
        <v>1.5859999999999999E-2</v>
      </c>
      <c r="AB693">
        <v>0</v>
      </c>
      <c r="AC693">
        <v>0</v>
      </c>
      <c r="AD693">
        <v>125.7</v>
      </c>
      <c r="AE693">
        <v>1353853.6</v>
      </c>
      <c r="AF693">
        <v>441223</v>
      </c>
    </row>
    <row r="694" spans="1:32" x14ac:dyDescent="0.25">
      <c r="A694" s="3">
        <v>400</v>
      </c>
      <c r="B694" s="3">
        <v>3</v>
      </c>
      <c r="C694" s="3">
        <v>7</v>
      </c>
      <c r="H694">
        <v>0</v>
      </c>
      <c r="I694">
        <v>1.3473431871284121E-5</v>
      </c>
      <c r="J694">
        <v>5.8286550279116508E-5</v>
      </c>
      <c r="L694" s="3">
        <v>400</v>
      </c>
      <c r="M694" s="3">
        <v>3</v>
      </c>
      <c r="N694" s="3">
        <v>7</v>
      </c>
      <c r="S694">
        <v>0</v>
      </c>
      <c r="T694">
        <v>0.1999999999534339</v>
      </c>
      <c r="U694">
        <v>-0.29999999998835852</v>
      </c>
      <c r="W694" s="3">
        <v>400</v>
      </c>
      <c r="X694" s="3">
        <v>3</v>
      </c>
      <c r="Y694" s="3">
        <v>7</v>
      </c>
      <c r="Z694">
        <v>387.87</v>
      </c>
      <c r="AA694">
        <v>1.5859999999999999E-2</v>
      </c>
      <c r="AB694">
        <v>0</v>
      </c>
      <c r="AC694">
        <v>0</v>
      </c>
      <c r="AD694">
        <v>130.69999999999999</v>
      </c>
      <c r="AE694">
        <v>1484403</v>
      </c>
      <c r="AF694">
        <v>514698.2</v>
      </c>
    </row>
    <row r="695" spans="1:32" x14ac:dyDescent="0.25">
      <c r="A695" s="3">
        <v>400</v>
      </c>
      <c r="B695" s="3">
        <v>3</v>
      </c>
      <c r="C695" s="3">
        <v>8</v>
      </c>
      <c r="H695">
        <v>0</v>
      </c>
      <c r="I695">
        <v>5.5249130924399508E-5</v>
      </c>
      <c r="J695">
        <v>3.3064578936614903E-5</v>
      </c>
      <c r="L695" s="3">
        <v>400</v>
      </c>
      <c r="M695" s="3">
        <v>3</v>
      </c>
      <c r="N695" s="3">
        <v>8</v>
      </c>
      <c r="S695">
        <v>0</v>
      </c>
      <c r="T695">
        <v>0.90000000013969839</v>
      </c>
      <c r="U695">
        <v>-0.20000000006984919</v>
      </c>
      <c r="W695" s="3">
        <v>400</v>
      </c>
      <c r="X695" s="3">
        <v>3</v>
      </c>
      <c r="Y695" s="3">
        <v>8</v>
      </c>
      <c r="Z695">
        <v>416.74</v>
      </c>
      <c r="AA695">
        <v>1.5859999999999999E-2</v>
      </c>
      <c r="AB695">
        <v>0</v>
      </c>
      <c r="AC695">
        <v>0</v>
      </c>
      <c r="AD695">
        <v>136.5</v>
      </c>
      <c r="AE695">
        <v>1628985.8</v>
      </c>
      <c r="AF695">
        <v>604876.69999999995</v>
      </c>
    </row>
    <row r="696" spans="1:32" x14ac:dyDescent="0.25">
      <c r="A696" s="3">
        <v>400</v>
      </c>
      <c r="B696" s="3">
        <v>3</v>
      </c>
      <c r="C696" s="3">
        <v>9</v>
      </c>
      <c r="H696">
        <v>0</v>
      </c>
      <c r="I696">
        <v>5.3654769113505039E-5</v>
      </c>
      <c r="J696">
        <v>4.4785404008405742E-5</v>
      </c>
      <c r="L696" s="3">
        <v>400</v>
      </c>
      <c r="M696" s="3">
        <v>3</v>
      </c>
      <c r="N696" s="3">
        <v>9</v>
      </c>
      <c r="S696">
        <v>0</v>
      </c>
      <c r="T696">
        <v>1.799999999813735</v>
      </c>
      <c r="U696">
        <v>-0.29999999993015081</v>
      </c>
      <c r="W696" s="3">
        <v>400</v>
      </c>
      <c r="X696" s="3">
        <v>3</v>
      </c>
      <c r="Y696" s="3">
        <v>9</v>
      </c>
      <c r="Z696">
        <v>448.94</v>
      </c>
      <c r="AA696">
        <v>1.5859999999999999E-2</v>
      </c>
      <c r="AB696">
        <v>40.700000000000003</v>
      </c>
      <c r="AC696">
        <v>4.5</v>
      </c>
      <c r="AD696">
        <v>180.8</v>
      </c>
      <c r="AE696">
        <v>3354782.8</v>
      </c>
      <c r="AF696">
        <v>669860.80000000005</v>
      </c>
    </row>
    <row r="697" spans="1:32" x14ac:dyDescent="0.25">
      <c r="A697" s="3">
        <v>400</v>
      </c>
      <c r="B697" s="3">
        <v>3</v>
      </c>
      <c r="C697" s="3">
        <v>10</v>
      </c>
      <c r="H697">
        <v>0</v>
      </c>
      <c r="I697">
        <v>0</v>
      </c>
      <c r="J697">
        <v>6.8877789102950244E-5</v>
      </c>
      <c r="L697" s="3">
        <v>400</v>
      </c>
      <c r="M697" s="3">
        <v>3</v>
      </c>
      <c r="N697" s="3">
        <v>10</v>
      </c>
      <c r="S697">
        <v>0</v>
      </c>
      <c r="T697">
        <v>0</v>
      </c>
      <c r="U697">
        <v>-0.59999999997671694</v>
      </c>
      <c r="W697" s="3">
        <v>400</v>
      </c>
      <c r="X697" s="3">
        <v>3</v>
      </c>
      <c r="Y697" s="3">
        <v>10</v>
      </c>
      <c r="Z697">
        <v>503.44</v>
      </c>
      <c r="AA697">
        <v>1.5800000000000002E-2</v>
      </c>
      <c r="AB697">
        <v>45.6</v>
      </c>
      <c r="AC697">
        <v>5.0999999999999996</v>
      </c>
      <c r="AD697">
        <v>203.1</v>
      </c>
      <c r="AE697">
        <v>4005362</v>
      </c>
      <c r="AF697">
        <v>871107.5</v>
      </c>
    </row>
    <row r="698" spans="1:32" x14ac:dyDescent="0.25">
      <c r="A698" s="3">
        <v>400</v>
      </c>
      <c r="B698" s="3">
        <v>3</v>
      </c>
      <c r="C698" s="3">
        <v>11</v>
      </c>
      <c r="H698">
        <v>0</v>
      </c>
      <c r="I698">
        <v>5.2383660250456037E-5</v>
      </c>
      <c r="J698">
        <v>8.0604274122239613E-6</v>
      </c>
      <c r="L698" s="3">
        <v>400</v>
      </c>
      <c r="M698" s="3">
        <v>3</v>
      </c>
      <c r="N698" s="3">
        <v>11</v>
      </c>
      <c r="S698">
        <v>0</v>
      </c>
      <c r="T698">
        <v>-0.89999999990686774</v>
      </c>
      <c r="U698">
        <v>-1</v>
      </c>
      <c r="W698" s="3">
        <v>400</v>
      </c>
      <c r="X698" s="3">
        <v>3</v>
      </c>
      <c r="Y698" s="3">
        <v>11</v>
      </c>
      <c r="Z698">
        <v>570.21</v>
      </c>
      <c r="AA698">
        <v>1.575E-2</v>
      </c>
      <c r="AB698">
        <v>13378.9</v>
      </c>
      <c r="AC698">
        <v>5.0999999999999996</v>
      </c>
      <c r="AD698">
        <v>443.6</v>
      </c>
      <c r="AE698">
        <v>1718092.1</v>
      </c>
      <c r="AF698">
        <v>12406289</v>
      </c>
    </row>
    <row r="699" spans="1:32" x14ac:dyDescent="0.25">
      <c r="A699" s="3">
        <v>400</v>
      </c>
      <c r="B699" s="3">
        <v>3</v>
      </c>
      <c r="C699" s="3">
        <v>12</v>
      </c>
      <c r="H699">
        <v>0</v>
      </c>
      <c r="I699">
        <v>2.5404137487284499E-3</v>
      </c>
      <c r="J699">
        <v>2.9633141705656691E-3</v>
      </c>
      <c r="L699" s="3">
        <v>400</v>
      </c>
      <c r="M699" s="3">
        <v>3</v>
      </c>
      <c r="N699" s="3">
        <v>12</v>
      </c>
      <c r="S699">
        <v>0</v>
      </c>
      <c r="T699">
        <v>-1.200000000004366</v>
      </c>
      <c r="U699">
        <v>-9.9999999999909051E-2</v>
      </c>
      <c r="W699" s="3">
        <v>400</v>
      </c>
      <c r="X699" s="3">
        <v>3</v>
      </c>
      <c r="Y699" s="3">
        <v>12</v>
      </c>
      <c r="Z699">
        <v>90.63</v>
      </c>
      <c r="AA699">
        <v>1.5689999999999999E-2</v>
      </c>
      <c r="AB699">
        <v>45.5</v>
      </c>
      <c r="AC699">
        <v>5.0999999999999996</v>
      </c>
      <c r="AD699">
        <v>86.7</v>
      </c>
      <c r="AE699">
        <v>47235.199999999997</v>
      </c>
      <c r="AF699">
        <v>3374.5</v>
      </c>
    </row>
    <row r="700" spans="1:32" x14ac:dyDescent="0.25">
      <c r="A700" s="3">
        <v>400</v>
      </c>
      <c r="B700" s="3">
        <v>3</v>
      </c>
      <c r="C700" s="3">
        <v>13</v>
      </c>
      <c r="H700">
        <v>0</v>
      </c>
      <c r="I700">
        <v>4.2722523314335714E-3</v>
      </c>
      <c r="J700">
        <v>4.2918454935583286E-3</v>
      </c>
      <c r="L700" s="3">
        <v>400</v>
      </c>
      <c r="M700" s="3">
        <v>3</v>
      </c>
      <c r="N700" s="3">
        <v>13</v>
      </c>
      <c r="S700">
        <v>0</v>
      </c>
      <c r="T700">
        <v>-1.400000000001455</v>
      </c>
      <c r="U700">
        <v>-9.9999999999909051E-2</v>
      </c>
      <c r="W700" s="3">
        <v>400</v>
      </c>
      <c r="X700" s="3">
        <v>3</v>
      </c>
      <c r="Y700" s="3">
        <v>13</v>
      </c>
      <c r="Z700">
        <v>89</v>
      </c>
      <c r="AA700">
        <v>1.5630000000000002E-2</v>
      </c>
      <c r="AB700">
        <v>45.5</v>
      </c>
      <c r="AC700">
        <v>5.0999999999999996</v>
      </c>
      <c r="AD700">
        <v>86.3</v>
      </c>
      <c r="AE700">
        <v>32768.199999999997</v>
      </c>
      <c r="AF700">
        <v>2329.9</v>
      </c>
    </row>
    <row r="701" spans="1:32" x14ac:dyDescent="0.25">
      <c r="A701" s="3">
        <v>400</v>
      </c>
      <c r="B701" s="3">
        <v>3</v>
      </c>
      <c r="C701" s="3">
        <v>14</v>
      </c>
      <c r="H701">
        <v>0</v>
      </c>
      <c r="I701">
        <v>3.2745635351507943E-2</v>
      </c>
      <c r="J701">
        <v>1.541782300339543E-2</v>
      </c>
      <c r="L701" s="3">
        <v>400</v>
      </c>
      <c r="M701" s="3">
        <v>3</v>
      </c>
      <c r="N701" s="3">
        <v>14</v>
      </c>
      <c r="S701">
        <v>0</v>
      </c>
      <c r="T701">
        <v>-1.9000000000005459</v>
      </c>
      <c r="U701">
        <v>-0.1000000000000227</v>
      </c>
      <c r="W701" s="3">
        <v>400</v>
      </c>
      <c r="X701" s="3">
        <v>3</v>
      </c>
      <c r="Y701" s="3">
        <v>14</v>
      </c>
      <c r="Z701">
        <v>87.16</v>
      </c>
      <c r="AA701">
        <v>1.5570000000000001E-2</v>
      </c>
      <c r="AB701">
        <v>44.9</v>
      </c>
      <c r="AC701">
        <v>5</v>
      </c>
      <c r="AD701">
        <v>86.4</v>
      </c>
      <c r="AE701">
        <v>5800.4</v>
      </c>
      <c r="AF701">
        <v>648.5</v>
      </c>
    </row>
    <row r="702" spans="1:32" x14ac:dyDescent="0.25">
      <c r="A702" s="3">
        <v>400</v>
      </c>
      <c r="B702" s="3">
        <v>4</v>
      </c>
      <c r="C702" s="3">
        <v>1</v>
      </c>
      <c r="D702">
        <v>0</v>
      </c>
      <c r="E702">
        <v>6.451612903225544E-2</v>
      </c>
      <c r="H702">
        <v>0</v>
      </c>
      <c r="L702" s="3">
        <v>400</v>
      </c>
      <c r="M702" s="3">
        <v>4</v>
      </c>
      <c r="N702" s="3">
        <v>1</v>
      </c>
      <c r="O702">
        <v>0</v>
      </c>
      <c r="P702">
        <v>9.9999999999995925E-6</v>
      </c>
      <c r="S702">
        <v>0</v>
      </c>
      <c r="T702">
        <v>0</v>
      </c>
      <c r="U702">
        <v>0</v>
      </c>
      <c r="W702" s="3">
        <v>400</v>
      </c>
      <c r="X702" s="3">
        <v>4</v>
      </c>
      <c r="Y702" s="3">
        <v>1</v>
      </c>
      <c r="Z702">
        <v>85</v>
      </c>
      <c r="AA702">
        <v>1.5509999999999999E-2</v>
      </c>
      <c r="AB702">
        <v>0</v>
      </c>
      <c r="AC702">
        <v>0</v>
      </c>
      <c r="AD702">
        <v>85</v>
      </c>
      <c r="AE702">
        <v>0</v>
      </c>
      <c r="AF702">
        <v>0</v>
      </c>
    </row>
    <row r="703" spans="1:32" x14ac:dyDescent="0.25">
      <c r="A703" s="3">
        <v>400</v>
      </c>
      <c r="B703" s="3">
        <v>4</v>
      </c>
      <c r="C703" s="3">
        <v>2</v>
      </c>
      <c r="H703">
        <v>0</v>
      </c>
      <c r="L703" s="3">
        <v>400</v>
      </c>
      <c r="M703" s="3">
        <v>4</v>
      </c>
      <c r="N703" s="3">
        <v>2</v>
      </c>
      <c r="S703">
        <v>0</v>
      </c>
      <c r="T703">
        <v>0</v>
      </c>
      <c r="U703">
        <v>0</v>
      </c>
      <c r="W703" s="3">
        <v>400</v>
      </c>
      <c r="X703" s="3">
        <v>4</v>
      </c>
      <c r="Y703" s="3">
        <v>2</v>
      </c>
      <c r="Z703">
        <v>85</v>
      </c>
      <c r="AA703">
        <v>1.5509999999999999E-2</v>
      </c>
      <c r="AB703">
        <v>0</v>
      </c>
      <c r="AC703">
        <v>0</v>
      </c>
      <c r="AD703">
        <v>85</v>
      </c>
      <c r="AE703">
        <v>0</v>
      </c>
      <c r="AF703">
        <v>0</v>
      </c>
    </row>
    <row r="704" spans="1:32" x14ac:dyDescent="0.25">
      <c r="A704" s="3">
        <v>400</v>
      </c>
      <c r="B704" s="3">
        <v>5</v>
      </c>
      <c r="C704" s="3">
        <v>1</v>
      </c>
      <c r="D704">
        <v>9.1074681238532823E-3</v>
      </c>
      <c r="E704">
        <v>6.4102564102561488E-2</v>
      </c>
      <c r="L704" s="3">
        <v>400</v>
      </c>
      <c r="M704" s="3">
        <v>5</v>
      </c>
      <c r="N704" s="3">
        <v>1</v>
      </c>
      <c r="O704">
        <v>-9.9999999999909051E-3</v>
      </c>
      <c r="P704">
        <v>-9.9999999999995925E-6</v>
      </c>
      <c r="W704" s="3">
        <v>400</v>
      </c>
      <c r="X704" s="3">
        <v>5</v>
      </c>
      <c r="Y704" s="3">
        <v>1</v>
      </c>
      <c r="Z704">
        <v>109.79</v>
      </c>
      <c r="AA704">
        <v>1.559E-2</v>
      </c>
    </row>
    <row r="705" spans="1:32" x14ac:dyDescent="0.25">
      <c r="A705" s="3">
        <v>400</v>
      </c>
      <c r="B705" s="3">
        <v>5</v>
      </c>
      <c r="C705" s="3">
        <v>2</v>
      </c>
      <c r="L705" s="3">
        <v>400</v>
      </c>
      <c r="M705" s="3">
        <v>5</v>
      </c>
      <c r="N705" s="3">
        <v>2</v>
      </c>
      <c r="W705" s="3">
        <v>400</v>
      </c>
      <c r="X705" s="3">
        <v>5</v>
      </c>
      <c r="Y705" s="3">
        <v>2</v>
      </c>
      <c r="Z705">
        <v>109.37</v>
      </c>
      <c r="AA705">
        <v>1.559E-2</v>
      </c>
    </row>
    <row r="706" spans="1:32" x14ac:dyDescent="0.25">
      <c r="A706" s="3">
        <v>450</v>
      </c>
      <c r="B706" s="3">
        <v>1</v>
      </c>
      <c r="C706" s="3">
        <v>1</v>
      </c>
      <c r="D706">
        <v>1.1764705882358961E-2</v>
      </c>
      <c r="E706">
        <v>6.451612903225544E-2</v>
      </c>
      <c r="L706" s="3">
        <v>450</v>
      </c>
      <c r="M706" s="3">
        <v>1</v>
      </c>
      <c r="N706" s="3">
        <v>1</v>
      </c>
      <c r="O706">
        <v>1.0000000000005119E-2</v>
      </c>
      <c r="P706">
        <v>9.9999999999995925E-6</v>
      </c>
      <c r="W706" s="3">
        <v>450</v>
      </c>
      <c r="X706" s="3">
        <v>1</v>
      </c>
      <c r="Y706" s="3">
        <v>1</v>
      </c>
      <c r="Z706">
        <v>85.01</v>
      </c>
      <c r="AA706">
        <v>1.5509999999999999E-2</v>
      </c>
      <c r="AB706">
        <v>1</v>
      </c>
      <c r="AC706">
        <v>0</v>
      </c>
    </row>
    <row r="707" spans="1:32" x14ac:dyDescent="0.25">
      <c r="A707" s="3">
        <v>450</v>
      </c>
      <c r="B707" s="3">
        <v>1</v>
      </c>
      <c r="C707" s="3">
        <v>2</v>
      </c>
      <c r="L707" s="3">
        <v>450</v>
      </c>
      <c r="M707" s="3">
        <v>1</v>
      </c>
      <c r="N707" s="3">
        <v>2</v>
      </c>
      <c r="W707" s="3">
        <v>450</v>
      </c>
      <c r="X707" s="3">
        <v>1</v>
      </c>
      <c r="Y707" s="3">
        <v>2</v>
      </c>
      <c r="Z707">
        <v>85.03</v>
      </c>
      <c r="AA707">
        <v>1.5509999999999999E-2</v>
      </c>
      <c r="AB707">
        <v>1</v>
      </c>
      <c r="AC707">
        <v>0</v>
      </c>
    </row>
    <row r="708" spans="1:32" x14ac:dyDescent="0.25">
      <c r="A708" s="3">
        <v>450</v>
      </c>
      <c r="B708" s="3">
        <v>1</v>
      </c>
      <c r="C708" s="3">
        <v>3</v>
      </c>
      <c r="L708" s="3">
        <v>450</v>
      </c>
      <c r="M708" s="3">
        <v>1</v>
      </c>
      <c r="N708" s="3">
        <v>3</v>
      </c>
      <c r="W708" s="3">
        <v>450</v>
      </c>
      <c r="X708" s="3">
        <v>1</v>
      </c>
      <c r="Y708" s="3">
        <v>3</v>
      </c>
      <c r="Z708">
        <v>85.04</v>
      </c>
      <c r="AA708">
        <v>1.5509999999999999E-2</v>
      </c>
      <c r="AB708">
        <v>1</v>
      </c>
      <c r="AC708">
        <v>0</v>
      </c>
    </row>
    <row r="709" spans="1:32" x14ac:dyDescent="0.25">
      <c r="A709" s="3">
        <v>450</v>
      </c>
      <c r="B709" s="3">
        <v>1</v>
      </c>
      <c r="C709" s="3">
        <v>4</v>
      </c>
      <c r="L709" s="3">
        <v>450</v>
      </c>
      <c r="M709" s="3">
        <v>1</v>
      </c>
      <c r="N709" s="3">
        <v>4</v>
      </c>
      <c r="W709" s="3">
        <v>450</v>
      </c>
      <c r="X709" s="3">
        <v>1</v>
      </c>
      <c r="Y709" s="3">
        <v>4</v>
      </c>
      <c r="Z709">
        <v>85.04</v>
      </c>
      <c r="AA709">
        <v>1.5509999999999999E-2</v>
      </c>
      <c r="AB709">
        <v>1</v>
      </c>
      <c r="AC709">
        <v>0</v>
      </c>
    </row>
    <row r="710" spans="1:32" x14ac:dyDescent="0.25">
      <c r="A710" s="3">
        <v>450</v>
      </c>
      <c r="B710" s="3">
        <v>1</v>
      </c>
      <c r="C710" s="3">
        <v>5</v>
      </c>
      <c r="L710" s="3">
        <v>450</v>
      </c>
      <c r="M710" s="3">
        <v>1</v>
      </c>
      <c r="N710" s="3">
        <v>5</v>
      </c>
      <c r="W710" s="3">
        <v>450</v>
      </c>
      <c r="X710" s="3">
        <v>1</v>
      </c>
      <c r="Y710" s="3">
        <v>5</v>
      </c>
      <c r="Z710">
        <v>85.05</v>
      </c>
      <c r="AA710">
        <v>1.5509999999999999E-2</v>
      </c>
      <c r="AB710">
        <v>1</v>
      </c>
      <c r="AC710">
        <v>0</v>
      </c>
    </row>
    <row r="711" spans="1:32" x14ac:dyDescent="0.25">
      <c r="A711" s="3">
        <v>450</v>
      </c>
      <c r="B711" s="3">
        <v>1</v>
      </c>
      <c r="C711" s="3">
        <v>6</v>
      </c>
      <c r="L711" s="3">
        <v>450</v>
      </c>
      <c r="M711" s="3">
        <v>1</v>
      </c>
      <c r="N711" s="3">
        <v>6</v>
      </c>
      <c r="W711" s="3">
        <v>450</v>
      </c>
      <c r="X711" s="3">
        <v>1</v>
      </c>
      <c r="Y711" s="3">
        <v>6</v>
      </c>
      <c r="Z711">
        <v>85.06</v>
      </c>
      <c r="AA711">
        <v>1.5509999999999999E-2</v>
      </c>
      <c r="AB711">
        <v>1</v>
      </c>
      <c r="AC711">
        <v>0</v>
      </c>
    </row>
    <row r="712" spans="1:32" x14ac:dyDescent="0.25">
      <c r="A712" s="3">
        <v>450</v>
      </c>
      <c r="B712" s="3">
        <v>1</v>
      </c>
      <c r="C712" s="3">
        <v>7</v>
      </c>
      <c r="L712" s="3">
        <v>450</v>
      </c>
      <c r="M712" s="3">
        <v>1</v>
      </c>
      <c r="N712" s="3">
        <v>7</v>
      </c>
      <c r="W712" s="3">
        <v>450</v>
      </c>
      <c r="X712" s="3">
        <v>1</v>
      </c>
      <c r="Y712" s="3">
        <v>7</v>
      </c>
      <c r="Z712">
        <v>85.06</v>
      </c>
      <c r="AA712">
        <v>1.5509999999999999E-2</v>
      </c>
      <c r="AB712">
        <v>1</v>
      </c>
      <c r="AC712">
        <v>0</v>
      </c>
    </row>
    <row r="713" spans="1:32" x14ac:dyDescent="0.25">
      <c r="A713" s="3">
        <v>450</v>
      </c>
      <c r="B713" s="3">
        <v>1</v>
      </c>
      <c r="C713" s="3">
        <v>8</v>
      </c>
      <c r="L713" s="3">
        <v>450</v>
      </c>
      <c r="M713" s="3">
        <v>1</v>
      </c>
      <c r="N713" s="3">
        <v>8</v>
      </c>
      <c r="W713" s="3">
        <v>450</v>
      </c>
      <c r="X713" s="3">
        <v>1</v>
      </c>
      <c r="Y713" s="3">
        <v>8</v>
      </c>
      <c r="Z713">
        <v>85.07</v>
      </c>
      <c r="AA713">
        <v>1.5509999999999999E-2</v>
      </c>
      <c r="AB713">
        <v>1</v>
      </c>
      <c r="AC713">
        <v>0</v>
      </c>
    </row>
    <row r="714" spans="1:32" x14ac:dyDescent="0.25">
      <c r="A714" s="3">
        <v>450</v>
      </c>
      <c r="B714" s="3">
        <v>1</v>
      </c>
      <c r="C714" s="3">
        <v>9</v>
      </c>
      <c r="L714" s="3">
        <v>450</v>
      </c>
      <c r="M714" s="3">
        <v>1</v>
      </c>
      <c r="N714" s="3">
        <v>9</v>
      </c>
      <c r="W714" s="3">
        <v>450</v>
      </c>
      <c r="X714" s="3">
        <v>1</v>
      </c>
      <c r="Y714" s="3">
        <v>9</v>
      </c>
      <c r="Z714">
        <v>85.07</v>
      </c>
      <c r="AA714">
        <v>1.5509999999999999E-2</v>
      </c>
      <c r="AB714">
        <v>1</v>
      </c>
      <c r="AC714">
        <v>0</v>
      </c>
    </row>
    <row r="715" spans="1:32" x14ac:dyDescent="0.25">
      <c r="A715" s="3">
        <v>450</v>
      </c>
      <c r="B715" s="3">
        <v>1</v>
      </c>
      <c r="C715" s="3">
        <v>10</v>
      </c>
      <c r="L715" s="3">
        <v>450</v>
      </c>
      <c r="M715" s="3">
        <v>1</v>
      </c>
      <c r="N715" s="3">
        <v>10</v>
      </c>
      <c r="W715" s="3">
        <v>450</v>
      </c>
      <c r="X715" s="3">
        <v>1</v>
      </c>
      <c r="Y715" s="3">
        <v>10</v>
      </c>
      <c r="Z715">
        <v>85.07</v>
      </c>
      <c r="AA715">
        <v>1.5509999999999999E-2</v>
      </c>
      <c r="AB715">
        <v>1</v>
      </c>
      <c r="AC715">
        <v>0</v>
      </c>
    </row>
    <row r="716" spans="1:32" x14ac:dyDescent="0.25">
      <c r="A716" s="3">
        <v>450</v>
      </c>
      <c r="B716" s="3">
        <v>2</v>
      </c>
      <c r="C716" s="3">
        <v>1</v>
      </c>
      <c r="D716">
        <v>1.0303967027310779E-2</v>
      </c>
      <c r="E716">
        <v>0.31446540880504043</v>
      </c>
      <c r="H716">
        <v>0</v>
      </c>
      <c r="I716">
        <v>6.883023419580472E-5</v>
      </c>
      <c r="J716">
        <v>2.5443013764396819E-5</v>
      </c>
      <c r="L716" s="3">
        <v>450</v>
      </c>
      <c r="M716" s="3">
        <v>2</v>
      </c>
      <c r="N716" s="3">
        <v>1</v>
      </c>
      <c r="O716">
        <v>2.0000000000010228E-2</v>
      </c>
      <c r="P716">
        <v>-5.0000000000001432E-5</v>
      </c>
      <c r="S716">
        <v>0</v>
      </c>
      <c r="T716">
        <v>1.200000000186265</v>
      </c>
      <c r="U716">
        <v>-0.1000000000349246</v>
      </c>
      <c r="W716" s="3">
        <v>450</v>
      </c>
      <c r="X716" s="3">
        <v>2</v>
      </c>
      <c r="Y716" s="3">
        <v>1</v>
      </c>
      <c r="Z716">
        <v>194.12</v>
      </c>
      <c r="AA716">
        <v>1.585E-2</v>
      </c>
      <c r="AB716">
        <v>0.1</v>
      </c>
      <c r="AC716">
        <v>0</v>
      </c>
      <c r="AD716">
        <v>97.9</v>
      </c>
      <c r="AE716">
        <v>1743421.1</v>
      </c>
      <c r="AF716">
        <v>393035.1</v>
      </c>
    </row>
    <row r="717" spans="1:32" x14ac:dyDescent="0.25">
      <c r="A717" s="3">
        <v>450</v>
      </c>
      <c r="B717" s="3">
        <v>2</v>
      </c>
      <c r="C717" s="3">
        <v>2</v>
      </c>
      <c r="H717">
        <v>0</v>
      </c>
      <c r="I717">
        <v>4.4689681554736149E-5</v>
      </c>
      <c r="J717">
        <v>1.0845383158224959E-4</v>
      </c>
      <c r="L717" s="3">
        <v>450</v>
      </c>
      <c r="M717" s="3">
        <v>2</v>
      </c>
      <c r="N717" s="3">
        <v>2</v>
      </c>
      <c r="S717">
        <v>0</v>
      </c>
      <c r="T717">
        <v>1</v>
      </c>
      <c r="U717">
        <v>-0.60000000009313226</v>
      </c>
      <c r="W717" s="3">
        <v>450</v>
      </c>
      <c r="X717" s="3">
        <v>2</v>
      </c>
      <c r="Y717" s="3">
        <v>2</v>
      </c>
      <c r="Z717">
        <v>226.04</v>
      </c>
      <c r="AA717">
        <v>1.585E-2</v>
      </c>
      <c r="AB717">
        <v>0.1</v>
      </c>
      <c r="AC717">
        <v>0</v>
      </c>
      <c r="AD717">
        <v>102.6</v>
      </c>
      <c r="AE717">
        <v>2237654</v>
      </c>
      <c r="AF717">
        <v>553230.19999999995</v>
      </c>
    </row>
    <row r="718" spans="1:32" x14ac:dyDescent="0.25">
      <c r="A718" s="3">
        <v>450</v>
      </c>
      <c r="B718" s="3">
        <v>3</v>
      </c>
      <c r="C718" s="3">
        <v>1</v>
      </c>
      <c r="D718">
        <v>1.121914734479159E-2</v>
      </c>
      <c r="E718">
        <v>0.2515723270440367</v>
      </c>
      <c r="H718">
        <v>0</v>
      </c>
      <c r="I718">
        <v>5.6969838116786797E-5</v>
      </c>
      <c r="J718">
        <v>0</v>
      </c>
      <c r="L718" s="3">
        <v>450</v>
      </c>
      <c r="M718" s="3">
        <v>3</v>
      </c>
      <c r="N718" s="3">
        <v>1</v>
      </c>
      <c r="O718">
        <v>-2.9999999999972719E-2</v>
      </c>
      <c r="P718">
        <v>-4.000000000000184E-5</v>
      </c>
      <c r="S718">
        <v>0</v>
      </c>
      <c r="T718">
        <v>0.5</v>
      </c>
      <c r="U718">
        <v>0</v>
      </c>
      <c r="W718" s="3">
        <v>450</v>
      </c>
      <c r="X718" s="3">
        <v>3</v>
      </c>
      <c r="Y718" s="3">
        <v>1</v>
      </c>
      <c r="Z718">
        <v>267.37</v>
      </c>
      <c r="AA718">
        <v>1.5859999999999999E-2</v>
      </c>
      <c r="AB718">
        <v>0</v>
      </c>
      <c r="AC718">
        <v>0</v>
      </c>
      <c r="AD718">
        <v>110.3</v>
      </c>
      <c r="AE718">
        <v>877657.9</v>
      </c>
      <c r="AF718">
        <v>226858.1</v>
      </c>
    </row>
    <row r="719" spans="1:32" x14ac:dyDescent="0.25">
      <c r="A719" s="3">
        <v>450</v>
      </c>
      <c r="B719" s="3">
        <v>3</v>
      </c>
      <c r="C719" s="3">
        <v>2</v>
      </c>
      <c r="H719">
        <v>0</v>
      </c>
      <c r="I719">
        <v>1.15042304190334E-4</v>
      </c>
      <c r="J719">
        <v>0</v>
      </c>
      <c r="L719" s="3">
        <v>450</v>
      </c>
      <c r="M719" s="3">
        <v>3</v>
      </c>
      <c r="N719" s="3">
        <v>2</v>
      </c>
      <c r="S719">
        <v>0</v>
      </c>
      <c r="T719">
        <v>1.0999999999767169</v>
      </c>
      <c r="U719">
        <v>0</v>
      </c>
      <c r="W719" s="3">
        <v>450</v>
      </c>
      <c r="X719" s="3">
        <v>3</v>
      </c>
      <c r="Y719" s="3">
        <v>2</v>
      </c>
      <c r="Z719">
        <v>283.57</v>
      </c>
      <c r="AA719">
        <v>1.5859999999999999E-2</v>
      </c>
      <c r="AB719">
        <v>0</v>
      </c>
      <c r="AC719">
        <v>0</v>
      </c>
      <c r="AD719">
        <v>113.1</v>
      </c>
      <c r="AE719">
        <v>956171.1</v>
      </c>
      <c r="AF719">
        <v>257694.2</v>
      </c>
    </row>
    <row r="720" spans="1:32" x14ac:dyDescent="0.25">
      <c r="A720" s="3">
        <v>450</v>
      </c>
      <c r="B720" s="3">
        <v>3</v>
      </c>
      <c r="C720" s="3">
        <v>3</v>
      </c>
      <c r="H720">
        <v>0</v>
      </c>
      <c r="I720">
        <v>2.876839894271826E-5</v>
      </c>
      <c r="J720">
        <v>3.4015815325051592E-5</v>
      </c>
      <c r="L720" s="3">
        <v>450</v>
      </c>
      <c r="M720" s="3">
        <v>3</v>
      </c>
      <c r="N720" s="3">
        <v>3</v>
      </c>
      <c r="S720">
        <v>0</v>
      </c>
      <c r="T720">
        <v>0.29999999993015081</v>
      </c>
      <c r="U720">
        <v>-0.1000000000349246</v>
      </c>
      <c r="W720" s="3">
        <v>450</v>
      </c>
      <c r="X720" s="3">
        <v>3</v>
      </c>
      <c r="Y720" s="3">
        <v>3</v>
      </c>
      <c r="Z720">
        <v>301.33</v>
      </c>
      <c r="AA720">
        <v>1.5859999999999999E-2</v>
      </c>
      <c r="AB720">
        <v>0</v>
      </c>
      <c r="AC720">
        <v>0</v>
      </c>
      <c r="AD720">
        <v>116.3</v>
      </c>
      <c r="AE720">
        <v>1042811.2</v>
      </c>
      <c r="AF720">
        <v>293980.79999999999</v>
      </c>
    </row>
    <row r="721" spans="1:32" x14ac:dyDescent="0.25">
      <c r="A721" s="3">
        <v>450</v>
      </c>
      <c r="B721" s="3">
        <v>3</v>
      </c>
      <c r="C721" s="3">
        <v>4</v>
      </c>
      <c r="H721">
        <v>0</v>
      </c>
      <c r="I721">
        <v>6.1589416983692146E-5</v>
      </c>
      <c r="J721">
        <v>2.9671715104272921E-5</v>
      </c>
      <c r="L721" s="3">
        <v>450</v>
      </c>
      <c r="M721" s="3">
        <v>3</v>
      </c>
      <c r="N721" s="3">
        <v>4</v>
      </c>
      <c r="S721">
        <v>0</v>
      </c>
      <c r="T721">
        <v>0.70000000018626451</v>
      </c>
      <c r="U721">
        <v>-9.9999999976716936E-2</v>
      </c>
      <c r="W721" s="3">
        <v>450</v>
      </c>
      <c r="X721" s="3">
        <v>3</v>
      </c>
      <c r="Y721" s="3">
        <v>4</v>
      </c>
      <c r="Z721">
        <v>320.85000000000002</v>
      </c>
      <c r="AA721">
        <v>1.5859999999999999E-2</v>
      </c>
      <c r="AB721">
        <v>0</v>
      </c>
      <c r="AC721">
        <v>0</v>
      </c>
      <c r="AD721">
        <v>119.9</v>
      </c>
      <c r="AE721">
        <v>1136559.6000000001</v>
      </c>
      <c r="AF721">
        <v>337021.2</v>
      </c>
    </row>
    <row r="722" spans="1:32" x14ac:dyDescent="0.25">
      <c r="A722" s="3">
        <v>450</v>
      </c>
      <c r="B722" s="3">
        <v>3</v>
      </c>
      <c r="C722" s="3">
        <v>5</v>
      </c>
      <c r="H722">
        <v>0</v>
      </c>
      <c r="I722">
        <v>4.0300759733802199E-5</v>
      </c>
      <c r="J722">
        <v>7.7247814849439755E-5</v>
      </c>
      <c r="L722" s="3">
        <v>450</v>
      </c>
      <c r="M722" s="3">
        <v>3</v>
      </c>
      <c r="N722" s="3">
        <v>5</v>
      </c>
      <c r="S722">
        <v>0</v>
      </c>
      <c r="T722">
        <v>0.5</v>
      </c>
      <c r="U722">
        <v>-0.29999999998835852</v>
      </c>
      <c r="W722" s="3">
        <v>450</v>
      </c>
      <c r="X722" s="3">
        <v>3</v>
      </c>
      <c r="Y722" s="3">
        <v>5</v>
      </c>
      <c r="Z722">
        <v>342.32</v>
      </c>
      <c r="AA722">
        <v>1.5859999999999999E-2</v>
      </c>
      <c r="AB722">
        <v>0</v>
      </c>
      <c r="AC722">
        <v>0</v>
      </c>
      <c r="AD722">
        <v>124</v>
      </c>
      <c r="AE722">
        <v>1240671.8999999999</v>
      </c>
      <c r="AF722">
        <v>388360.2</v>
      </c>
    </row>
    <row r="723" spans="1:32" x14ac:dyDescent="0.25">
      <c r="A723" s="3">
        <v>450</v>
      </c>
      <c r="B723" s="3">
        <v>3</v>
      </c>
      <c r="C723" s="3">
        <v>6</v>
      </c>
      <c r="H723">
        <v>0</v>
      </c>
      <c r="I723">
        <v>1.4740700768953411E-5</v>
      </c>
      <c r="J723">
        <v>1.110816127717195E-4</v>
      </c>
      <c r="L723" s="3">
        <v>450</v>
      </c>
      <c r="M723" s="3">
        <v>3</v>
      </c>
      <c r="N723" s="3">
        <v>6</v>
      </c>
      <c r="S723">
        <v>0</v>
      </c>
      <c r="T723">
        <v>-0.20000000018626449</v>
      </c>
      <c r="U723">
        <v>-0.5</v>
      </c>
      <c r="W723" s="3">
        <v>450</v>
      </c>
      <c r="X723" s="3">
        <v>3</v>
      </c>
      <c r="Y723" s="3">
        <v>6</v>
      </c>
      <c r="Z723">
        <v>366</v>
      </c>
      <c r="AA723">
        <v>1.5859999999999999E-2</v>
      </c>
      <c r="AB723">
        <v>0</v>
      </c>
      <c r="AC723">
        <v>0</v>
      </c>
      <c r="AD723">
        <v>128.6</v>
      </c>
      <c r="AE723">
        <v>1356787.4</v>
      </c>
      <c r="AF723">
        <v>450119</v>
      </c>
    </row>
    <row r="724" spans="1:32" x14ac:dyDescent="0.25">
      <c r="A724" s="3">
        <v>450</v>
      </c>
      <c r="B724" s="3">
        <v>3</v>
      </c>
      <c r="C724" s="3">
        <v>7</v>
      </c>
      <c r="H724">
        <v>0</v>
      </c>
      <c r="I724">
        <v>5.3802306505804188E-5</v>
      </c>
      <c r="J724">
        <v>7.6172920150457336E-5</v>
      </c>
      <c r="L724" s="3">
        <v>450</v>
      </c>
      <c r="M724" s="3">
        <v>3</v>
      </c>
      <c r="N724" s="3">
        <v>7</v>
      </c>
      <c r="S724">
        <v>0</v>
      </c>
      <c r="T724">
        <v>0.79999999981373549</v>
      </c>
      <c r="U724">
        <v>-0.40000000002328312</v>
      </c>
      <c r="W724" s="3">
        <v>450</v>
      </c>
      <c r="X724" s="3">
        <v>3</v>
      </c>
      <c r="Y724" s="3">
        <v>7</v>
      </c>
      <c r="Z724">
        <v>392.22</v>
      </c>
      <c r="AA724">
        <v>1.5859999999999999E-2</v>
      </c>
      <c r="AB724">
        <v>0</v>
      </c>
      <c r="AC724">
        <v>0</v>
      </c>
      <c r="AD724">
        <v>134</v>
      </c>
      <c r="AE724">
        <v>1486925.9</v>
      </c>
      <c r="AF724">
        <v>525120.6</v>
      </c>
    </row>
    <row r="725" spans="1:32" x14ac:dyDescent="0.25">
      <c r="A725" s="3">
        <v>450</v>
      </c>
      <c r="B725" s="3">
        <v>3</v>
      </c>
      <c r="C725" s="3">
        <v>8</v>
      </c>
      <c r="H725">
        <v>0</v>
      </c>
      <c r="I725">
        <v>3.0668590609584241E-5</v>
      </c>
      <c r="J725">
        <v>8.1006751912771931E-5</v>
      </c>
      <c r="L725" s="3">
        <v>450</v>
      </c>
      <c r="M725" s="3">
        <v>3</v>
      </c>
      <c r="N725" s="3">
        <v>8</v>
      </c>
      <c r="S725">
        <v>0</v>
      </c>
      <c r="T725">
        <v>0.5</v>
      </c>
      <c r="U725">
        <v>-0.5</v>
      </c>
      <c r="W725" s="3">
        <v>450</v>
      </c>
      <c r="X725" s="3">
        <v>3</v>
      </c>
      <c r="Y725" s="3">
        <v>8</v>
      </c>
      <c r="Z725">
        <v>421.36</v>
      </c>
      <c r="AA725">
        <v>1.5859999999999999E-2</v>
      </c>
      <c r="AB725">
        <v>0</v>
      </c>
      <c r="AC725">
        <v>0</v>
      </c>
      <c r="AD725">
        <v>140.19999999999999</v>
      </c>
      <c r="AE725">
        <v>1630333</v>
      </c>
      <c r="AF725">
        <v>617232</v>
      </c>
    </row>
    <row r="726" spans="1:32" x14ac:dyDescent="0.25">
      <c r="A726" s="3">
        <v>450</v>
      </c>
      <c r="B726" s="3">
        <v>3</v>
      </c>
      <c r="C726" s="3">
        <v>9</v>
      </c>
      <c r="H726">
        <v>0</v>
      </c>
      <c r="I726">
        <v>6.5795035967492374E-5</v>
      </c>
      <c r="J726">
        <v>1.3217316623658249E-4</v>
      </c>
      <c r="L726" s="3">
        <v>450</v>
      </c>
      <c r="M726" s="3">
        <v>3</v>
      </c>
      <c r="N726" s="3">
        <v>9</v>
      </c>
      <c r="S726">
        <v>0</v>
      </c>
      <c r="T726">
        <v>2.200000000186265</v>
      </c>
      <c r="U726">
        <v>-0.90000000002328306</v>
      </c>
      <c r="W726" s="3">
        <v>450</v>
      </c>
      <c r="X726" s="3">
        <v>3</v>
      </c>
      <c r="Y726" s="3">
        <v>9</v>
      </c>
      <c r="Z726">
        <v>453.86</v>
      </c>
      <c r="AA726">
        <v>1.5859999999999999E-2</v>
      </c>
      <c r="AB726">
        <v>39.1</v>
      </c>
      <c r="AC726">
        <v>4.5</v>
      </c>
      <c r="AD726">
        <v>186.8</v>
      </c>
      <c r="AE726">
        <v>3343719.5</v>
      </c>
      <c r="AF726">
        <v>680924</v>
      </c>
    </row>
    <row r="727" spans="1:32" x14ac:dyDescent="0.25">
      <c r="A727" s="3">
        <v>450</v>
      </c>
      <c r="B727" s="3">
        <v>3</v>
      </c>
      <c r="C727" s="3">
        <v>10</v>
      </c>
      <c r="H727">
        <v>0</v>
      </c>
      <c r="I727">
        <v>5.542515249314339E-5</v>
      </c>
      <c r="J727">
        <v>2.374612273846978E-4</v>
      </c>
      <c r="L727" s="3">
        <v>450</v>
      </c>
      <c r="M727" s="3">
        <v>3</v>
      </c>
      <c r="N727" s="3">
        <v>10</v>
      </c>
      <c r="S727">
        <v>0</v>
      </c>
      <c r="T727">
        <v>-2.200000000186265</v>
      </c>
      <c r="U727">
        <v>-2.0999999999767169</v>
      </c>
      <c r="W727" s="3">
        <v>450</v>
      </c>
      <c r="X727" s="3">
        <v>3</v>
      </c>
      <c r="Y727" s="3">
        <v>10</v>
      </c>
      <c r="Z727">
        <v>508.52</v>
      </c>
      <c r="AA727">
        <v>1.5810000000000001E-2</v>
      </c>
      <c r="AB727">
        <v>43.7</v>
      </c>
      <c r="AC727">
        <v>5.0999999999999996</v>
      </c>
      <c r="AD727">
        <v>209.9</v>
      </c>
      <c r="AE727">
        <v>3969314.8</v>
      </c>
      <c r="AF727">
        <v>884352.8</v>
      </c>
    </row>
    <row r="728" spans="1:32" x14ac:dyDescent="0.25">
      <c r="A728" s="3">
        <v>450</v>
      </c>
      <c r="B728" s="3">
        <v>3</v>
      </c>
      <c r="C728" s="3">
        <v>11</v>
      </c>
      <c r="H728">
        <v>0</v>
      </c>
      <c r="I728">
        <v>3.2240656641584952E-4</v>
      </c>
      <c r="J728">
        <v>3.2386930545660673E-5</v>
      </c>
      <c r="L728" s="3">
        <v>450</v>
      </c>
      <c r="M728" s="3">
        <v>3</v>
      </c>
      <c r="N728" s="3">
        <v>11</v>
      </c>
      <c r="S728">
        <v>0</v>
      </c>
      <c r="T728">
        <v>-5</v>
      </c>
      <c r="U728">
        <v>-4</v>
      </c>
      <c r="W728" s="3">
        <v>450</v>
      </c>
      <c r="X728" s="3">
        <v>3</v>
      </c>
      <c r="Y728" s="3">
        <v>11</v>
      </c>
      <c r="Z728">
        <v>575.35</v>
      </c>
      <c r="AA728">
        <v>1.575E-2</v>
      </c>
      <c r="AB728">
        <v>13377.1</v>
      </c>
      <c r="AC728">
        <v>5.0999999999999996</v>
      </c>
      <c r="AD728">
        <v>460.8</v>
      </c>
      <c r="AE728">
        <v>1550831.9</v>
      </c>
      <c r="AF728">
        <v>12350657</v>
      </c>
    </row>
    <row r="729" spans="1:32" x14ac:dyDescent="0.25">
      <c r="A729" s="3">
        <v>450</v>
      </c>
      <c r="B729" s="3">
        <v>3</v>
      </c>
      <c r="C729" s="3">
        <v>12</v>
      </c>
      <c r="H729">
        <v>0</v>
      </c>
      <c r="I729">
        <v>2.4795884784761459E-3</v>
      </c>
      <c r="J729">
        <v>3.1447529796505879E-3</v>
      </c>
      <c r="L729" s="3">
        <v>450</v>
      </c>
      <c r="M729" s="3">
        <v>3</v>
      </c>
      <c r="N729" s="3">
        <v>12</v>
      </c>
      <c r="S729">
        <v>0</v>
      </c>
      <c r="T729">
        <v>-1.099999999998545</v>
      </c>
      <c r="U729">
        <v>-9.9999999999909051E-2</v>
      </c>
      <c r="W729" s="3">
        <v>450</v>
      </c>
      <c r="X729" s="3">
        <v>3</v>
      </c>
      <c r="Y729" s="3">
        <v>12</v>
      </c>
      <c r="Z729">
        <v>90.41</v>
      </c>
      <c r="AA729">
        <v>1.5689999999999999E-2</v>
      </c>
      <c r="AB729">
        <v>43.7</v>
      </c>
      <c r="AC729">
        <v>5.0999999999999996</v>
      </c>
      <c r="AD729">
        <v>86.7</v>
      </c>
      <c r="AE729">
        <v>44361.1</v>
      </c>
      <c r="AF729">
        <v>3179.8</v>
      </c>
    </row>
    <row r="730" spans="1:32" x14ac:dyDescent="0.25">
      <c r="A730" s="3">
        <v>450</v>
      </c>
      <c r="B730" s="3">
        <v>3</v>
      </c>
      <c r="C730" s="3">
        <v>13</v>
      </c>
      <c r="H730">
        <v>0</v>
      </c>
      <c r="I730">
        <v>4.5613006222964686E-3</v>
      </c>
      <c r="J730">
        <v>0</v>
      </c>
      <c r="L730" s="3">
        <v>450</v>
      </c>
      <c r="M730" s="3">
        <v>3</v>
      </c>
      <c r="N730" s="3">
        <v>13</v>
      </c>
      <c r="S730">
        <v>0</v>
      </c>
      <c r="T730">
        <v>-1.400000000001455</v>
      </c>
      <c r="U730">
        <v>0</v>
      </c>
      <c r="W730" s="3">
        <v>450</v>
      </c>
      <c r="X730" s="3">
        <v>3</v>
      </c>
      <c r="Y730" s="3">
        <v>13</v>
      </c>
      <c r="Z730">
        <v>88.84</v>
      </c>
      <c r="AA730">
        <v>1.5630000000000002E-2</v>
      </c>
      <c r="AB730">
        <v>43.7</v>
      </c>
      <c r="AC730">
        <v>5.0999999999999996</v>
      </c>
      <c r="AD730">
        <v>86.3</v>
      </c>
      <c r="AE730">
        <v>30691.599999999999</v>
      </c>
      <c r="AF730">
        <v>2189.8000000000002</v>
      </c>
    </row>
    <row r="731" spans="1:32" x14ac:dyDescent="0.25">
      <c r="A731" s="3">
        <v>450</v>
      </c>
      <c r="B731" s="3">
        <v>3</v>
      </c>
      <c r="C731" s="3">
        <v>14</v>
      </c>
      <c r="H731">
        <v>0</v>
      </c>
      <c r="I731">
        <v>3.320401244276041E-2</v>
      </c>
      <c r="J731">
        <v>1.372306847811483E-2</v>
      </c>
      <c r="L731" s="3">
        <v>450</v>
      </c>
      <c r="M731" s="3">
        <v>3</v>
      </c>
      <c r="N731" s="3">
        <v>14</v>
      </c>
      <c r="S731">
        <v>0</v>
      </c>
      <c r="T731">
        <v>-1.899999999999636</v>
      </c>
      <c r="U731">
        <v>-0.1000000000000227</v>
      </c>
      <c r="W731" s="3">
        <v>450</v>
      </c>
      <c r="X731" s="3">
        <v>3</v>
      </c>
      <c r="Y731" s="3">
        <v>14</v>
      </c>
      <c r="Z731">
        <v>87.06</v>
      </c>
      <c r="AA731">
        <v>1.5570000000000001E-2</v>
      </c>
      <c r="AB731">
        <v>43.1</v>
      </c>
      <c r="AC731">
        <v>5</v>
      </c>
      <c r="AD731">
        <v>86.2</v>
      </c>
      <c r="AE731">
        <v>5720.3</v>
      </c>
      <c r="AF731">
        <v>728.6</v>
      </c>
    </row>
    <row r="732" spans="1:32" x14ac:dyDescent="0.25">
      <c r="A732" s="3">
        <v>450</v>
      </c>
      <c r="B732" s="3">
        <v>4</v>
      </c>
      <c r="C732" s="3">
        <v>1</v>
      </c>
      <c r="D732">
        <v>0</v>
      </c>
      <c r="E732">
        <v>6.451612903225544E-2</v>
      </c>
      <c r="H732">
        <v>0</v>
      </c>
      <c r="L732" s="3">
        <v>450</v>
      </c>
      <c r="M732" s="3">
        <v>4</v>
      </c>
      <c r="N732" s="3">
        <v>1</v>
      </c>
      <c r="O732">
        <v>0</v>
      </c>
      <c r="P732">
        <v>9.9999999999995925E-6</v>
      </c>
      <c r="S732">
        <v>0</v>
      </c>
      <c r="T732">
        <v>0</v>
      </c>
      <c r="U732">
        <v>0</v>
      </c>
      <c r="W732" s="3">
        <v>450</v>
      </c>
      <c r="X732" s="3">
        <v>4</v>
      </c>
      <c r="Y732" s="3">
        <v>1</v>
      </c>
      <c r="Z732">
        <v>85</v>
      </c>
      <c r="AA732">
        <v>1.5509999999999999E-2</v>
      </c>
      <c r="AB732">
        <v>0</v>
      </c>
      <c r="AC732">
        <v>0</v>
      </c>
      <c r="AD732">
        <v>85</v>
      </c>
      <c r="AE732">
        <v>0</v>
      </c>
      <c r="AF732">
        <v>0</v>
      </c>
    </row>
    <row r="733" spans="1:32" x14ac:dyDescent="0.25">
      <c r="A733" s="3">
        <v>450</v>
      </c>
      <c r="B733" s="3">
        <v>4</v>
      </c>
      <c r="C733" s="3">
        <v>2</v>
      </c>
      <c r="H733">
        <v>0</v>
      </c>
      <c r="L733" s="3">
        <v>450</v>
      </c>
      <c r="M733" s="3">
        <v>4</v>
      </c>
      <c r="N733" s="3">
        <v>2</v>
      </c>
      <c r="S733">
        <v>0</v>
      </c>
      <c r="T733">
        <v>0</v>
      </c>
      <c r="U733">
        <v>0</v>
      </c>
      <c r="W733" s="3">
        <v>450</v>
      </c>
      <c r="X733" s="3">
        <v>4</v>
      </c>
      <c r="Y733" s="3">
        <v>2</v>
      </c>
      <c r="Z733">
        <v>85</v>
      </c>
      <c r="AA733">
        <v>1.5509999999999999E-2</v>
      </c>
      <c r="AB733">
        <v>0</v>
      </c>
      <c r="AC733">
        <v>0</v>
      </c>
      <c r="AD733">
        <v>85</v>
      </c>
      <c r="AE733">
        <v>0</v>
      </c>
      <c r="AF733">
        <v>0</v>
      </c>
    </row>
    <row r="734" spans="1:32" x14ac:dyDescent="0.25">
      <c r="A734" s="3">
        <v>450</v>
      </c>
      <c r="B734" s="3">
        <v>5</v>
      </c>
      <c r="C734" s="3">
        <v>1</v>
      </c>
      <c r="D734">
        <v>1.8132366273795119E-2</v>
      </c>
      <c r="E734">
        <v>6.4102564102561488E-2</v>
      </c>
      <c r="L734" s="3">
        <v>450</v>
      </c>
      <c r="M734" s="3">
        <v>5</v>
      </c>
      <c r="N734" s="3">
        <v>1</v>
      </c>
      <c r="O734">
        <v>-1.9999999999996021E-2</v>
      </c>
      <c r="P734">
        <v>-9.9999999999995925E-6</v>
      </c>
      <c r="W734" s="3">
        <v>450</v>
      </c>
      <c r="X734" s="3">
        <v>5</v>
      </c>
      <c r="Y734" s="3">
        <v>1</v>
      </c>
      <c r="Z734">
        <v>110.28</v>
      </c>
      <c r="AA734">
        <v>1.559E-2</v>
      </c>
    </row>
    <row r="735" spans="1:32" x14ac:dyDescent="0.25">
      <c r="A735" s="3">
        <v>450</v>
      </c>
      <c r="B735" s="3">
        <v>5</v>
      </c>
      <c r="C735" s="3">
        <v>2</v>
      </c>
      <c r="L735" s="3">
        <v>450</v>
      </c>
      <c r="M735" s="3">
        <v>5</v>
      </c>
      <c r="N735" s="3">
        <v>2</v>
      </c>
      <c r="W735" s="3">
        <v>450</v>
      </c>
      <c r="X735" s="3">
        <v>5</v>
      </c>
      <c r="Y735" s="3">
        <v>2</v>
      </c>
      <c r="Z735">
        <v>109.86</v>
      </c>
      <c r="AA735">
        <v>1.559E-2</v>
      </c>
    </row>
    <row r="736" spans="1:32" x14ac:dyDescent="0.25">
      <c r="A736" s="3">
        <v>500</v>
      </c>
      <c r="B736" s="3">
        <v>1</v>
      </c>
      <c r="C736" s="3">
        <v>1</v>
      </c>
      <c r="D736">
        <v>1.1764705882358961E-2</v>
      </c>
      <c r="E736">
        <v>6.451612903225544E-2</v>
      </c>
      <c r="L736" s="3">
        <v>500</v>
      </c>
      <c r="M736" s="3">
        <v>1</v>
      </c>
      <c r="N736" s="3">
        <v>1</v>
      </c>
      <c r="O736">
        <v>1.0000000000005119E-2</v>
      </c>
      <c r="P736">
        <v>9.9999999999995925E-6</v>
      </c>
      <c r="W736" s="3">
        <v>500</v>
      </c>
      <c r="X736" s="3">
        <v>1</v>
      </c>
      <c r="Y736" s="3">
        <v>1</v>
      </c>
      <c r="Z736">
        <v>85.01</v>
      </c>
      <c r="AA736">
        <v>1.5509999999999999E-2</v>
      </c>
      <c r="AB736">
        <v>1</v>
      </c>
      <c r="AC736">
        <v>0</v>
      </c>
    </row>
    <row r="737" spans="1:32" x14ac:dyDescent="0.25">
      <c r="A737" s="3">
        <v>500</v>
      </c>
      <c r="B737" s="3">
        <v>1</v>
      </c>
      <c r="C737" s="3">
        <v>2</v>
      </c>
      <c r="L737" s="3">
        <v>500</v>
      </c>
      <c r="M737" s="3">
        <v>1</v>
      </c>
      <c r="N737" s="3">
        <v>2</v>
      </c>
      <c r="W737" s="3">
        <v>500</v>
      </c>
      <c r="X737" s="3">
        <v>1</v>
      </c>
      <c r="Y737" s="3">
        <v>2</v>
      </c>
      <c r="Z737">
        <v>85.03</v>
      </c>
      <c r="AA737">
        <v>1.5509999999999999E-2</v>
      </c>
      <c r="AB737">
        <v>1</v>
      </c>
      <c r="AC737">
        <v>0</v>
      </c>
    </row>
    <row r="738" spans="1:32" x14ac:dyDescent="0.25">
      <c r="A738" s="3">
        <v>500</v>
      </c>
      <c r="B738" s="3">
        <v>1</v>
      </c>
      <c r="C738" s="3">
        <v>3</v>
      </c>
      <c r="L738" s="3">
        <v>500</v>
      </c>
      <c r="M738" s="3">
        <v>1</v>
      </c>
      <c r="N738" s="3">
        <v>3</v>
      </c>
      <c r="W738" s="3">
        <v>500</v>
      </c>
      <c r="X738" s="3">
        <v>1</v>
      </c>
      <c r="Y738" s="3">
        <v>3</v>
      </c>
      <c r="Z738">
        <v>85.04</v>
      </c>
      <c r="AA738">
        <v>1.5509999999999999E-2</v>
      </c>
      <c r="AB738">
        <v>1</v>
      </c>
      <c r="AC738">
        <v>0</v>
      </c>
    </row>
    <row r="739" spans="1:32" x14ac:dyDescent="0.25">
      <c r="A739" s="3">
        <v>500</v>
      </c>
      <c r="B739" s="3">
        <v>1</v>
      </c>
      <c r="C739" s="3">
        <v>4</v>
      </c>
      <c r="L739" s="3">
        <v>500</v>
      </c>
      <c r="M739" s="3">
        <v>1</v>
      </c>
      <c r="N739" s="3">
        <v>4</v>
      </c>
      <c r="W739" s="3">
        <v>500</v>
      </c>
      <c r="X739" s="3">
        <v>1</v>
      </c>
      <c r="Y739" s="3">
        <v>4</v>
      </c>
      <c r="Z739">
        <v>85.04</v>
      </c>
      <c r="AA739">
        <v>1.5509999999999999E-2</v>
      </c>
      <c r="AB739">
        <v>1</v>
      </c>
      <c r="AC739">
        <v>0</v>
      </c>
    </row>
    <row r="740" spans="1:32" x14ac:dyDescent="0.25">
      <c r="A740" s="3">
        <v>500</v>
      </c>
      <c r="B740" s="3">
        <v>1</v>
      </c>
      <c r="C740" s="3">
        <v>5</v>
      </c>
      <c r="L740" s="3">
        <v>500</v>
      </c>
      <c r="M740" s="3">
        <v>1</v>
      </c>
      <c r="N740" s="3">
        <v>5</v>
      </c>
      <c r="W740" s="3">
        <v>500</v>
      </c>
      <c r="X740" s="3">
        <v>1</v>
      </c>
      <c r="Y740" s="3">
        <v>5</v>
      </c>
      <c r="Z740">
        <v>85.05</v>
      </c>
      <c r="AA740">
        <v>1.5509999999999999E-2</v>
      </c>
      <c r="AB740">
        <v>1</v>
      </c>
      <c r="AC740">
        <v>0</v>
      </c>
    </row>
    <row r="741" spans="1:32" x14ac:dyDescent="0.25">
      <c r="A741" s="3">
        <v>500</v>
      </c>
      <c r="B741" s="3">
        <v>1</v>
      </c>
      <c r="C741" s="3">
        <v>6</v>
      </c>
      <c r="L741" s="3">
        <v>500</v>
      </c>
      <c r="M741" s="3">
        <v>1</v>
      </c>
      <c r="N741" s="3">
        <v>6</v>
      </c>
      <c r="W741" s="3">
        <v>500</v>
      </c>
      <c r="X741" s="3">
        <v>1</v>
      </c>
      <c r="Y741" s="3">
        <v>6</v>
      </c>
      <c r="Z741">
        <v>85.06</v>
      </c>
      <c r="AA741">
        <v>1.5509999999999999E-2</v>
      </c>
      <c r="AB741">
        <v>1</v>
      </c>
      <c r="AC741">
        <v>0</v>
      </c>
    </row>
    <row r="742" spans="1:32" x14ac:dyDescent="0.25">
      <c r="A742" s="3">
        <v>500</v>
      </c>
      <c r="B742" s="3">
        <v>1</v>
      </c>
      <c r="C742" s="3">
        <v>7</v>
      </c>
      <c r="L742" s="3">
        <v>500</v>
      </c>
      <c r="M742" s="3">
        <v>1</v>
      </c>
      <c r="N742" s="3">
        <v>7</v>
      </c>
      <c r="W742" s="3">
        <v>500</v>
      </c>
      <c r="X742" s="3">
        <v>1</v>
      </c>
      <c r="Y742" s="3">
        <v>7</v>
      </c>
      <c r="Z742">
        <v>85.06</v>
      </c>
      <c r="AA742">
        <v>1.5509999999999999E-2</v>
      </c>
      <c r="AB742">
        <v>1</v>
      </c>
      <c r="AC742">
        <v>0</v>
      </c>
    </row>
    <row r="743" spans="1:32" x14ac:dyDescent="0.25">
      <c r="A743" s="3">
        <v>500</v>
      </c>
      <c r="B743" s="3">
        <v>1</v>
      </c>
      <c r="C743" s="3">
        <v>8</v>
      </c>
      <c r="L743" s="3">
        <v>500</v>
      </c>
      <c r="M743" s="3">
        <v>1</v>
      </c>
      <c r="N743" s="3">
        <v>8</v>
      </c>
      <c r="W743" s="3">
        <v>500</v>
      </c>
      <c r="X743" s="3">
        <v>1</v>
      </c>
      <c r="Y743" s="3">
        <v>8</v>
      </c>
      <c r="Z743">
        <v>85.07</v>
      </c>
      <c r="AA743">
        <v>1.5509999999999999E-2</v>
      </c>
      <c r="AB743">
        <v>1</v>
      </c>
      <c r="AC743">
        <v>0</v>
      </c>
    </row>
    <row r="744" spans="1:32" x14ac:dyDescent="0.25">
      <c r="A744" s="3">
        <v>500</v>
      </c>
      <c r="B744" s="3">
        <v>1</v>
      </c>
      <c r="C744" s="3">
        <v>9</v>
      </c>
      <c r="L744" s="3">
        <v>500</v>
      </c>
      <c r="M744" s="3">
        <v>1</v>
      </c>
      <c r="N744" s="3">
        <v>9</v>
      </c>
      <c r="W744" s="3">
        <v>500</v>
      </c>
      <c r="X744" s="3">
        <v>1</v>
      </c>
      <c r="Y744" s="3">
        <v>9</v>
      </c>
      <c r="Z744">
        <v>85.07</v>
      </c>
      <c r="AA744">
        <v>1.5509999999999999E-2</v>
      </c>
      <c r="AB744">
        <v>1</v>
      </c>
      <c r="AC744">
        <v>0</v>
      </c>
    </row>
    <row r="745" spans="1:32" x14ac:dyDescent="0.25">
      <c r="A745" s="3">
        <v>500</v>
      </c>
      <c r="B745" s="3">
        <v>1</v>
      </c>
      <c r="C745" s="3">
        <v>10</v>
      </c>
      <c r="L745" s="3">
        <v>500</v>
      </c>
      <c r="M745" s="3">
        <v>1</v>
      </c>
      <c r="N745" s="3">
        <v>10</v>
      </c>
      <c r="W745" s="3">
        <v>500</v>
      </c>
      <c r="X745" s="3">
        <v>1</v>
      </c>
      <c r="Y745" s="3">
        <v>10</v>
      </c>
      <c r="Z745">
        <v>85.07</v>
      </c>
      <c r="AA745">
        <v>1.5509999999999999E-2</v>
      </c>
      <c r="AB745">
        <v>1</v>
      </c>
      <c r="AC745">
        <v>0</v>
      </c>
    </row>
    <row r="746" spans="1:32" x14ac:dyDescent="0.25">
      <c r="A746" s="3">
        <v>500</v>
      </c>
      <c r="B746" s="3">
        <v>2</v>
      </c>
      <c r="C746" s="3">
        <v>1</v>
      </c>
      <c r="D746">
        <v>5.0916496945108587E-3</v>
      </c>
      <c r="E746">
        <v>0.2515723270440367</v>
      </c>
      <c r="H746">
        <v>0</v>
      </c>
      <c r="I746">
        <v>2.0470257540820011E-4</v>
      </c>
      <c r="J746">
        <v>4.9852685317796303E-5</v>
      </c>
      <c r="L746" s="3">
        <v>500</v>
      </c>
      <c r="M746" s="3">
        <v>2</v>
      </c>
      <c r="N746" s="3">
        <v>1</v>
      </c>
      <c r="O746">
        <v>-1.000000000001933E-2</v>
      </c>
      <c r="P746">
        <v>-4.000000000000184E-5</v>
      </c>
      <c r="S746">
        <v>0</v>
      </c>
      <c r="T746">
        <v>-3.6000000000931318</v>
      </c>
      <c r="U746">
        <v>-0.2000000000116415</v>
      </c>
      <c r="W746" s="3">
        <v>500</v>
      </c>
      <c r="X746" s="3">
        <v>2</v>
      </c>
      <c r="Y746" s="3">
        <v>1</v>
      </c>
      <c r="Z746">
        <v>196.39</v>
      </c>
      <c r="AA746">
        <v>1.5859999999999999E-2</v>
      </c>
      <c r="AB746">
        <v>0.1</v>
      </c>
      <c r="AC746">
        <v>0</v>
      </c>
      <c r="AD746">
        <v>99</v>
      </c>
      <c r="AE746">
        <v>1758645.5</v>
      </c>
      <c r="AF746">
        <v>401181.8</v>
      </c>
    </row>
    <row r="747" spans="1:32" x14ac:dyDescent="0.25">
      <c r="A747" s="3">
        <v>500</v>
      </c>
      <c r="B747" s="3">
        <v>2</v>
      </c>
      <c r="C747" s="3">
        <v>2</v>
      </c>
      <c r="H747">
        <v>0</v>
      </c>
      <c r="I747">
        <v>1.7770126356260471E-4</v>
      </c>
      <c r="J747">
        <v>1.772624405761034E-5</v>
      </c>
      <c r="L747" s="3">
        <v>500</v>
      </c>
      <c r="M747" s="3">
        <v>2</v>
      </c>
      <c r="N747" s="3">
        <v>2</v>
      </c>
      <c r="S747">
        <v>0</v>
      </c>
      <c r="T747">
        <v>-4</v>
      </c>
      <c r="U747">
        <v>-0.1000000000931323</v>
      </c>
      <c r="W747" s="3">
        <v>500</v>
      </c>
      <c r="X747" s="3">
        <v>2</v>
      </c>
      <c r="Y747" s="3">
        <v>2</v>
      </c>
      <c r="Z747">
        <v>228.63</v>
      </c>
      <c r="AA747">
        <v>1.5859999999999999E-2</v>
      </c>
      <c r="AB747">
        <v>0.1</v>
      </c>
      <c r="AC747">
        <v>0</v>
      </c>
      <c r="AD747">
        <v>104</v>
      </c>
      <c r="AE747">
        <v>2250964.7999999998</v>
      </c>
      <c r="AF747">
        <v>564135.19999999995</v>
      </c>
    </row>
    <row r="748" spans="1:32" x14ac:dyDescent="0.25">
      <c r="A748" s="3">
        <v>500</v>
      </c>
      <c r="B748" s="3">
        <v>3</v>
      </c>
      <c r="C748" s="3">
        <v>1</v>
      </c>
      <c r="D748">
        <v>1.8497965223829581E-2</v>
      </c>
      <c r="E748">
        <v>0.2515723270440367</v>
      </c>
      <c r="H748">
        <v>0</v>
      </c>
      <c r="I748">
        <v>1.474442802446856E-4</v>
      </c>
      <c r="J748">
        <v>4.3271142607328987E-5</v>
      </c>
      <c r="L748" s="3">
        <v>500</v>
      </c>
      <c r="M748" s="3">
        <v>3</v>
      </c>
      <c r="N748" s="3">
        <v>1</v>
      </c>
      <c r="O748">
        <v>5.0000000000011369E-2</v>
      </c>
      <c r="P748">
        <v>-4.000000000000184E-5</v>
      </c>
      <c r="S748">
        <v>0</v>
      </c>
      <c r="T748">
        <v>-1.3000000000465659</v>
      </c>
      <c r="U748">
        <v>-0.10000000000582079</v>
      </c>
      <c r="W748" s="3">
        <v>500</v>
      </c>
      <c r="X748" s="3">
        <v>3</v>
      </c>
      <c r="Y748" s="3">
        <v>1</v>
      </c>
      <c r="Z748">
        <v>270.35000000000002</v>
      </c>
      <c r="AA748">
        <v>1.5859999999999999E-2</v>
      </c>
      <c r="AB748">
        <v>0</v>
      </c>
      <c r="AC748">
        <v>0</v>
      </c>
      <c r="AD748">
        <v>112.1</v>
      </c>
      <c r="AE748">
        <v>881687.7</v>
      </c>
      <c r="AF748">
        <v>231100.79999999999</v>
      </c>
    </row>
    <row r="749" spans="1:32" x14ac:dyDescent="0.25">
      <c r="A749" s="3">
        <v>500</v>
      </c>
      <c r="B749" s="3">
        <v>3</v>
      </c>
      <c r="C749" s="3">
        <v>2</v>
      </c>
      <c r="H749">
        <v>0</v>
      </c>
      <c r="I749">
        <v>9.3740918850911638E-5</v>
      </c>
      <c r="J749">
        <v>0</v>
      </c>
      <c r="L749" s="3">
        <v>500</v>
      </c>
      <c r="M749" s="3">
        <v>3</v>
      </c>
      <c r="N749" s="3">
        <v>2</v>
      </c>
      <c r="S749">
        <v>0</v>
      </c>
      <c r="T749">
        <v>-0.90000000002328306</v>
      </c>
      <c r="U749">
        <v>0</v>
      </c>
      <c r="W749" s="3">
        <v>500</v>
      </c>
      <c r="X749" s="3">
        <v>3</v>
      </c>
      <c r="Y749" s="3">
        <v>2</v>
      </c>
      <c r="Z749">
        <v>286.69</v>
      </c>
      <c r="AA749">
        <v>1.5859999999999999E-2</v>
      </c>
      <c r="AB749">
        <v>0</v>
      </c>
      <c r="AC749">
        <v>0</v>
      </c>
      <c r="AD749">
        <v>115.1</v>
      </c>
      <c r="AE749">
        <v>960092.1</v>
      </c>
      <c r="AF749">
        <v>262489.7</v>
      </c>
    </row>
    <row r="750" spans="1:32" x14ac:dyDescent="0.25">
      <c r="A750" s="3">
        <v>500</v>
      </c>
      <c r="B750" s="3">
        <v>3</v>
      </c>
      <c r="C750" s="3">
        <v>3</v>
      </c>
      <c r="H750">
        <v>0</v>
      </c>
      <c r="I750">
        <v>1.4337772690098789E-4</v>
      </c>
      <c r="J750">
        <v>3.3395203525372873E-5</v>
      </c>
      <c r="L750" s="3">
        <v>500</v>
      </c>
      <c r="M750" s="3">
        <v>3</v>
      </c>
      <c r="N750" s="3">
        <v>3</v>
      </c>
      <c r="S750">
        <v>0</v>
      </c>
      <c r="T750">
        <v>-1.5</v>
      </c>
      <c r="U750">
        <v>-0.1000000000349246</v>
      </c>
      <c r="W750" s="3">
        <v>500</v>
      </c>
      <c r="X750" s="3">
        <v>3</v>
      </c>
      <c r="Y750" s="3">
        <v>3</v>
      </c>
      <c r="Z750">
        <v>304.62</v>
      </c>
      <c r="AA750">
        <v>1.5859999999999999E-2</v>
      </c>
      <c r="AB750">
        <v>0</v>
      </c>
      <c r="AC750">
        <v>0</v>
      </c>
      <c r="AD750">
        <v>118.5</v>
      </c>
      <c r="AE750">
        <v>1046186.1</v>
      </c>
      <c r="AF750">
        <v>299444.09999999998</v>
      </c>
    </row>
    <row r="751" spans="1:32" x14ac:dyDescent="0.25">
      <c r="A751" s="3">
        <v>500</v>
      </c>
      <c r="B751" s="3">
        <v>3</v>
      </c>
      <c r="C751" s="3">
        <v>4</v>
      </c>
      <c r="H751">
        <v>0</v>
      </c>
      <c r="I751">
        <v>1.8425326015026049E-4</v>
      </c>
      <c r="J751">
        <v>5.8262173374723221E-5</v>
      </c>
      <c r="L751" s="3">
        <v>500</v>
      </c>
      <c r="M751" s="3">
        <v>3</v>
      </c>
      <c r="N751" s="3">
        <v>4</v>
      </c>
      <c r="S751">
        <v>0</v>
      </c>
      <c r="T751">
        <v>-2.1000000000931318</v>
      </c>
      <c r="U751">
        <v>-0.2000000000116415</v>
      </c>
      <c r="W751" s="3">
        <v>500</v>
      </c>
      <c r="X751" s="3">
        <v>3</v>
      </c>
      <c r="Y751" s="3">
        <v>4</v>
      </c>
      <c r="Z751">
        <v>324.31</v>
      </c>
      <c r="AA751">
        <v>1.5859999999999999E-2</v>
      </c>
      <c r="AB751">
        <v>0</v>
      </c>
      <c r="AC751">
        <v>0</v>
      </c>
      <c r="AD751">
        <v>122.2</v>
      </c>
      <c r="AE751">
        <v>1139733.5</v>
      </c>
      <c r="AF751">
        <v>343275.7</v>
      </c>
    </row>
    <row r="752" spans="1:32" x14ac:dyDescent="0.25">
      <c r="A752" s="3">
        <v>500</v>
      </c>
      <c r="B752" s="3">
        <v>3</v>
      </c>
      <c r="C752" s="3">
        <v>5</v>
      </c>
      <c r="H752">
        <v>0</v>
      </c>
      <c r="I752">
        <v>1.5278156938891541E-4</v>
      </c>
      <c r="J752">
        <v>7.5838681010716882E-5</v>
      </c>
      <c r="L752" s="3">
        <v>500</v>
      </c>
      <c r="M752" s="3">
        <v>3</v>
      </c>
      <c r="N752" s="3">
        <v>5</v>
      </c>
      <c r="S752">
        <v>0</v>
      </c>
      <c r="T752">
        <v>-1.899999999906868</v>
      </c>
      <c r="U752">
        <v>-0.29999999998835852</v>
      </c>
      <c r="W752" s="3">
        <v>500</v>
      </c>
      <c r="X752" s="3">
        <v>3</v>
      </c>
      <c r="Y752" s="3">
        <v>5</v>
      </c>
      <c r="Z752">
        <v>345.96</v>
      </c>
      <c r="AA752">
        <v>1.5859999999999999E-2</v>
      </c>
      <c r="AB752">
        <v>0</v>
      </c>
      <c r="AC752">
        <v>0</v>
      </c>
      <c r="AD752">
        <v>126.5</v>
      </c>
      <c r="AE752">
        <v>1243603.6000000001</v>
      </c>
      <c r="AF752">
        <v>395576.2</v>
      </c>
    </row>
    <row r="753" spans="1:32" x14ac:dyDescent="0.25">
      <c r="A753" s="3">
        <v>500</v>
      </c>
      <c r="B753" s="3">
        <v>3</v>
      </c>
      <c r="C753" s="3">
        <v>6</v>
      </c>
      <c r="H753">
        <v>0</v>
      </c>
      <c r="I753">
        <v>1.3240896185390239E-4</v>
      </c>
      <c r="J753">
        <v>4.3619074623870868E-5</v>
      </c>
      <c r="L753" s="3">
        <v>500</v>
      </c>
      <c r="M753" s="3">
        <v>3</v>
      </c>
      <c r="N753" s="3">
        <v>6</v>
      </c>
      <c r="S753">
        <v>0</v>
      </c>
      <c r="T753">
        <v>-1.8000000000465659</v>
      </c>
      <c r="U753">
        <v>-0.2000000000116415</v>
      </c>
      <c r="W753" s="3">
        <v>500</v>
      </c>
      <c r="X753" s="3">
        <v>3</v>
      </c>
      <c r="Y753" s="3">
        <v>6</v>
      </c>
      <c r="Z753">
        <v>369.86</v>
      </c>
      <c r="AA753">
        <v>1.5859999999999999E-2</v>
      </c>
      <c r="AB753">
        <v>0</v>
      </c>
      <c r="AC753">
        <v>0</v>
      </c>
      <c r="AD753">
        <v>131.4</v>
      </c>
      <c r="AE753">
        <v>1359422.8</v>
      </c>
      <c r="AF753">
        <v>458514.8</v>
      </c>
    </row>
    <row r="754" spans="1:32" x14ac:dyDescent="0.25">
      <c r="A754" s="3">
        <v>500</v>
      </c>
      <c r="B754" s="3">
        <v>3</v>
      </c>
      <c r="C754" s="3">
        <v>7</v>
      </c>
      <c r="H754">
        <v>0</v>
      </c>
      <c r="I754">
        <v>1.3430062011968329E-4</v>
      </c>
      <c r="J754">
        <v>1.8692270087735339E-5</v>
      </c>
      <c r="L754" s="3">
        <v>500</v>
      </c>
      <c r="M754" s="3">
        <v>3</v>
      </c>
      <c r="N754" s="3">
        <v>7</v>
      </c>
      <c r="S754">
        <v>0</v>
      </c>
      <c r="T754">
        <v>-2</v>
      </c>
      <c r="U754">
        <v>-9.9999999976716936E-2</v>
      </c>
      <c r="W754" s="3">
        <v>500</v>
      </c>
      <c r="X754" s="3">
        <v>3</v>
      </c>
      <c r="Y754" s="3">
        <v>7</v>
      </c>
      <c r="Z754">
        <v>396.31</v>
      </c>
      <c r="AA754">
        <v>1.5859999999999999E-2</v>
      </c>
      <c r="AB754">
        <v>0</v>
      </c>
      <c r="AC754">
        <v>0</v>
      </c>
      <c r="AD754">
        <v>137.1</v>
      </c>
      <c r="AE754">
        <v>1489194.4</v>
      </c>
      <c r="AF754">
        <v>534980.4</v>
      </c>
    </row>
    <row r="755" spans="1:32" x14ac:dyDescent="0.25">
      <c r="A755" s="3">
        <v>500</v>
      </c>
      <c r="B755" s="3">
        <v>3</v>
      </c>
      <c r="C755" s="3">
        <v>8</v>
      </c>
      <c r="H755">
        <v>0</v>
      </c>
      <c r="I755">
        <v>1.4097094287396079E-4</v>
      </c>
      <c r="J755">
        <v>3.1798949228117688E-5</v>
      </c>
      <c r="L755" s="3">
        <v>500</v>
      </c>
      <c r="M755" s="3">
        <v>3</v>
      </c>
      <c r="N755" s="3">
        <v>8</v>
      </c>
      <c r="S755">
        <v>0</v>
      </c>
      <c r="T755">
        <v>-2.299999999813735</v>
      </c>
      <c r="U755">
        <v>-0.1999999999534339</v>
      </c>
      <c r="W755" s="3">
        <v>500</v>
      </c>
      <c r="X755" s="3">
        <v>3</v>
      </c>
      <c r="Y755" s="3">
        <v>8</v>
      </c>
      <c r="Z755">
        <v>425.71</v>
      </c>
      <c r="AA755">
        <v>1.5859999999999999E-2</v>
      </c>
      <c r="AB755">
        <v>0</v>
      </c>
      <c r="AC755">
        <v>0</v>
      </c>
      <c r="AD755">
        <v>143.6</v>
      </c>
      <c r="AE755">
        <v>1631539.6</v>
      </c>
      <c r="AF755">
        <v>628951.4</v>
      </c>
    </row>
    <row r="756" spans="1:32" x14ac:dyDescent="0.25">
      <c r="A756" s="3">
        <v>500</v>
      </c>
      <c r="B756" s="3">
        <v>3</v>
      </c>
      <c r="C756" s="3">
        <v>9</v>
      </c>
      <c r="H756">
        <v>0</v>
      </c>
      <c r="I756">
        <v>5.1001155691775907E-5</v>
      </c>
      <c r="J756">
        <v>2.8927472039768499E-5</v>
      </c>
      <c r="L756" s="3">
        <v>500</v>
      </c>
      <c r="M756" s="3">
        <v>3</v>
      </c>
      <c r="N756" s="3">
        <v>9</v>
      </c>
      <c r="S756">
        <v>0</v>
      </c>
      <c r="T756">
        <v>1.700000000186265</v>
      </c>
      <c r="U756">
        <v>-0.20000000006984919</v>
      </c>
      <c r="W756" s="3">
        <v>500</v>
      </c>
      <c r="X756" s="3">
        <v>3</v>
      </c>
      <c r="Y756" s="3">
        <v>9</v>
      </c>
      <c r="Z756">
        <v>458.49</v>
      </c>
      <c r="AA756">
        <v>1.5859999999999999E-2</v>
      </c>
      <c r="AB756">
        <v>37.700000000000003</v>
      </c>
      <c r="AC756">
        <v>4.5</v>
      </c>
      <c r="AD756">
        <v>192.5</v>
      </c>
      <c r="AE756">
        <v>3333259.5</v>
      </c>
      <c r="AF756">
        <v>691384.1</v>
      </c>
    </row>
    <row r="757" spans="1:32" x14ac:dyDescent="0.25">
      <c r="A757" s="3">
        <v>500</v>
      </c>
      <c r="B757" s="3">
        <v>3</v>
      </c>
      <c r="C757" s="3">
        <v>10</v>
      </c>
      <c r="H757">
        <v>0</v>
      </c>
      <c r="I757">
        <v>5.3350848661539517E-5</v>
      </c>
      <c r="J757">
        <v>7.8051513114421424E-5</v>
      </c>
      <c r="L757" s="3">
        <v>500</v>
      </c>
      <c r="M757" s="3">
        <v>3</v>
      </c>
      <c r="N757" s="3">
        <v>10</v>
      </c>
      <c r="S757">
        <v>0</v>
      </c>
      <c r="T757">
        <v>-2.099999999627471</v>
      </c>
      <c r="U757">
        <v>0.70000000006984919</v>
      </c>
      <c r="W757" s="3">
        <v>500</v>
      </c>
      <c r="X757" s="3">
        <v>3</v>
      </c>
      <c r="Y757" s="3">
        <v>10</v>
      </c>
      <c r="Z757">
        <v>513.29</v>
      </c>
      <c r="AA757">
        <v>1.5810000000000001E-2</v>
      </c>
      <c r="AB757">
        <v>42.2</v>
      </c>
      <c r="AC757">
        <v>5.0999999999999996</v>
      </c>
      <c r="AD757">
        <v>216.4</v>
      </c>
      <c r="AE757">
        <v>3936205.2</v>
      </c>
      <c r="AF757">
        <v>896844.3</v>
      </c>
    </row>
    <row r="758" spans="1:32" x14ac:dyDescent="0.25">
      <c r="A758" s="3">
        <v>500</v>
      </c>
      <c r="B758" s="3">
        <v>3</v>
      </c>
      <c r="C758" s="3">
        <v>11</v>
      </c>
      <c r="H758">
        <v>0</v>
      </c>
      <c r="I758">
        <v>2.7159707801901708E-4</v>
      </c>
      <c r="J758">
        <v>8.1326645789032337E-6</v>
      </c>
      <c r="L758" s="3">
        <v>500</v>
      </c>
      <c r="M758" s="3">
        <v>3</v>
      </c>
      <c r="N758" s="3">
        <v>11</v>
      </c>
      <c r="S758">
        <v>0</v>
      </c>
      <c r="T758">
        <v>3.8000000000465661</v>
      </c>
      <c r="U758">
        <v>1</v>
      </c>
      <c r="W758" s="3">
        <v>500</v>
      </c>
      <c r="X758" s="3">
        <v>3</v>
      </c>
      <c r="Y758" s="3">
        <v>11</v>
      </c>
      <c r="Z758">
        <v>580.16999999999996</v>
      </c>
      <c r="AA758">
        <v>1.575E-2</v>
      </c>
      <c r="AB758">
        <v>13375.6</v>
      </c>
      <c r="AC758">
        <v>5.0999999999999996</v>
      </c>
      <c r="AD758">
        <v>476.6</v>
      </c>
      <c r="AE758">
        <v>1399135.2</v>
      </c>
      <c r="AF758">
        <v>12296094</v>
      </c>
    </row>
    <row r="759" spans="1:32" x14ac:dyDescent="0.25">
      <c r="A759" s="3">
        <v>500</v>
      </c>
      <c r="B759" s="3">
        <v>3</v>
      </c>
      <c r="C759" s="3">
        <v>12</v>
      </c>
      <c r="H759">
        <v>0</v>
      </c>
      <c r="I759">
        <v>2.3726987787719392E-3</v>
      </c>
      <c r="J759">
        <v>3.299894403376091E-3</v>
      </c>
      <c r="L759" s="3">
        <v>500</v>
      </c>
      <c r="M759" s="3">
        <v>3</v>
      </c>
      <c r="N759" s="3">
        <v>12</v>
      </c>
      <c r="S759">
        <v>0</v>
      </c>
      <c r="T759">
        <v>-1</v>
      </c>
      <c r="U759">
        <v>-9.9999999999909051E-2</v>
      </c>
      <c r="W759" s="3">
        <v>500</v>
      </c>
      <c r="X759" s="3">
        <v>3</v>
      </c>
      <c r="Y759" s="3">
        <v>12</v>
      </c>
      <c r="Z759">
        <v>90.25</v>
      </c>
      <c r="AA759">
        <v>1.5689999999999999E-2</v>
      </c>
      <c r="AB759">
        <v>42.2</v>
      </c>
      <c r="AC759">
        <v>5.0999999999999996</v>
      </c>
      <c r="AD759">
        <v>86.7</v>
      </c>
      <c r="AE759">
        <v>42145.1</v>
      </c>
      <c r="AF759">
        <v>3030.3</v>
      </c>
    </row>
    <row r="760" spans="1:32" x14ac:dyDescent="0.25">
      <c r="A760" s="3">
        <v>500</v>
      </c>
      <c r="B760" s="3">
        <v>3</v>
      </c>
      <c r="C760" s="3">
        <v>13</v>
      </c>
      <c r="H760">
        <v>0</v>
      </c>
      <c r="I760">
        <v>5.1509573912804597E-3</v>
      </c>
      <c r="J760">
        <v>9.5955476658961206E-3</v>
      </c>
      <c r="L760" s="3">
        <v>500</v>
      </c>
      <c r="M760" s="3">
        <v>3</v>
      </c>
      <c r="N760" s="3">
        <v>13</v>
      </c>
      <c r="S760">
        <v>0</v>
      </c>
      <c r="T760">
        <v>-1.5</v>
      </c>
      <c r="U760">
        <v>-0.20000000000027279</v>
      </c>
      <c r="W760" s="3">
        <v>500</v>
      </c>
      <c r="X760" s="3">
        <v>3</v>
      </c>
      <c r="Y760" s="3">
        <v>13</v>
      </c>
      <c r="Z760">
        <v>88.71</v>
      </c>
      <c r="AA760">
        <v>1.5630000000000002E-2</v>
      </c>
      <c r="AB760">
        <v>42.2</v>
      </c>
      <c r="AC760">
        <v>5.0999999999999996</v>
      </c>
      <c r="AD760">
        <v>86.3</v>
      </c>
      <c r="AE760">
        <v>29119.3</v>
      </c>
      <c r="AF760">
        <v>2084.1</v>
      </c>
    </row>
    <row r="761" spans="1:32" x14ac:dyDescent="0.25">
      <c r="A761" s="3">
        <v>500</v>
      </c>
      <c r="B761" s="3">
        <v>3</v>
      </c>
      <c r="C761" s="3">
        <v>14</v>
      </c>
      <c r="H761">
        <v>0</v>
      </c>
      <c r="I761">
        <v>3.3357327200260467E-2</v>
      </c>
      <c r="J761">
        <v>1.3245033112585789E-2</v>
      </c>
      <c r="L761" s="3">
        <v>500</v>
      </c>
      <c r="M761" s="3">
        <v>3</v>
      </c>
      <c r="N761" s="3">
        <v>14</v>
      </c>
      <c r="S761">
        <v>0</v>
      </c>
      <c r="T761">
        <v>-1.899999999999636</v>
      </c>
      <c r="U761">
        <v>-0.1000000000000227</v>
      </c>
      <c r="W761" s="3">
        <v>500</v>
      </c>
      <c r="X761" s="3">
        <v>3</v>
      </c>
      <c r="Y761" s="3">
        <v>14</v>
      </c>
      <c r="Z761">
        <v>86.98</v>
      </c>
      <c r="AA761">
        <v>1.5570000000000001E-2</v>
      </c>
      <c r="AB761">
        <v>41.6</v>
      </c>
      <c r="AC761">
        <v>5</v>
      </c>
      <c r="AD761">
        <v>86.1</v>
      </c>
      <c r="AE761">
        <v>5694</v>
      </c>
      <c r="AF761">
        <v>754.9</v>
      </c>
    </row>
    <row r="762" spans="1:32" x14ac:dyDescent="0.25">
      <c r="A762" s="3">
        <v>500</v>
      </c>
      <c r="B762" s="3">
        <v>4</v>
      </c>
      <c r="C762" s="3">
        <v>1</v>
      </c>
      <c r="D762">
        <v>0</v>
      </c>
      <c r="E762">
        <v>6.451612903225544E-2</v>
      </c>
      <c r="H762">
        <v>0</v>
      </c>
      <c r="L762" s="3">
        <v>500</v>
      </c>
      <c r="M762" s="3">
        <v>4</v>
      </c>
      <c r="N762" s="3">
        <v>1</v>
      </c>
      <c r="O762">
        <v>0</v>
      </c>
      <c r="P762">
        <v>9.9999999999995925E-6</v>
      </c>
      <c r="S762">
        <v>0</v>
      </c>
      <c r="T762">
        <v>0</v>
      </c>
      <c r="U762">
        <v>0</v>
      </c>
      <c r="W762" s="3">
        <v>500</v>
      </c>
      <c r="X762" s="3">
        <v>4</v>
      </c>
      <c r="Y762" s="3">
        <v>1</v>
      </c>
      <c r="Z762">
        <v>85</v>
      </c>
      <c r="AA762">
        <v>1.5509999999999999E-2</v>
      </c>
      <c r="AB762">
        <v>0</v>
      </c>
      <c r="AC762">
        <v>0</v>
      </c>
      <c r="AD762">
        <v>85</v>
      </c>
      <c r="AE762">
        <v>0</v>
      </c>
      <c r="AF762">
        <v>0</v>
      </c>
    </row>
    <row r="763" spans="1:32" x14ac:dyDescent="0.25">
      <c r="A763" s="3">
        <v>500</v>
      </c>
      <c r="B763" s="3">
        <v>4</v>
      </c>
      <c r="C763" s="3">
        <v>2</v>
      </c>
      <c r="H763">
        <v>0</v>
      </c>
      <c r="L763" s="3">
        <v>500</v>
      </c>
      <c r="M763" s="3">
        <v>4</v>
      </c>
      <c r="N763" s="3">
        <v>2</v>
      </c>
      <c r="S763">
        <v>0</v>
      </c>
      <c r="T763">
        <v>0</v>
      </c>
      <c r="U763">
        <v>0</v>
      </c>
      <c r="W763" s="3">
        <v>500</v>
      </c>
      <c r="X763" s="3">
        <v>4</v>
      </c>
      <c r="Y763" s="3">
        <v>2</v>
      </c>
      <c r="Z763">
        <v>85</v>
      </c>
      <c r="AA763">
        <v>1.5509999999999999E-2</v>
      </c>
      <c r="AB763">
        <v>0</v>
      </c>
      <c r="AC763">
        <v>0</v>
      </c>
      <c r="AD763">
        <v>85</v>
      </c>
      <c r="AE763">
        <v>0</v>
      </c>
      <c r="AF763">
        <v>0</v>
      </c>
    </row>
    <row r="764" spans="1:32" x14ac:dyDescent="0.25">
      <c r="A764" s="3">
        <v>500</v>
      </c>
      <c r="B764" s="3">
        <v>5</v>
      </c>
      <c r="C764" s="3">
        <v>1</v>
      </c>
      <c r="D764">
        <v>9.0334236675617928E-3</v>
      </c>
      <c r="E764">
        <v>6.4102564102561488E-2</v>
      </c>
      <c r="L764" s="3">
        <v>500</v>
      </c>
      <c r="M764" s="3">
        <v>5</v>
      </c>
      <c r="N764" s="3">
        <v>1</v>
      </c>
      <c r="O764">
        <v>9.9999999999909051E-3</v>
      </c>
      <c r="P764">
        <v>-9.9999999999995925E-6</v>
      </c>
      <c r="W764" s="3">
        <v>500</v>
      </c>
      <c r="X764" s="3">
        <v>5</v>
      </c>
      <c r="Y764" s="3">
        <v>1</v>
      </c>
      <c r="Z764">
        <v>110.71</v>
      </c>
      <c r="AA764">
        <v>1.559E-2</v>
      </c>
    </row>
    <row r="765" spans="1:32" x14ac:dyDescent="0.25">
      <c r="A765" s="3">
        <v>500</v>
      </c>
      <c r="B765" s="3">
        <v>5</v>
      </c>
      <c r="C765" s="3">
        <v>2</v>
      </c>
      <c r="L765" s="3">
        <v>500</v>
      </c>
      <c r="M765" s="3">
        <v>5</v>
      </c>
      <c r="N765" s="3">
        <v>2</v>
      </c>
      <c r="W765" s="3">
        <v>500</v>
      </c>
      <c r="X765" s="3">
        <v>5</v>
      </c>
      <c r="Y765" s="3">
        <v>2</v>
      </c>
      <c r="Z765">
        <v>110.29</v>
      </c>
      <c r="AA765">
        <v>1.559E-2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40"/>
  <sheetViews>
    <sheetView topLeftCell="A16" workbookViewId="0">
      <selection activeCell="C5" sqref="C5"/>
    </sheetView>
  </sheetViews>
  <sheetFormatPr defaultRowHeight="15" x14ac:dyDescent="0.25"/>
  <sheetData>
    <row r="1" spans="1:75" x14ac:dyDescent="0.25">
      <c r="A1" s="1" t="s">
        <v>28</v>
      </c>
    </row>
    <row r="2" spans="1:75" x14ac:dyDescent="0.25">
      <c r="A2" s="2" t="s">
        <v>1</v>
      </c>
    </row>
    <row r="3" spans="1:75" x14ac:dyDescent="0.25">
      <c r="A3" t="s">
        <v>2</v>
      </c>
      <c r="T3" t="s">
        <v>3</v>
      </c>
    </row>
    <row r="4" spans="1:75" x14ac:dyDescent="0.25"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122</v>
      </c>
      <c r="I4" s="3" t="s">
        <v>126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V4" s="3" t="s">
        <v>29</v>
      </c>
      <c r="W4" s="3" t="s">
        <v>30</v>
      </c>
      <c r="X4" s="3" t="s">
        <v>31</v>
      </c>
      <c r="Y4" s="3" t="s">
        <v>32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37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42</v>
      </c>
      <c r="AJ4" s="3" t="s">
        <v>43</v>
      </c>
      <c r="AK4" s="3" t="s">
        <v>44</v>
      </c>
    </row>
    <row r="5" spans="1:75" x14ac:dyDescent="0.25">
      <c r="B5" s="3" t="s">
        <v>6</v>
      </c>
      <c r="C5">
        <v>25</v>
      </c>
      <c r="D5">
        <v>25</v>
      </c>
      <c r="E5">
        <v>25</v>
      </c>
      <c r="F5">
        <v>0</v>
      </c>
      <c r="G5">
        <v>0</v>
      </c>
      <c r="H5">
        <v>24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25</v>
      </c>
      <c r="P5">
        <v>25</v>
      </c>
      <c r="Q5">
        <v>25</v>
      </c>
      <c r="R5">
        <v>25</v>
      </c>
      <c r="U5" s="3" t="s">
        <v>6</v>
      </c>
      <c r="V5">
        <v>25</v>
      </c>
      <c r="W5">
        <v>25</v>
      </c>
      <c r="X5">
        <v>25</v>
      </c>
      <c r="Y5">
        <v>25</v>
      </c>
      <c r="Z5">
        <v>25</v>
      </c>
      <c r="AA5">
        <v>25</v>
      </c>
      <c r="AB5">
        <v>25</v>
      </c>
      <c r="AC5">
        <v>25</v>
      </c>
      <c r="AD5">
        <v>25</v>
      </c>
      <c r="AE5">
        <v>25</v>
      </c>
      <c r="AF5">
        <v>25</v>
      </c>
      <c r="AG5">
        <v>0</v>
      </c>
      <c r="AH5">
        <v>25</v>
      </c>
      <c r="AI5">
        <v>25</v>
      </c>
      <c r="AJ5">
        <v>25</v>
      </c>
      <c r="AK5">
        <v>25</v>
      </c>
    </row>
    <row r="6" spans="1:75" x14ac:dyDescent="0.25">
      <c r="B6" s="3" t="s">
        <v>7</v>
      </c>
      <c r="C6">
        <v>0</v>
      </c>
      <c r="D6">
        <v>0</v>
      </c>
      <c r="E6">
        <v>0</v>
      </c>
      <c r="H6">
        <v>0</v>
      </c>
      <c r="O6">
        <v>0</v>
      </c>
      <c r="P6">
        <v>0</v>
      </c>
      <c r="Q6">
        <v>0</v>
      </c>
      <c r="R6">
        <v>0</v>
      </c>
      <c r="U6" s="3" t="s">
        <v>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</v>
      </c>
      <c r="AK6">
        <v>0</v>
      </c>
    </row>
    <row r="7" spans="1:75" x14ac:dyDescent="0.25">
      <c r="B7" s="3" t="s">
        <v>8</v>
      </c>
      <c r="C7">
        <v>0</v>
      </c>
      <c r="D7">
        <v>0</v>
      </c>
      <c r="E7">
        <v>0</v>
      </c>
      <c r="H7">
        <v>0</v>
      </c>
      <c r="O7">
        <v>0</v>
      </c>
      <c r="P7">
        <v>0</v>
      </c>
      <c r="Q7">
        <v>0</v>
      </c>
      <c r="R7">
        <v>0</v>
      </c>
      <c r="U7" s="3" t="s">
        <v>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0</v>
      </c>
      <c r="AK7">
        <v>0</v>
      </c>
    </row>
    <row r="8" spans="1:75" x14ac:dyDescent="0.25">
      <c r="B8" s="3" t="s">
        <v>9</v>
      </c>
      <c r="C8">
        <v>0</v>
      </c>
      <c r="D8">
        <v>0</v>
      </c>
      <c r="E8">
        <v>0</v>
      </c>
      <c r="H8">
        <v>0</v>
      </c>
      <c r="O8">
        <v>0</v>
      </c>
      <c r="P8">
        <v>0</v>
      </c>
      <c r="Q8">
        <v>0</v>
      </c>
      <c r="R8">
        <v>0</v>
      </c>
      <c r="U8" s="3" t="s">
        <v>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H8">
        <v>0</v>
      </c>
      <c r="AI8">
        <v>0</v>
      </c>
      <c r="AJ8">
        <v>0</v>
      </c>
      <c r="AK8">
        <v>0</v>
      </c>
    </row>
    <row r="9" spans="1:75" x14ac:dyDescent="0.25">
      <c r="B9" s="3" t="s">
        <v>10</v>
      </c>
      <c r="C9">
        <v>0</v>
      </c>
      <c r="D9">
        <v>0</v>
      </c>
      <c r="E9">
        <v>0</v>
      </c>
      <c r="H9">
        <v>0</v>
      </c>
      <c r="O9">
        <v>0</v>
      </c>
      <c r="P9">
        <v>0</v>
      </c>
      <c r="Q9">
        <v>0</v>
      </c>
      <c r="R9">
        <v>0</v>
      </c>
      <c r="U9" s="3" t="s">
        <v>10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0</v>
      </c>
      <c r="AK9">
        <v>0</v>
      </c>
    </row>
    <row r="10" spans="1:75" x14ac:dyDescent="0.25">
      <c r="B10" s="3" t="s">
        <v>11</v>
      </c>
      <c r="C10">
        <v>0</v>
      </c>
      <c r="D10">
        <v>0</v>
      </c>
      <c r="E10">
        <v>0</v>
      </c>
      <c r="H10">
        <v>0</v>
      </c>
      <c r="O10">
        <v>0</v>
      </c>
      <c r="P10">
        <v>0</v>
      </c>
      <c r="Q10">
        <v>0</v>
      </c>
      <c r="R10">
        <v>0</v>
      </c>
      <c r="U10" s="3" t="s">
        <v>11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>
        <v>0</v>
      </c>
      <c r="AI10">
        <v>0</v>
      </c>
      <c r="AJ10">
        <v>0</v>
      </c>
      <c r="AK10">
        <v>0</v>
      </c>
    </row>
    <row r="11" spans="1:75" x14ac:dyDescent="0.25">
      <c r="B11" s="3" t="s">
        <v>12</v>
      </c>
      <c r="C11">
        <v>0</v>
      </c>
      <c r="D11">
        <v>0</v>
      </c>
      <c r="E11">
        <v>0</v>
      </c>
      <c r="H11">
        <v>0</v>
      </c>
      <c r="O11">
        <v>0</v>
      </c>
      <c r="P11">
        <v>0</v>
      </c>
      <c r="Q11">
        <v>0</v>
      </c>
      <c r="R11">
        <v>0</v>
      </c>
      <c r="U11" s="3" t="s">
        <v>12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K11">
        <v>0</v>
      </c>
    </row>
    <row r="12" spans="1:75" x14ac:dyDescent="0.25">
      <c r="B12" s="3" t="s">
        <v>13</v>
      </c>
      <c r="C12">
        <v>0</v>
      </c>
      <c r="D12">
        <v>0</v>
      </c>
      <c r="E12">
        <v>0</v>
      </c>
      <c r="H12">
        <v>0</v>
      </c>
      <c r="O12">
        <v>0</v>
      </c>
      <c r="P12">
        <v>0</v>
      </c>
      <c r="Q12">
        <v>0</v>
      </c>
      <c r="R12">
        <v>0</v>
      </c>
      <c r="U12" s="3" t="s">
        <v>13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0</v>
      </c>
    </row>
    <row r="13" spans="1:75" x14ac:dyDescent="0.25">
      <c r="A13" s="2" t="s">
        <v>14</v>
      </c>
    </row>
    <row r="14" spans="1:75" x14ac:dyDescent="0.25">
      <c r="A14" t="s">
        <v>2</v>
      </c>
      <c r="T14" t="s">
        <v>3</v>
      </c>
      <c r="AM14" t="s">
        <v>15</v>
      </c>
      <c r="BF14" t="s">
        <v>16</v>
      </c>
    </row>
    <row r="15" spans="1:75" x14ac:dyDescent="0.25">
      <c r="A15" s="3" t="s">
        <v>17</v>
      </c>
      <c r="B15" s="3" t="s">
        <v>45</v>
      </c>
      <c r="C15" s="3" t="s">
        <v>29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122</v>
      </c>
      <c r="I15" s="3" t="s">
        <v>126</v>
      </c>
      <c r="J15" s="3" t="s">
        <v>36</v>
      </c>
      <c r="K15" s="3" t="s">
        <v>37</v>
      </c>
      <c r="L15" s="3" t="s">
        <v>38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43</v>
      </c>
      <c r="R15" s="3" t="s">
        <v>44</v>
      </c>
      <c r="T15" s="3" t="s">
        <v>17</v>
      </c>
      <c r="U15" s="3" t="s">
        <v>45</v>
      </c>
      <c r="V15" s="3" t="s">
        <v>29</v>
      </c>
      <c r="W15" s="3" t="s">
        <v>30</v>
      </c>
      <c r="X15" s="3" t="s">
        <v>31</v>
      </c>
      <c r="Y15" s="3" t="s">
        <v>32</v>
      </c>
      <c r="Z15" s="3" t="s">
        <v>33</v>
      </c>
      <c r="AA15" s="3" t="s">
        <v>34</v>
      </c>
      <c r="AB15" s="3" t="s">
        <v>35</v>
      </c>
      <c r="AC15" s="3" t="s">
        <v>36</v>
      </c>
      <c r="AD15" s="3" t="s">
        <v>37</v>
      </c>
      <c r="AE15" s="3" t="s">
        <v>38</v>
      </c>
      <c r="AF15" s="3" t="s">
        <v>39</v>
      </c>
      <c r="AG15" s="3" t="s">
        <v>40</v>
      </c>
      <c r="AH15" s="3" t="s">
        <v>41</v>
      </c>
      <c r="AI15" s="3" t="s">
        <v>42</v>
      </c>
      <c r="AJ15" s="3" t="s">
        <v>43</v>
      </c>
      <c r="AK15" s="3" t="s">
        <v>44</v>
      </c>
      <c r="AM15" s="3" t="s">
        <v>17</v>
      </c>
      <c r="AN15" s="3" t="s">
        <v>45</v>
      </c>
      <c r="AO15" s="3" t="s">
        <v>29</v>
      </c>
      <c r="AP15" s="3" t="s">
        <v>30</v>
      </c>
      <c r="AQ15" s="3" t="s">
        <v>31</v>
      </c>
      <c r="AR15" s="3" t="s">
        <v>32</v>
      </c>
      <c r="AS15" s="3" t="s">
        <v>33</v>
      </c>
      <c r="AT15" s="3" t="s">
        <v>34</v>
      </c>
      <c r="AU15" s="3" t="s">
        <v>35</v>
      </c>
      <c r="AV15" s="3" t="s">
        <v>36</v>
      </c>
      <c r="AW15" s="3" t="s">
        <v>37</v>
      </c>
      <c r="AX15" s="3" t="s">
        <v>38</v>
      </c>
      <c r="AY15" s="3" t="s">
        <v>39</v>
      </c>
      <c r="AZ15" s="3" t="s">
        <v>40</v>
      </c>
      <c r="BA15" s="3" t="s">
        <v>41</v>
      </c>
      <c r="BB15" s="3" t="s">
        <v>42</v>
      </c>
      <c r="BC15" s="3" t="s">
        <v>43</v>
      </c>
      <c r="BD15" s="3" t="s">
        <v>44</v>
      </c>
      <c r="BF15" s="3" t="s">
        <v>17</v>
      </c>
      <c r="BG15" s="3" t="s">
        <v>45</v>
      </c>
      <c r="BH15" s="3" t="s">
        <v>29</v>
      </c>
      <c r="BI15" s="3" t="s">
        <v>30</v>
      </c>
      <c r="BJ15" s="3" t="s">
        <v>31</v>
      </c>
      <c r="BK15" s="3" t="s">
        <v>32</v>
      </c>
      <c r="BL15" s="3" t="s">
        <v>33</v>
      </c>
      <c r="BM15" s="3" t="s">
        <v>34</v>
      </c>
      <c r="BN15" s="3" t="s">
        <v>35</v>
      </c>
      <c r="BO15" s="3" t="s">
        <v>36</v>
      </c>
      <c r="BP15" s="3" t="s">
        <v>37</v>
      </c>
      <c r="BQ15" s="3" t="s">
        <v>38</v>
      </c>
      <c r="BR15" s="3" t="s">
        <v>39</v>
      </c>
      <c r="BS15" s="3" t="s">
        <v>40</v>
      </c>
      <c r="BT15" s="3" t="s">
        <v>41</v>
      </c>
      <c r="BU15" s="3" t="s">
        <v>42</v>
      </c>
      <c r="BV15" s="3" t="s">
        <v>43</v>
      </c>
      <c r="BW15" s="3" t="s">
        <v>44</v>
      </c>
    </row>
    <row r="16" spans="1:75" x14ac:dyDescent="0.25">
      <c r="A16" s="3">
        <v>0</v>
      </c>
      <c r="B16" s="3">
        <v>1</v>
      </c>
      <c r="C16">
        <v>0</v>
      </c>
      <c r="D16">
        <v>0</v>
      </c>
      <c r="E16">
        <v>0</v>
      </c>
      <c r="O16">
        <v>0</v>
      </c>
      <c r="P16">
        <v>0</v>
      </c>
      <c r="Q16">
        <v>0</v>
      </c>
      <c r="R16">
        <v>0</v>
      </c>
      <c r="T16" s="3">
        <v>0</v>
      </c>
      <c r="U16" s="3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>
        <v>0</v>
      </c>
      <c r="AI16">
        <v>0</v>
      </c>
      <c r="AJ16">
        <v>0</v>
      </c>
      <c r="AK16">
        <v>0</v>
      </c>
      <c r="AM16" s="3">
        <v>0</v>
      </c>
      <c r="AN16" s="3">
        <v>1</v>
      </c>
      <c r="AO16">
        <v>1</v>
      </c>
      <c r="AP16">
        <v>1</v>
      </c>
      <c r="AQ16">
        <v>4499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A16">
        <v>85</v>
      </c>
      <c r="BB16">
        <v>1200</v>
      </c>
      <c r="BC16">
        <v>0.49</v>
      </c>
      <c r="BD16">
        <v>0.49</v>
      </c>
      <c r="BF16" s="3">
        <v>0</v>
      </c>
      <c r="BG16" s="3">
        <v>1</v>
      </c>
      <c r="BH16">
        <v>1</v>
      </c>
      <c r="BI16">
        <v>1</v>
      </c>
      <c r="BJ16">
        <v>4499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85</v>
      </c>
      <c r="BU16">
        <v>1200</v>
      </c>
      <c r="BV16">
        <v>0.49</v>
      </c>
      <c r="BW16">
        <v>0.49</v>
      </c>
    </row>
    <row r="17" spans="1:75" x14ac:dyDescent="0.25">
      <c r="A17" s="3">
        <v>10</v>
      </c>
      <c r="B17" s="3">
        <v>1</v>
      </c>
      <c r="C17">
        <v>0</v>
      </c>
      <c r="D17">
        <v>0</v>
      </c>
      <c r="E17">
        <v>0</v>
      </c>
      <c r="H17">
        <v>0</v>
      </c>
      <c r="O17">
        <v>0</v>
      </c>
      <c r="P17">
        <v>0</v>
      </c>
      <c r="Q17">
        <v>0</v>
      </c>
      <c r="R17">
        <v>0</v>
      </c>
      <c r="T17" s="3">
        <v>10</v>
      </c>
      <c r="U17" s="3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J17">
        <v>0</v>
      </c>
      <c r="AK17">
        <v>0</v>
      </c>
      <c r="AM17" s="3">
        <v>10</v>
      </c>
      <c r="AN17" s="3">
        <v>1</v>
      </c>
      <c r="AO17">
        <v>1</v>
      </c>
      <c r="AP17">
        <v>1</v>
      </c>
      <c r="AQ17">
        <v>4499</v>
      </c>
      <c r="AR17">
        <v>0</v>
      </c>
      <c r="AS17">
        <v>0</v>
      </c>
      <c r="AT17">
        <v>402</v>
      </c>
      <c r="AU17">
        <v>0</v>
      </c>
      <c r="AV17">
        <v>0</v>
      </c>
      <c r="AW17">
        <v>0</v>
      </c>
      <c r="AX17">
        <v>0</v>
      </c>
      <c r="AY17">
        <v>0</v>
      </c>
      <c r="BA17">
        <v>85</v>
      </c>
      <c r="BB17">
        <v>1152.5</v>
      </c>
      <c r="BC17">
        <v>0.49</v>
      </c>
      <c r="BD17">
        <v>1.6870000000000001</v>
      </c>
      <c r="BF17" s="3">
        <v>10</v>
      </c>
      <c r="BG17" s="3">
        <v>1</v>
      </c>
      <c r="BH17">
        <v>1</v>
      </c>
      <c r="BI17">
        <v>1</v>
      </c>
      <c r="BJ17">
        <v>4499</v>
      </c>
      <c r="BK17">
        <v>0</v>
      </c>
      <c r="BL17">
        <v>0</v>
      </c>
      <c r="BM17">
        <v>402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85</v>
      </c>
      <c r="BU17">
        <v>1152.5</v>
      </c>
      <c r="BV17">
        <v>0.49</v>
      </c>
      <c r="BW17">
        <v>1.6870000000000001</v>
      </c>
    </row>
    <row r="18" spans="1:75" x14ac:dyDescent="0.25">
      <c r="A18" s="3">
        <v>20</v>
      </c>
      <c r="B18" s="3">
        <v>1</v>
      </c>
      <c r="C18">
        <v>0</v>
      </c>
      <c r="D18">
        <v>0</v>
      </c>
      <c r="E18">
        <v>0</v>
      </c>
      <c r="H18">
        <v>0</v>
      </c>
      <c r="O18">
        <v>0</v>
      </c>
      <c r="P18">
        <v>0</v>
      </c>
      <c r="Q18">
        <v>0</v>
      </c>
      <c r="R18">
        <v>0</v>
      </c>
      <c r="T18" s="3">
        <v>20</v>
      </c>
      <c r="U18" s="3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K18">
        <v>0</v>
      </c>
      <c r="AM18" s="3">
        <v>20</v>
      </c>
      <c r="AN18" s="3">
        <v>1</v>
      </c>
      <c r="AO18">
        <v>1</v>
      </c>
      <c r="AP18">
        <v>1</v>
      </c>
      <c r="AQ18">
        <v>4499</v>
      </c>
      <c r="AR18">
        <v>0</v>
      </c>
      <c r="AS18">
        <v>0</v>
      </c>
      <c r="AT18">
        <v>237</v>
      </c>
      <c r="AU18">
        <v>0</v>
      </c>
      <c r="AV18">
        <v>0</v>
      </c>
      <c r="AW18">
        <v>0</v>
      </c>
      <c r="AX18">
        <v>0</v>
      </c>
      <c r="AY18">
        <v>0</v>
      </c>
      <c r="BA18">
        <v>85</v>
      </c>
      <c r="BB18">
        <v>1102.8</v>
      </c>
      <c r="BC18">
        <v>0.49</v>
      </c>
      <c r="BD18">
        <v>1.595</v>
      </c>
      <c r="BF18" s="3">
        <v>20</v>
      </c>
      <c r="BG18" s="3">
        <v>1</v>
      </c>
      <c r="BH18">
        <v>1</v>
      </c>
      <c r="BI18">
        <v>1</v>
      </c>
      <c r="BJ18">
        <v>4499</v>
      </c>
      <c r="BK18">
        <v>0</v>
      </c>
      <c r="BL18">
        <v>0</v>
      </c>
      <c r="BM18">
        <v>237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85</v>
      </c>
      <c r="BU18">
        <v>1102.8</v>
      </c>
      <c r="BV18">
        <v>0.49</v>
      </c>
      <c r="BW18">
        <v>1.595</v>
      </c>
    </row>
    <row r="19" spans="1:75" x14ac:dyDescent="0.25">
      <c r="A19" s="3">
        <v>30</v>
      </c>
      <c r="B19" s="3">
        <v>1</v>
      </c>
      <c r="C19">
        <v>0</v>
      </c>
      <c r="D19">
        <v>0</v>
      </c>
      <c r="E19">
        <v>0</v>
      </c>
      <c r="H19">
        <v>0</v>
      </c>
      <c r="O19">
        <v>0</v>
      </c>
      <c r="P19">
        <v>0</v>
      </c>
      <c r="Q19">
        <v>0</v>
      </c>
      <c r="R19">
        <v>0</v>
      </c>
      <c r="T19" s="3">
        <v>30</v>
      </c>
      <c r="U19" s="3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J19">
        <v>0</v>
      </c>
      <c r="AK19">
        <v>0</v>
      </c>
      <c r="AM19" s="3">
        <v>30</v>
      </c>
      <c r="AN19" s="3">
        <v>1</v>
      </c>
      <c r="AO19">
        <v>1</v>
      </c>
      <c r="AP19">
        <v>1</v>
      </c>
      <c r="AQ19">
        <v>4499</v>
      </c>
      <c r="AR19">
        <v>0</v>
      </c>
      <c r="AS19">
        <v>0</v>
      </c>
      <c r="AT19">
        <v>200</v>
      </c>
      <c r="AU19">
        <v>0</v>
      </c>
      <c r="AV19">
        <v>0</v>
      </c>
      <c r="AW19">
        <v>0</v>
      </c>
      <c r="AX19">
        <v>0</v>
      </c>
      <c r="AY19">
        <v>0</v>
      </c>
      <c r="BA19">
        <v>85</v>
      </c>
      <c r="BB19">
        <v>1059.2</v>
      </c>
      <c r="BC19">
        <v>0.49</v>
      </c>
      <c r="BD19">
        <v>1.4630000000000001</v>
      </c>
      <c r="BF19" s="3">
        <v>30</v>
      </c>
      <c r="BG19" s="3">
        <v>1</v>
      </c>
      <c r="BH19">
        <v>1</v>
      </c>
      <c r="BI19">
        <v>1</v>
      </c>
      <c r="BJ19">
        <v>4499</v>
      </c>
      <c r="BK19">
        <v>0</v>
      </c>
      <c r="BL19">
        <v>0</v>
      </c>
      <c r="BM19">
        <v>200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85</v>
      </c>
      <c r="BU19">
        <v>1059.2</v>
      </c>
      <c r="BV19">
        <v>0.49</v>
      </c>
      <c r="BW19">
        <v>1.4630000000000001</v>
      </c>
    </row>
    <row r="20" spans="1:75" x14ac:dyDescent="0.25">
      <c r="A20" s="3">
        <v>40</v>
      </c>
      <c r="B20" s="3">
        <v>1</v>
      </c>
      <c r="C20">
        <v>0</v>
      </c>
      <c r="D20">
        <v>0</v>
      </c>
      <c r="E20">
        <v>0</v>
      </c>
      <c r="H20">
        <v>0</v>
      </c>
      <c r="O20">
        <v>0</v>
      </c>
      <c r="P20">
        <v>0</v>
      </c>
      <c r="Q20">
        <v>0</v>
      </c>
      <c r="R20">
        <v>0</v>
      </c>
      <c r="T20" s="3">
        <v>40</v>
      </c>
      <c r="U20" s="3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K20">
        <v>0</v>
      </c>
      <c r="AM20" s="3">
        <v>40</v>
      </c>
      <c r="AN20" s="3">
        <v>1</v>
      </c>
      <c r="AO20">
        <v>1</v>
      </c>
      <c r="AP20">
        <v>1</v>
      </c>
      <c r="AQ20">
        <v>4499</v>
      </c>
      <c r="AR20">
        <v>0</v>
      </c>
      <c r="AS20">
        <v>0</v>
      </c>
      <c r="AT20">
        <v>182</v>
      </c>
      <c r="AU20">
        <v>0</v>
      </c>
      <c r="AV20">
        <v>0</v>
      </c>
      <c r="AW20">
        <v>0</v>
      </c>
      <c r="AX20">
        <v>0</v>
      </c>
      <c r="AY20">
        <v>0</v>
      </c>
      <c r="BA20">
        <v>85</v>
      </c>
      <c r="BB20">
        <v>1020.3</v>
      </c>
      <c r="BC20">
        <v>0.49</v>
      </c>
      <c r="BD20">
        <v>1.367</v>
      </c>
      <c r="BF20" s="3">
        <v>40</v>
      </c>
      <c r="BG20" s="3">
        <v>1</v>
      </c>
      <c r="BH20">
        <v>1</v>
      </c>
      <c r="BI20">
        <v>1</v>
      </c>
      <c r="BJ20">
        <v>4499</v>
      </c>
      <c r="BK20">
        <v>0</v>
      </c>
      <c r="BL20">
        <v>0</v>
      </c>
      <c r="BM20">
        <v>182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85</v>
      </c>
      <c r="BU20">
        <v>1020.3</v>
      </c>
      <c r="BV20">
        <v>0.49</v>
      </c>
      <c r="BW20">
        <v>1.367</v>
      </c>
    </row>
    <row r="21" spans="1:75" x14ac:dyDescent="0.25">
      <c r="A21" s="3">
        <v>50</v>
      </c>
      <c r="B21" s="3">
        <v>1</v>
      </c>
      <c r="C21">
        <v>0</v>
      </c>
      <c r="D21">
        <v>0</v>
      </c>
      <c r="E21">
        <v>0</v>
      </c>
      <c r="H21">
        <v>0</v>
      </c>
      <c r="O21">
        <v>0</v>
      </c>
      <c r="P21">
        <v>0</v>
      </c>
      <c r="Q21">
        <v>0</v>
      </c>
      <c r="R21">
        <v>0</v>
      </c>
      <c r="T21" s="3">
        <v>50</v>
      </c>
      <c r="U21" s="3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H21">
        <v>0</v>
      </c>
      <c r="AI21">
        <v>0</v>
      </c>
      <c r="AJ21">
        <v>0</v>
      </c>
      <c r="AK21">
        <v>0</v>
      </c>
      <c r="AM21" s="3">
        <v>50</v>
      </c>
      <c r="AN21" s="3">
        <v>1</v>
      </c>
      <c r="AO21">
        <v>1</v>
      </c>
      <c r="AP21">
        <v>1</v>
      </c>
      <c r="AQ21">
        <v>4499</v>
      </c>
      <c r="AR21">
        <v>0</v>
      </c>
      <c r="AS21">
        <v>0</v>
      </c>
      <c r="AT21">
        <v>172</v>
      </c>
      <c r="AU21">
        <v>0</v>
      </c>
      <c r="AV21">
        <v>0</v>
      </c>
      <c r="AW21">
        <v>0</v>
      </c>
      <c r="AX21">
        <v>0</v>
      </c>
      <c r="AY21">
        <v>0</v>
      </c>
      <c r="BA21">
        <v>85</v>
      </c>
      <c r="BB21">
        <v>984.9</v>
      </c>
      <c r="BC21">
        <v>0.49</v>
      </c>
      <c r="BD21">
        <v>1.2929999999999999</v>
      </c>
      <c r="BF21" s="3">
        <v>50</v>
      </c>
      <c r="BG21" s="3">
        <v>1</v>
      </c>
      <c r="BH21">
        <v>1</v>
      </c>
      <c r="BI21">
        <v>1</v>
      </c>
      <c r="BJ21">
        <v>4499</v>
      </c>
      <c r="BK21">
        <v>0</v>
      </c>
      <c r="BL21">
        <v>0</v>
      </c>
      <c r="BM21">
        <v>172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85</v>
      </c>
      <c r="BU21">
        <v>984.9</v>
      </c>
      <c r="BV21">
        <v>0.49</v>
      </c>
      <c r="BW21">
        <v>1.2929999999999999</v>
      </c>
    </row>
    <row r="22" spans="1:75" x14ac:dyDescent="0.25">
      <c r="A22" s="3">
        <v>60</v>
      </c>
      <c r="B22" s="3">
        <v>1</v>
      </c>
      <c r="C22">
        <v>0</v>
      </c>
      <c r="D22">
        <v>0</v>
      </c>
      <c r="E22">
        <v>0</v>
      </c>
      <c r="H22">
        <v>0</v>
      </c>
      <c r="O22">
        <v>0</v>
      </c>
      <c r="P22">
        <v>0</v>
      </c>
      <c r="Q22">
        <v>0</v>
      </c>
      <c r="R22">
        <v>0</v>
      </c>
      <c r="T22" s="3">
        <v>60</v>
      </c>
      <c r="U22" s="3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K22">
        <v>0</v>
      </c>
      <c r="AM22" s="3">
        <v>60</v>
      </c>
      <c r="AN22" s="3">
        <v>1</v>
      </c>
      <c r="AO22">
        <v>1</v>
      </c>
      <c r="AP22">
        <v>1</v>
      </c>
      <c r="AQ22">
        <v>4499</v>
      </c>
      <c r="AR22">
        <v>0</v>
      </c>
      <c r="AS22">
        <v>0</v>
      </c>
      <c r="AT22">
        <v>166</v>
      </c>
      <c r="AU22">
        <v>0</v>
      </c>
      <c r="AV22">
        <v>0</v>
      </c>
      <c r="AW22">
        <v>0</v>
      </c>
      <c r="AX22">
        <v>0</v>
      </c>
      <c r="AY22">
        <v>0</v>
      </c>
      <c r="BA22">
        <v>85</v>
      </c>
      <c r="BB22">
        <v>952.3</v>
      </c>
      <c r="BC22">
        <v>0.49</v>
      </c>
      <c r="BD22">
        <v>1.2330000000000001</v>
      </c>
      <c r="BF22" s="3">
        <v>60</v>
      </c>
      <c r="BG22" s="3">
        <v>1</v>
      </c>
      <c r="BH22">
        <v>1</v>
      </c>
      <c r="BI22">
        <v>1</v>
      </c>
      <c r="BJ22">
        <v>4499</v>
      </c>
      <c r="BK22">
        <v>0</v>
      </c>
      <c r="BL22">
        <v>0</v>
      </c>
      <c r="BM22">
        <v>166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85</v>
      </c>
      <c r="BU22">
        <v>952.3</v>
      </c>
      <c r="BV22">
        <v>0.49</v>
      </c>
      <c r="BW22">
        <v>1.2330000000000001</v>
      </c>
    </row>
    <row r="23" spans="1:75" x14ac:dyDescent="0.25">
      <c r="A23" s="3">
        <v>70</v>
      </c>
      <c r="B23" s="3">
        <v>1</v>
      </c>
      <c r="C23">
        <v>0</v>
      </c>
      <c r="D23">
        <v>0</v>
      </c>
      <c r="E23">
        <v>0</v>
      </c>
      <c r="H23">
        <v>0</v>
      </c>
      <c r="O23">
        <v>0</v>
      </c>
      <c r="P23">
        <v>0</v>
      </c>
      <c r="Q23">
        <v>0</v>
      </c>
      <c r="R23">
        <v>0</v>
      </c>
      <c r="T23" s="3">
        <v>70</v>
      </c>
      <c r="U23" s="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0</v>
      </c>
      <c r="AK23">
        <v>0</v>
      </c>
      <c r="AM23" s="3">
        <v>70</v>
      </c>
      <c r="AN23" s="3">
        <v>1</v>
      </c>
      <c r="AO23">
        <v>1</v>
      </c>
      <c r="AP23">
        <v>1</v>
      </c>
      <c r="AQ23">
        <v>4499</v>
      </c>
      <c r="AR23">
        <v>0</v>
      </c>
      <c r="AS23">
        <v>0</v>
      </c>
      <c r="AT23">
        <v>161</v>
      </c>
      <c r="AU23">
        <v>0</v>
      </c>
      <c r="AV23">
        <v>0</v>
      </c>
      <c r="AW23">
        <v>0</v>
      </c>
      <c r="AX23">
        <v>0</v>
      </c>
      <c r="AY23">
        <v>0</v>
      </c>
      <c r="BA23">
        <v>85</v>
      </c>
      <c r="BB23">
        <v>922</v>
      </c>
      <c r="BC23">
        <v>0.49</v>
      </c>
      <c r="BD23">
        <v>1.1819999999999999</v>
      </c>
      <c r="BF23" s="3">
        <v>70</v>
      </c>
      <c r="BG23" s="3">
        <v>1</v>
      </c>
      <c r="BH23">
        <v>1</v>
      </c>
      <c r="BI23">
        <v>1</v>
      </c>
      <c r="BJ23">
        <v>4499</v>
      </c>
      <c r="BK23">
        <v>0</v>
      </c>
      <c r="BL23">
        <v>0</v>
      </c>
      <c r="BM23">
        <v>161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85</v>
      </c>
      <c r="BU23">
        <v>922</v>
      </c>
      <c r="BV23">
        <v>0.49</v>
      </c>
      <c r="BW23">
        <v>1.1819999999999999</v>
      </c>
    </row>
    <row r="24" spans="1:75" x14ac:dyDescent="0.25">
      <c r="A24" s="3">
        <v>80</v>
      </c>
      <c r="B24" s="3">
        <v>1</v>
      </c>
      <c r="C24">
        <v>0</v>
      </c>
      <c r="D24">
        <v>0</v>
      </c>
      <c r="E24">
        <v>0</v>
      </c>
      <c r="H24">
        <v>0</v>
      </c>
      <c r="O24">
        <v>0</v>
      </c>
      <c r="P24">
        <v>0</v>
      </c>
      <c r="Q24">
        <v>0</v>
      </c>
      <c r="R24">
        <v>0</v>
      </c>
      <c r="T24" s="3">
        <v>80</v>
      </c>
      <c r="U24" s="3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M24" s="3">
        <v>80</v>
      </c>
      <c r="AN24" s="3">
        <v>1</v>
      </c>
      <c r="AO24">
        <v>1</v>
      </c>
      <c r="AP24">
        <v>1</v>
      </c>
      <c r="AQ24">
        <v>4499</v>
      </c>
      <c r="AR24">
        <v>0</v>
      </c>
      <c r="AS24">
        <v>0</v>
      </c>
      <c r="AT24">
        <v>157</v>
      </c>
      <c r="AU24">
        <v>0</v>
      </c>
      <c r="AV24">
        <v>0</v>
      </c>
      <c r="AW24">
        <v>0</v>
      </c>
      <c r="AX24">
        <v>0</v>
      </c>
      <c r="AY24">
        <v>0</v>
      </c>
      <c r="BA24">
        <v>85</v>
      </c>
      <c r="BB24">
        <v>893.8</v>
      </c>
      <c r="BC24">
        <v>0.49</v>
      </c>
      <c r="BD24">
        <v>1.1359999999999999</v>
      </c>
      <c r="BF24" s="3">
        <v>80</v>
      </c>
      <c r="BG24" s="3">
        <v>1</v>
      </c>
      <c r="BH24">
        <v>1</v>
      </c>
      <c r="BI24">
        <v>1</v>
      </c>
      <c r="BJ24">
        <v>4499</v>
      </c>
      <c r="BK24">
        <v>0</v>
      </c>
      <c r="BL24">
        <v>0</v>
      </c>
      <c r="BM24">
        <v>157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85</v>
      </c>
      <c r="BU24">
        <v>893.8</v>
      </c>
      <c r="BV24">
        <v>0.49</v>
      </c>
      <c r="BW24">
        <v>1.1359999999999999</v>
      </c>
    </row>
    <row r="25" spans="1:75" x14ac:dyDescent="0.25">
      <c r="A25" s="3">
        <v>90</v>
      </c>
      <c r="B25" s="3">
        <v>1</v>
      </c>
      <c r="C25">
        <v>0</v>
      </c>
      <c r="D25">
        <v>0</v>
      </c>
      <c r="E25">
        <v>0</v>
      </c>
      <c r="H25">
        <v>0</v>
      </c>
      <c r="O25">
        <v>0</v>
      </c>
      <c r="P25">
        <v>0</v>
      </c>
      <c r="Q25">
        <v>0</v>
      </c>
      <c r="R25">
        <v>0</v>
      </c>
      <c r="T25" s="3">
        <v>90</v>
      </c>
      <c r="U25" s="3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0</v>
      </c>
      <c r="AI25">
        <v>0</v>
      </c>
      <c r="AJ25">
        <v>0</v>
      </c>
      <c r="AK25">
        <v>0</v>
      </c>
      <c r="AM25" s="3">
        <v>90</v>
      </c>
      <c r="AN25" s="3">
        <v>1</v>
      </c>
      <c r="AO25">
        <v>1</v>
      </c>
      <c r="AP25">
        <v>1</v>
      </c>
      <c r="AQ25">
        <v>4499</v>
      </c>
      <c r="AR25">
        <v>0</v>
      </c>
      <c r="AS25">
        <v>0</v>
      </c>
      <c r="AT25">
        <v>153</v>
      </c>
      <c r="AU25">
        <v>0</v>
      </c>
      <c r="AV25">
        <v>0</v>
      </c>
      <c r="AW25">
        <v>0</v>
      </c>
      <c r="AX25">
        <v>0</v>
      </c>
      <c r="AY25">
        <v>0</v>
      </c>
      <c r="BA25">
        <v>85</v>
      </c>
      <c r="BB25">
        <v>867.3</v>
      </c>
      <c r="BC25">
        <v>0.49</v>
      </c>
      <c r="BD25">
        <v>1.0960000000000001</v>
      </c>
      <c r="BF25" s="3">
        <v>90</v>
      </c>
      <c r="BG25" s="3">
        <v>1</v>
      </c>
      <c r="BH25">
        <v>1</v>
      </c>
      <c r="BI25">
        <v>1</v>
      </c>
      <c r="BJ25">
        <v>4499</v>
      </c>
      <c r="BK25">
        <v>0</v>
      </c>
      <c r="BL25">
        <v>0</v>
      </c>
      <c r="BM25">
        <v>153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85</v>
      </c>
      <c r="BU25">
        <v>867.3</v>
      </c>
      <c r="BV25">
        <v>0.49</v>
      </c>
      <c r="BW25">
        <v>1.0960000000000001</v>
      </c>
    </row>
    <row r="26" spans="1:75" x14ac:dyDescent="0.25">
      <c r="A26" s="3">
        <v>100</v>
      </c>
      <c r="B26" s="3">
        <v>1</v>
      </c>
      <c r="C26">
        <v>0</v>
      </c>
      <c r="D26">
        <v>0</v>
      </c>
      <c r="E26">
        <v>0</v>
      </c>
      <c r="H26">
        <v>0</v>
      </c>
      <c r="O26">
        <v>0</v>
      </c>
      <c r="P26">
        <v>0</v>
      </c>
      <c r="Q26">
        <v>0</v>
      </c>
      <c r="R26">
        <v>0</v>
      </c>
      <c r="T26" s="3">
        <v>100</v>
      </c>
      <c r="U26" s="3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>
        <v>0</v>
      </c>
      <c r="AI26">
        <v>0</v>
      </c>
      <c r="AJ26">
        <v>0</v>
      </c>
      <c r="AK26">
        <v>0</v>
      </c>
      <c r="AM26" s="3">
        <v>100</v>
      </c>
      <c r="AN26" s="3">
        <v>1</v>
      </c>
      <c r="AO26">
        <v>1</v>
      </c>
      <c r="AP26">
        <v>1</v>
      </c>
      <c r="AQ26">
        <v>4499</v>
      </c>
      <c r="AR26">
        <v>0</v>
      </c>
      <c r="AS26">
        <v>0</v>
      </c>
      <c r="AT26">
        <v>149</v>
      </c>
      <c r="AU26">
        <v>0</v>
      </c>
      <c r="AV26">
        <v>0</v>
      </c>
      <c r="AW26">
        <v>0</v>
      </c>
      <c r="AX26">
        <v>0</v>
      </c>
      <c r="AY26">
        <v>0</v>
      </c>
      <c r="BA26">
        <v>85</v>
      </c>
      <c r="BB26">
        <v>842.5</v>
      </c>
      <c r="BC26">
        <v>0.49</v>
      </c>
      <c r="BD26">
        <v>1.0589999999999999</v>
      </c>
      <c r="BF26" s="3">
        <v>100</v>
      </c>
      <c r="BG26" s="3">
        <v>1</v>
      </c>
      <c r="BH26">
        <v>1</v>
      </c>
      <c r="BI26">
        <v>1</v>
      </c>
      <c r="BJ26">
        <v>4499</v>
      </c>
      <c r="BK26">
        <v>0</v>
      </c>
      <c r="BL26">
        <v>0</v>
      </c>
      <c r="BM26">
        <v>149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85</v>
      </c>
      <c r="BU26">
        <v>842.5</v>
      </c>
      <c r="BV26">
        <v>0.49</v>
      </c>
      <c r="BW26">
        <v>1.0589999999999999</v>
      </c>
    </row>
    <row r="27" spans="1:75" x14ac:dyDescent="0.25">
      <c r="A27" s="3">
        <v>120</v>
      </c>
      <c r="B27" s="3">
        <v>1</v>
      </c>
      <c r="C27">
        <v>0</v>
      </c>
      <c r="D27">
        <v>0</v>
      </c>
      <c r="E27">
        <v>0</v>
      </c>
      <c r="H27">
        <v>0</v>
      </c>
      <c r="O27">
        <v>0</v>
      </c>
      <c r="P27">
        <v>0</v>
      </c>
      <c r="Q27">
        <v>0</v>
      </c>
      <c r="R27">
        <v>0</v>
      </c>
      <c r="T27" s="3">
        <v>120</v>
      </c>
      <c r="U27" s="3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M27" s="3">
        <v>120</v>
      </c>
      <c r="AN27" s="3">
        <v>1</v>
      </c>
      <c r="AO27">
        <v>1</v>
      </c>
      <c r="AP27">
        <v>1</v>
      </c>
      <c r="AQ27">
        <v>4499</v>
      </c>
      <c r="AR27">
        <v>0</v>
      </c>
      <c r="AS27">
        <v>0</v>
      </c>
      <c r="AT27">
        <v>143</v>
      </c>
      <c r="AU27">
        <v>0</v>
      </c>
      <c r="AV27">
        <v>0</v>
      </c>
      <c r="AW27">
        <v>0</v>
      </c>
      <c r="AX27">
        <v>0</v>
      </c>
      <c r="AY27">
        <v>0</v>
      </c>
      <c r="BA27">
        <v>85</v>
      </c>
      <c r="BB27">
        <v>797.1</v>
      </c>
      <c r="BC27">
        <v>0.49</v>
      </c>
      <c r="BD27">
        <v>0.996</v>
      </c>
      <c r="BF27" s="3">
        <v>120</v>
      </c>
      <c r="BG27" s="3">
        <v>1</v>
      </c>
      <c r="BH27">
        <v>1</v>
      </c>
      <c r="BI27">
        <v>1</v>
      </c>
      <c r="BJ27">
        <v>4499</v>
      </c>
      <c r="BK27">
        <v>0</v>
      </c>
      <c r="BL27">
        <v>0</v>
      </c>
      <c r="BM27">
        <v>143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85</v>
      </c>
      <c r="BU27">
        <v>797.1</v>
      </c>
      <c r="BV27">
        <v>0.49</v>
      </c>
      <c r="BW27">
        <v>0.996</v>
      </c>
    </row>
    <row r="28" spans="1:75" x14ac:dyDescent="0.25">
      <c r="A28" s="3">
        <v>140</v>
      </c>
      <c r="B28" s="3">
        <v>1</v>
      </c>
      <c r="C28">
        <v>0</v>
      </c>
      <c r="D28">
        <v>0</v>
      </c>
      <c r="E28">
        <v>0</v>
      </c>
      <c r="H28">
        <v>0</v>
      </c>
      <c r="O28">
        <v>0</v>
      </c>
      <c r="P28">
        <v>0</v>
      </c>
      <c r="Q28">
        <v>0</v>
      </c>
      <c r="R28">
        <v>0</v>
      </c>
      <c r="T28" s="3">
        <v>140</v>
      </c>
      <c r="U28" s="3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0</v>
      </c>
      <c r="AI28">
        <v>0</v>
      </c>
      <c r="AJ28">
        <v>0</v>
      </c>
      <c r="AK28">
        <v>0</v>
      </c>
      <c r="AM28" s="3">
        <v>140</v>
      </c>
      <c r="AN28" s="3">
        <v>1</v>
      </c>
      <c r="AO28">
        <v>1</v>
      </c>
      <c r="AP28">
        <v>1</v>
      </c>
      <c r="AQ28">
        <v>4499</v>
      </c>
      <c r="AR28">
        <v>0</v>
      </c>
      <c r="AS28">
        <v>0</v>
      </c>
      <c r="AT28">
        <v>139</v>
      </c>
      <c r="AU28">
        <v>0</v>
      </c>
      <c r="AV28">
        <v>0</v>
      </c>
      <c r="AW28">
        <v>0</v>
      </c>
      <c r="AX28">
        <v>0</v>
      </c>
      <c r="AY28">
        <v>0</v>
      </c>
      <c r="BA28">
        <v>85</v>
      </c>
      <c r="BB28">
        <v>756.7</v>
      </c>
      <c r="BC28">
        <v>0.49</v>
      </c>
      <c r="BD28">
        <v>0.94199999999999995</v>
      </c>
      <c r="BF28" s="3">
        <v>140</v>
      </c>
      <c r="BG28" s="3">
        <v>1</v>
      </c>
      <c r="BH28">
        <v>1</v>
      </c>
      <c r="BI28">
        <v>1</v>
      </c>
      <c r="BJ28">
        <v>4499</v>
      </c>
      <c r="BK28">
        <v>0</v>
      </c>
      <c r="BL28">
        <v>0</v>
      </c>
      <c r="BM28">
        <v>139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85</v>
      </c>
      <c r="BU28">
        <v>756.7</v>
      </c>
      <c r="BV28">
        <v>0.49</v>
      </c>
      <c r="BW28">
        <v>0.94199999999999995</v>
      </c>
    </row>
    <row r="29" spans="1:75" x14ac:dyDescent="0.25">
      <c r="A29" s="3">
        <v>160</v>
      </c>
      <c r="B29" s="3">
        <v>1</v>
      </c>
      <c r="C29">
        <v>0</v>
      </c>
      <c r="D29">
        <v>0</v>
      </c>
      <c r="E29">
        <v>0</v>
      </c>
      <c r="H29">
        <v>0</v>
      </c>
      <c r="O29">
        <v>0</v>
      </c>
      <c r="P29">
        <v>0</v>
      </c>
      <c r="Q29">
        <v>0</v>
      </c>
      <c r="R29">
        <v>0</v>
      </c>
      <c r="T29" s="3">
        <v>160</v>
      </c>
      <c r="U29" s="3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J29">
        <v>0</v>
      </c>
      <c r="AK29">
        <v>0</v>
      </c>
      <c r="AM29" s="3">
        <v>160</v>
      </c>
      <c r="AN29" s="3">
        <v>1</v>
      </c>
      <c r="AO29">
        <v>1</v>
      </c>
      <c r="AP29">
        <v>1</v>
      </c>
      <c r="AQ29">
        <v>4499</v>
      </c>
      <c r="AR29">
        <v>0</v>
      </c>
      <c r="AS29">
        <v>0</v>
      </c>
      <c r="AT29">
        <v>135</v>
      </c>
      <c r="AU29">
        <v>0</v>
      </c>
      <c r="AV29">
        <v>0</v>
      </c>
      <c r="AW29">
        <v>0</v>
      </c>
      <c r="AX29">
        <v>0</v>
      </c>
      <c r="AY29">
        <v>0</v>
      </c>
      <c r="BA29">
        <v>85</v>
      </c>
      <c r="BB29">
        <v>720.3</v>
      </c>
      <c r="BC29">
        <v>0.49</v>
      </c>
      <c r="BD29">
        <v>0.89800000000000002</v>
      </c>
      <c r="BF29" s="3">
        <v>160</v>
      </c>
      <c r="BG29" s="3">
        <v>1</v>
      </c>
      <c r="BH29">
        <v>1</v>
      </c>
      <c r="BI29">
        <v>1</v>
      </c>
      <c r="BJ29">
        <v>4499</v>
      </c>
      <c r="BK29">
        <v>0</v>
      </c>
      <c r="BL29">
        <v>0</v>
      </c>
      <c r="BM29">
        <v>135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85</v>
      </c>
      <c r="BU29">
        <v>720.3</v>
      </c>
      <c r="BV29">
        <v>0.49</v>
      </c>
      <c r="BW29">
        <v>0.89800000000000002</v>
      </c>
    </row>
    <row r="30" spans="1:75" x14ac:dyDescent="0.25">
      <c r="A30" s="3">
        <v>180</v>
      </c>
      <c r="B30" s="3">
        <v>1</v>
      </c>
      <c r="C30">
        <v>0</v>
      </c>
      <c r="D30">
        <v>0</v>
      </c>
      <c r="E30">
        <v>0</v>
      </c>
      <c r="H30">
        <v>0</v>
      </c>
      <c r="O30">
        <v>0</v>
      </c>
      <c r="P30">
        <v>0</v>
      </c>
      <c r="Q30">
        <v>0</v>
      </c>
      <c r="R30">
        <v>0</v>
      </c>
      <c r="T30" s="3">
        <v>180</v>
      </c>
      <c r="U30" s="3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M30" s="3">
        <v>180</v>
      </c>
      <c r="AN30" s="3">
        <v>1</v>
      </c>
      <c r="AO30">
        <v>1</v>
      </c>
      <c r="AP30">
        <v>1</v>
      </c>
      <c r="AQ30">
        <v>4499</v>
      </c>
      <c r="AR30">
        <v>0</v>
      </c>
      <c r="AS30">
        <v>0</v>
      </c>
      <c r="AT30">
        <v>133</v>
      </c>
      <c r="AU30">
        <v>0</v>
      </c>
      <c r="AV30">
        <v>0</v>
      </c>
      <c r="AW30">
        <v>0</v>
      </c>
      <c r="AX30">
        <v>0</v>
      </c>
      <c r="AY30">
        <v>0</v>
      </c>
      <c r="BA30">
        <v>85</v>
      </c>
      <c r="BB30">
        <v>687.5</v>
      </c>
      <c r="BC30">
        <v>0.49</v>
      </c>
      <c r="BD30">
        <v>0.85899999999999999</v>
      </c>
      <c r="BF30" s="3">
        <v>180</v>
      </c>
      <c r="BG30" s="3">
        <v>1</v>
      </c>
      <c r="BH30">
        <v>1</v>
      </c>
      <c r="BI30">
        <v>1</v>
      </c>
      <c r="BJ30">
        <v>4499</v>
      </c>
      <c r="BK30">
        <v>0</v>
      </c>
      <c r="BL30">
        <v>0</v>
      </c>
      <c r="BM30">
        <v>133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85</v>
      </c>
      <c r="BU30">
        <v>687.5</v>
      </c>
      <c r="BV30">
        <v>0.49</v>
      </c>
      <c r="BW30">
        <v>0.85899999999999999</v>
      </c>
    </row>
    <row r="31" spans="1:75" x14ac:dyDescent="0.25">
      <c r="A31" s="3">
        <v>200</v>
      </c>
      <c r="B31" s="3">
        <v>1</v>
      </c>
      <c r="C31">
        <v>0</v>
      </c>
      <c r="D31">
        <v>0</v>
      </c>
      <c r="E31">
        <v>0</v>
      </c>
      <c r="H31">
        <v>0</v>
      </c>
      <c r="O31">
        <v>0</v>
      </c>
      <c r="P31">
        <v>0</v>
      </c>
      <c r="Q31">
        <v>0</v>
      </c>
      <c r="R31">
        <v>0</v>
      </c>
      <c r="T31" s="3">
        <v>200</v>
      </c>
      <c r="U31" s="3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K31">
        <v>0</v>
      </c>
      <c r="AM31" s="3">
        <v>200</v>
      </c>
      <c r="AN31" s="3">
        <v>1</v>
      </c>
      <c r="AO31">
        <v>1</v>
      </c>
      <c r="AP31">
        <v>1</v>
      </c>
      <c r="AQ31">
        <v>4499</v>
      </c>
      <c r="AR31">
        <v>0</v>
      </c>
      <c r="AS31">
        <v>0</v>
      </c>
      <c r="AT31">
        <v>131</v>
      </c>
      <c r="AU31">
        <v>0</v>
      </c>
      <c r="AV31">
        <v>0</v>
      </c>
      <c r="AW31">
        <v>0</v>
      </c>
      <c r="AX31">
        <v>0</v>
      </c>
      <c r="AY31">
        <v>0</v>
      </c>
      <c r="BA31">
        <v>85</v>
      </c>
      <c r="BB31">
        <v>657.7</v>
      </c>
      <c r="BC31">
        <v>0.49</v>
      </c>
      <c r="BD31">
        <v>0.82599999999999996</v>
      </c>
      <c r="BF31" s="3">
        <v>200</v>
      </c>
      <c r="BG31" s="3">
        <v>1</v>
      </c>
      <c r="BH31">
        <v>1</v>
      </c>
      <c r="BI31">
        <v>1</v>
      </c>
      <c r="BJ31">
        <v>4499</v>
      </c>
      <c r="BK31">
        <v>0</v>
      </c>
      <c r="BL31">
        <v>0</v>
      </c>
      <c r="BM31">
        <v>131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85</v>
      </c>
      <c r="BU31">
        <v>657.7</v>
      </c>
      <c r="BV31">
        <v>0.49</v>
      </c>
      <c r="BW31">
        <v>0.82599999999999996</v>
      </c>
    </row>
    <row r="32" spans="1:75" x14ac:dyDescent="0.25">
      <c r="A32" s="3">
        <v>220</v>
      </c>
      <c r="B32" s="3">
        <v>1</v>
      </c>
      <c r="C32">
        <v>0</v>
      </c>
      <c r="D32">
        <v>0</v>
      </c>
      <c r="E32">
        <v>0</v>
      </c>
      <c r="H32">
        <v>0</v>
      </c>
      <c r="O32">
        <v>0</v>
      </c>
      <c r="P32">
        <v>0</v>
      </c>
      <c r="Q32">
        <v>0</v>
      </c>
      <c r="R32">
        <v>0</v>
      </c>
      <c r="T32" s="3">
        <v>220</v>
      </c>
      <c r="U32" s="3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J32">
        <v>0</v>
      </c>
      <c r="AK32">
        <v>0</v>
      </c>
      <c r="AM32" s="3">
        <v>220</v>
      </c>
      <c r="AN32" s="3">
        <v>1</v>
      </c>
      <c r="AO32">
        <v>1</v>
      </c>
      <c r="AP32">
        <v>1</v>
      </c>
      <c r="AQ32">
        <v>4499</v>
      </c>
      <c r="AR32">
        <v>0</v>
      </c>
      <c r="AS32">
        <v>0</v>
      </c>
      <c r="AT32">
        <v>130</v>
      </c>
      <c r="AU32">
        <v>0</v>
      </c>
      <c r="AV32">
        <v>0</v>
      </c>
      <c r="AW32">
        <v>0</v>
      </c>
      <c r="AX32">
        <v>0</v>
      </c>
      <c r="AY32">
        <v>0</v>
      </c>
      <c r="BA32">
        <v>85</v>
      </c>
      <c r="BB32">
        <v>630.6</v>
      </c>
      <c r="BC32">
        <v>0.49</v>
      </c>
      <c r="BD32">
        <v>0.79700000000000004</v>
      </c>
      <c r="BF32" s="3">
        <v>220</v>
      </c>
      <c r="BG32" s="3">
        <v>1</v>
      </c>
      <c r="BH32">
        <v>1</v>
      </c>
      <c r="BI32">
        <v>1</v>
      </c>
      <c r="BJ32">
        <v>4499</v>
      </c>
      <c r="BK32">
        <v>0</v>
      </c>
      <c r="BL32">
        <v>0</v>
      </c>
      <c r="BM32">
        <v>130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85</v>
      </c>
      <c r="BU32">
        <v>630.6</v>
      </c>
      <c r="BV32">
        <v>0.49</v>
      </c>
      <c r="BW32">
        <v>0.79700000000000004</v>
      </c>
    </row>
    <row r="33" spans="1:75" x14ac:dyDescent="0.25">
      <c r="A33" s="3">
        <v>240</v>
      </c>
      <c r="B33" s="3">
        <v>1</v>
      </c>
      <c r="C33">
        <v>0</v>
      </c>
      <c r="D33">
        <v>0</v>
      </c>
      <c r="E33">
        <v>0</v>
      </c>
      <c r="H33">
        <v>0</v>
      </c>
      <c r="O33">
        <v>0</v>
      </c>
      <c r="P33">
        <v>0</v>
      </c>
      <c r="Q33">
        <v>0</v>
      </c>
      <c r="R33">
        <v>0</v>
      </c>
      <c r="T33" s="3">
        <v>240</v>
      </c>
      <c r="U33" s="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>
        <v>0</v>
      </c>
      <c r="AI33">
        <v>0</v>
      </c>
      <c r="AJ33">
        <v>0</v>
      </c>
      <c r="AK33">
        <v>0</v>
      </c>
      <c r="AM33" s="3">
        <v>240</v>
      </c>
      <c r="AN33" s="3">
        <v>1</v>
      </c>
      <c r="AO33">
        <v>1</v>
      </c>
      <c r="AP33">
        <v>1</v>
      </c>
      <c r="AQ33">
        <v>4499</v>
      </c>
      <c r="AR33">
        <v>0</v>
      </c>
      <c r="AS33">
        <v>0</v>
      </c>
      <c r="AT33">
        <v>129</v>
      </c>
      <c r="AU33">
        <v>0</v>
      </c>
      <c r="AV33">
        <v>0</v>
      </c>
      <c r="AW33">
        <v>0</v>
      </c>
      <c r="AX33">
        <v>0</v>
      </c>
      <c r="AY33">
        <v>0</v>
      </c>
      <c r="BA33">
        <v>85</v>
      </c>
      <c r="BB33">
        <v>605.70000000000005</v>
      </c>
      <c r="BC33">
        <v>0.49</v>
      </c>
      <c r="BD33">
        <v>0.77100000000000002</v>
      </c>
      <c r="BF33" s="3">
        <v>240</v>
      </c>
      <c r="BG33" s="3">
        <v>1</v>
      </c>
      <c r="BH33">
        <v>1</v>
      </c>
      <c r="BI33">
        <v>1</v>
      </c>
      <c r="BJ33">
        <v>4499</v>
      </c>
      <c r="BK33">
        <v>0</v>
      </c>
      <c r="BL33">
        <v>0</v>
      </c>
      <c r="BM33">
        <v>129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85</v>
      </c>
      <c r="BU33">
        <v>605.70000000000005</v>
      </c>
      <c r="BV33">
        <v>0.49</v>
      </c>
      <c r="BW33">
        <v>0.77100000000000002</v>
      </c>
    </row>
    <row r="34" spans="1:75" x14ac:dyDescent="0.25">
      <c r="A34" s="3">
        <v>260</v>
      </c>
      <c r="B34" s="3">
        <v>1</v>
      </c>
      <c r="C34">
        <v>0</v>
      </c>
      <c r="D34">
        <v>0</v>
      </c>
      <c r="E34">
        <v>0</v>
      </c>
      <c r="H34">
        <v>0</v>
      </c>
      <c r="O34">
        <v>0</v>
      </c>
      <c r="P34">
        <v>0</v>
      </c>
      <c r="Q34">
        <v>0</v>
      </c>
      <c r="R34">
        <v>0</v>
      </c>
      <c r="T34" s="3">
        <v>260</v>
      </c>
      <c r="U34" s="3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>
        <v>0</v>
      </c>
      <c r="AI34">
        <v>0</v>
      </c>
      <c r="AJ34">
        <v>0</v>
      </c>
      <c r="AK34">
        <v>0</v>
      </c>
      <c r="AM34" s="3">
        <v>260</v>
      </c>
      <c r="AN34" s="3">
        <v>1</v>
      </c>
      <c r="AO34">
        <v>1</v>
      </c>
      <c r="AP34">
        <v>1</v>
      </c>
      <c r="AQ34">
        <v>4499</v>
      </c>
      <c r="AR34">
        <v>0</v>
      </c>
      <c r="AS34">
        <v>0</v>
      </c>
      <c r="AT34">
        <v>128</v>
      </c>
      <c r="AU34">
        <v>0</v>
      </c>
      <c r="AV34">
        <v>0</v>
      </c>
      <c r="AW34">
        <v>0</v>
      </c>
      <c r="AX34">
        <v>0</v>
      </c>
      <c r="AY34">
        <v>0</v>
      </c>
      <c r="BA34">
        <v>85</v>
      </c>
      <c r="BB34">
        <v>582.9</v>
      </c>
      <c r="BC34">
        <v>0.49</v>
      </c>
      <c r="BD34">
        <v>0.748</v>
      </c>
      <c r="BF34" s="3">
        <v>260</v>
      </c>
      <c r="BG34" s="3">
        <v>1</v>
      </c>
      <c r="BH34">
        <v>1</v>
      </c>
      <c r="BI34">
        <v>1</v>
      </c>
      <c r="BJ34">
        <v>4499</v>
      </c>
      <c r="BK34">
        <v>0</v>
      </c>
      <c r="BL34">
        <v>0</v>
      </c>
      <c r="BM34">
        <v>128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85</v>
      </c>
      <c r="BU34">
        <v>582.9</v>
      </c>
      <c r="BV34">
        <v>0.49</v>
      </c>
      <c r="BW34">
        <v>0.748</v>
      </c>
    </row>
    <row r="35" spans="1:75" x14ac:dyDescent="0.25">
      <c r="A35" s="3">
        <v>280</v>
      </c>
      <c r="B35" s="3">
        <v>1</v>
      </c>
      <c r="C35">
        <v>0</v>
      </c>
      <c r="D35">
        <v>0</v>
      </c>
      <c r="E35">
        <v>0</v>
      </c>
      <c r="H35">
        <v>0</v>
      </c>
      <c r="O35">
        <v>0</v>
      </c>
      <c r="P35">
        <v>0</v>
      </c>
      <c r="Q35">
        <v>0</v>
      </c>
      <c r="R35">
        <v>0</v>
      </c>
      <c r="T35" s="3">
        <v>280</v>
      </c>
      <c r="U35" s="3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>
        <v>0</v>
      </c>
      <c r="AI35">
        <v>0</v>
      </c>
      <c r="AJ35">
        <v>0</v>
      </c>
      <c r="AK35">
        <v>0</v>
      </c>
      <c r="AM35" s="3">
        <v>280</v>
      </c>
      <c r="AN35" s="3">
        <v>1</v>
      </c>
      <c r="AO35">
        <v>1</v>
      </c>
      <c r="AP35">
        <v>1</v>
      </c>
      <c r="AQ35">
        <v>4499</v>
      </c>
      <c r="AR35">
        <v>0</v>
      </c>
      <c r="AS35">
        <v>0</v>
      </c>
      <c r="AT35">
        <v>128</v>
      </c>
      <c r="AU35">
        <v>0</v>
      </c>
      <c r="AV35">
        <v>0</v>
      </c>
      <c r="AW35">
        <v>0</v>
      </c>
      <c r="AX35">
        <v>0</v>
      </c>
      <c r="AY35">
        <v>0</v>
      </c>
      <c r="BA35">
        <v>85</v>
      </c>
      <c r="BB35">
        <v>562</v>
      </c>
      <c r="BC35">
        <v>0.49</v>
      </c>
      <c r="BD35">
        <v>0.72699999999999998</v>
      </c>
      <c r="BF35" s="3">
        <v>280</v>
      </c>
      <c r="BG35" s="3">
        <v>1</v>
      </c>
      <c r="BH35">
        <v>1</v>
      </c>
      <c r="BI35">
        <v>1</v>
      </c>
      <c r="BJ35">
        <v>4499</v>
      </c>
      <c r="BK35">
        <v>0</v>
      </c>
      <c r="BL35">
        <v>0</v>
      </c>
      <c r="BM35">
        <v>128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85</v>
      </c>
      <c r="BU35">
        <v>562</v>
      </c>
      <c r="BV35">
        <v>0.49</v>
      </c>
      <c r="BW35">
        <v>0.72699999999999998</v>
      </c>
    </row>
    <row r="36" spans="1:75" x14ac:dyDescent="0.25">
      <c r="A36" s="3">
        <v>300</v>
      </c>
      <c r="B36" s="3">
        <v>1</v>
      </c>
      <c r="C36">
        <v>0</v>
      </c>
      <c r="D36">
        <v>0</v>
      </c>
      <c r="E36">
        <v>0</v>
      </c>
      <c r="H36">
        <v>0</v>
      </c>
      <c r="O36">
        <v>0</v>
      </c>
      <c r="P36">
        <v>0</v>
      </c>
      <c r="Q36">
        <v>0</v>
      </c>
      <c r="R36">
        <v>0</v>
      </c>
      <c r="T36" s="3">
        <v>300</v>
      </c>
      <c r="U36" s="3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J36">
        <v>0</v>
      </c>
      <c r="AK36">
        <v>0</v>
      </c>
      <c r="AM36" s="3">
        <v>300</v>
      </c>
      <c r="AN36" s="3">
        <v>1</v>
      </c>
      <c r="AO36">
        <v>1</v>
      </c>
      <c r="AP36">
        <v>1</v>
      </c>
      <c r="AQ36">
        <v>4499</v>
      </c>
      <c r="AR36">
        <v>0</v>
      </c>
      <c r="AS36">
        <v>0</v>
      </c>
      <c r="AT36">
        <v>127</v>
      </c>
      <c r="AU36">
        <v>0</v>
      </c>
      <c r="AV36">
        <v>0</v>
      </c>
      <c r="AW36">
        <v>0</v>
      </c>
      <c r="AX36">
        <v>0</v>
      </c>
      <c r="AY36">
        <v>0</v>
      </c>
      <c r="BA36">
        <v>85</v>
      </c>
      <c r="BB36">
        <v>542.70000000000005</v>
      </c>
      <c r="BC36">
        <v>0.49</v>
      </c>
      <c r="BD36">
        <v>0.70899999999999996</v>
      </c>
      <c r="BF36" s="3">
        <v>300</v>
      </c>
      <c r="BG36" s="3">
        <v>1</v>
      </c>
      <c r="BH36">
        <v>1</v>
      </c>
      <c r="BI36">
        <v>1</v>
      </c>
      <c r="BJ36">
        <v>4499</v>
      </c>
      <c r="BK36">
        <v>0</v>
      </c>
      <c r="BL36">
        <v>0</v>
      </c>
      <c r="BM36">
        <v>127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85</v>
      </c>
      <c r="BU36">
        <v>542.70000000000005</v>
      </c>
      <c r="BV36">
        <v>0.49</v>
      </c>
      <c r="BW36">
        <v>0.70899999999999996</v>
      </c>
    </row>
    <row r="37" spans="1:75" x14ac:dyDescent="0.25">
      <c r="A37" s="3">
        <v>350</v>
      </c>
      <c r="B37" s="3">
        <v>1</v>
      </c>
      <c r="C37">
        <v>0</v>
      </c>
      <c r="D37">
        <v>0</v>
      </c>
      <c r="E37">
        <v>0</v>
      </c>
      <c r="H37">
        <v>0</v>
      </c>
      <c r="O37">
        <v>0</v>
      </c>
      <c r="P37">
        <v>0</v>
      </c>
      <c r="Q37">
        <v>0</v>
      </c>
      <c r="R37">
        <v>0</v>
      </c>
      <c r="T37" s="3">
        <v>350</v>
      </c>
      <c r="U37" s="3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K37">
        <v>0</v>
      </c>
      <c r="AM37" s="3">
        <v>350</v>
      </c>
      <c r="AN37" s="3">
        <v>1</v>
      </c>
      <c r="AO37">
        <v>1</v>
      </c>
      <c r="AP37">
        <v>1</v>
      </c>
      <c r="AQ37">
        <v>4499</v>
      </c>
      <c r="AR37">
        <v>0</v>
      </c>
      <c r="AS37">
        <v>0</v>
      </c>
      <c r="AT37">
        <v>126</v>
      </c>
      <c r="AU37">
        <v>0</v>
      </c>
      <c r="AV37">
        <v>0</v>
      </c>
      <c r="AW37">
        <v>0</v>
      </c>
      <c r="AX37">
        <v>0</v>
      </c>
      <c r="AY37">
        <v>0</v>
      </c>
      <c r="BA37">
        <v>85</v>
      </c>
      <c r="BB37">
        <v>500.7</v>
      </c>
      <c r="BC37">
        <v>0.49</v>
      </c>
      <c r="BD37">
        <v>0.66900000000000004</v>
      </c>
      <c r="BF37" s="3">
        <v>350</v>
      </c>
      <c r="BG37" s="3">
        <v>1</v>
      </c>
      <c r="BH37">
        <v>1</v>
      </c>
      <c r="BI37">
        <v>1</v>
      </c>
      <c r="BJ37">
        <v>4499</v>
      </c>
      <c r="BK37">
        <v>0</v>
      </c>
      <c r="BL37">
        <v>0</v>
      </c>
      <c r="BM37">
        <v>126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85</v>
      </c>
      <c r="BU37">
        <v>500.7</v>
      </c>
      <c r="BV37">
        <v>0.49</v>
      </c>
      <c r="BW37">
        <v>0.66900000000000004</v>
      </c>
    </row>
    <row r="38" spans="1:75" x14ac:dyDescent="0.25">
      <c r="A38" s="3">
        <v>400</v>
      </c>
      <c r="B38" s="3">
        <v>1</v>
      </c>
      <c r="C38">
        <v>0</v>
      </c>
      <c r="D38">
        <v>0</v>
      </c>
      <c r="E38">
        <v>0</v>
      </c>
      <c r="H38">
        <v>0</v>
      </c>
      <c r="O38">
        <v>0</v>
      </c>
      <c r="P38">
        <v>0</v>
      </c>
      <c r="Q38">
        <v>0</v>
      </c>
      <c r="R38">
        <v>0</v>
      </c>
      <c r="T38" s="3">
        <v>400</v>
      </c>
      <c r="U38" s="3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J38">
        <v>0</v>
      </c>
      <c r="AK38">
        <v>0</v>
      </c>
      <c r="AM38" s="3">
        <v>400</v>
      </c>
      <c r="AN38" s="3">
        <v>1</v>
      </c>
      <c r="AO38">
        <v>1</v>
      </c>
      <c r="AP38">
        <v>1</v>
      </c>
      <c r="AQ38">
        <v>4499</v>
      </c>
      <c r="AR38">
        <v>0</v>
      </c>
      <c r="AS38">
        <v>0</v>
      </c>
      <c r="AT38">
        <v>125</v>
      </c>
      <c r="AU38">
        <v>0</v>
      </c>
      <c r="AV38">
        <v>0</v>
      </c>
      <c r="AW38">
        <v>0</v>
      </c>
      <c r="AX38">
        <v>0</v>
      </c>
      <c r="AY38">
        <v>0</v>
      </c>
      <c r="BA38">
        <v>85</v>
      </c>
      <c r="BB38">
        <v>466.3</v>
      </c>
      <c r="BC38">
        <v>0.49</v>
      </c>
      <c r="BD38">
        <v>0.63700000000000001</v>
      </c>
      <c r="BF38" s="3">
        <v>400</v>
      </c>
      <c r="BG38" s="3">
        <v>1</v>
      </c>
      <c r="BH38">
        <v>1</v>
      </c>
      <c r="BI38">
        <v>1</v>
      </c>
      <c r="BJ38">
        <v>4499</v>
      </c>
      <c r="BK38">
        <v>0</v>
      </c>
      <c r="BL38">
        <v>0</v>
      </c>
      <c r="BM38">
        <v>125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85</v>
      </c>
      <c r="BU38">
        <v>466.3</v>
      </c>
      <c r="BV38">
        <v>0.49</v>
      </c>
      <c r="BW38">
        <v>0.63700000000000001</v>
      </c>
    </row>
    <row r="39" spans="1:75" x14ac:dyDescent="0.25">
      <c r="A39" s="3">
        <v>450</v>
      </c>
      <c r="B39" s="3">
        <v>1</v>
      </c>
      <c r="C39">
        <v>0</v>
      </c>
      <c r="D39">
        <v>0</v>
      </c>
      <c r="E39">
        <v>0</v>
      </c>
      <c r="H39">
        <v>0</v>
      </c>
      <c r="O39">
        <v>0</v>
      </c>
      <c r="P39">
        <v>0</v>
      </c>
      <c r="Q39">
        <v>0</v>
      </c>
      <c r="R39">
        <v>0</v>
      </c>
      <c r="T39" s="3">
        <v>450</v>
      </c>
      <c r="U39" s="3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  <c r="AJ39">
        <v>0</v>
      </c>
      <c r="AK39">
        <v>0</v>
      </c>
      <c r="AM39" s="3">
        <v>450</v>
      </c>
      <c r="AN39" s="3">
        <v>1</v>
      </c>
      <c r="AO39">
        <v>1</v>
      </c>
      <c r="AP39">
        <v>1</v>
      </c>
      <c r="AQ39">
        <v>4499</v>
      </c>
      <c r="AR39">
        <v>0</v>
      </c>
      <c r="AS39">
        <v>0</v>
      </c>
      <c r="AT39">
        <v>124</v>
      </c>
      <c r="AU39">
        <v>0</v>
      </c>
      <c r="AV39">
        <v>0</v>
      </c>
      <c r="AW39">
        <v>0</v>
      </c>
      <c r="AX39">
        <v>0</v>
      </c>
      <c r="AY39">
        <v>0</v>
      </c>
      <c r="BA39">
        <v>85</v>
      </c>
      <c r="BB39">
        <v>437.8</v>
      </c>
      <c r="BC39">
        <v>0.49</v>
      </c>
      <c r="BD39">
        <v>0.61199999999999999</v>
      </c>
      <c r="BF39" s="3">
        <v>450</v>
      </c>
      <c r="BG39" s="3">
        <v>1</v>
      </c>
      <c r="BH39">
        <v>1</v>
      </c>
      <c r="BI39">
        <v>1</v>
      </c>
      <c r="BJ39">
        <v>4499</v>
      </c>
      <c r="BK39">
        <v>0</v>
      </c>
      <c r="BL39">
        <v>0</v>
      </c>
      <c r="BM39">
        <v>124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85</v>
      </c>
      <c r="BU39">
        <v>437.8</v>
      </c>
      <c r="BV39">
        <v>0.49</v>
      </c>
      <c r="BW39">
        <v>0.61199999999999999</v>
      </c>
    </row>
    <row r="40" spans="1:75" x14ac:dyDescent="0.25">
      <c r="A40" s="3">
        <v>500</v>
      </c>
      <c r="B40" s="3">
        <v>1</v>
      </c>
      <c r="C40">
        <v>0</v>
      </c>
      <c r="D40">
        <v>0</v>
      </c>
      <c r="E40">
        <v>0</v>
      </c>
      <c r="H40">
        <v>0</v>
      </c>
      <c r="O40">
        <v>0</v>
      </c>
      <c r="P40">
        <v>0</v>
      </c>
      <c r="Q40">
        <v>0</v>
      </c>
      <c r="R40">
        <v>0</v>
      </c>
      <c r="T40" s="3">
        <v>500</v>
      </c>
      <c r="U40" s="3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>
        <v>0</v>
      </c>
      <c r="AI40">
        <v>0</v>
      </c>
      <c r="AJ40">
        <v>0</v>
      </c>
      <c r="AK40">
        <v>0</v>
      </c>
      <c r="AM40" s="3">
        <v>500</v>
      </c>
      <c r="AN40" s="3">
        <v>1</v>
      </c>
      <c r="AO40">
        <v>1</v>
      </c>
      <c r="AP40">
        <v>1</v>
      </c>
      <c r="AQ40">
        <v>4499</v>
      </c>
      <c r="AR40">
        <v>0</v>
      </c>
      <c r="AS40">
        <v>0</v>
      </c>
      <c r="AT40">
        <v>123</v>
      </c>
      <c r="AU40">
        <v>0</v>
      </c>
      <c r="AV40">
        <v>0</v>
      </c>
      <c r="AW40">
        <v>0</v>
      </c>
      <c r="AX40">
        <v>0</v>
      </c>
      <c r="AY40">
        <v>0</v>
      </c>
      <c r="BA40">
        <v>85</v>
      </c>
      <c r="BB40">
        <v>414.4</v>
      </c>
      <c r="BC40">
        <v>0.49</v>
      </c>
      <c r="BD40">
        <v>0.59099999999999997</v>
      </c>
      <c r="BF40" s="3">
        <v>500</v>
      </c>
      <c r="BG40" s="3">
        <v>1</v>
      </c>
      <c r="BH40">
        <v>1</v>
      </c>
      <c r="BI40">
        <v>1</v>
      </c>
      <c r="BJ40">
        <v>4499</v>
      </c>
      <c r="BK40">
        <v>0</v>
      </c>
      <c r="BL40">
        <v>0</v>
      </c>
      <c r="BM40">
        <v>123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85</v>
      </c>
      <c r="BU40">
        <v>414.4</v>
      </c>
      <c r="BV40">
        <v>0.49</v>
      </c>
      <c r="BW40">
        <v>0.59099999999999997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Legend</vt:lpstr>
      <vt:lpstr>SSA</vt:lpstr>
      <vt:lpstr>SST</vt:lpstr>
      <vt:lpstr>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4p2\inferno4p2_to_inferno</dc:title>
  <dc:creator>Next Vis Beta</dc:creator>
  <cp:lastModifiedBy>Justin Edenbaum</cp:lastModifiedBy>
  <dcterms:created xsi:type="dcterms:W3CDTF">2021-07-27T15:46:15Z</dcterms:created>
  <dcterms:modified xsi:type="dcterms:W3CDTF">2021-08-03T15:42:25Z</dcterms:modified>
</cp:coreProperties>
</file>